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2c79ce35c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43418a71ac4389"/>
    <x:sheet xmlns:r="http://schemas.openxmlformats.org/officeDocument/2006/relationships" name="Controls" sheetId="2" r:id="R482a621b36624a77"/>
    <x:sheet xmlns:r="http://schemas.openxmlformats.org/officeDocument/2006/relationships" name="BOQ" sheetId="3" r:id="R5e4594d3d0d64bf3"/>
    <x:sheet xmlns:r="http://schemas.openxmlformats.org/officeDocument/2006/relationships" name="Measurements" sheetId="4" r:id="R4f1e463fdd804ef7"/>
    <x:sheet xmlns:r="http://schemas.openxmlformats.org/officeDocument/2006/relationships" name="Rebar schedule" sheetId="5" r:id="R511138067c9d4776"/>
    <x:sheet xmlns:r="http://schemas.openxmlformats.org/officeDocument/2006/relationships" name="Openings" sheetId="6" r:id="R1cdef06d471c4051"/>
    <x:sheet xmlns:r="http://schemas.openxmlformats.org/officeDocument/2006/relationships" name="Rate analysis" sheetId="7" r:id="Ra9f69c852fbe4645"/>
    <x:sheet xmlns:r="http://schemas.openxmlformats.org/officeDocument/2006/relationships" name="Trade summary" sheetId="8" r:id="R0c05fd19d8ac4496"/>
    <x:sheet xmlns:r="http://schemas.openxmlformats.org/officeDocument/2006/relationships" name="Procurement" sheetId="9" r:id="R21dfb5c5fddf4537"/>
    <x:sheet xmlns:r="http://schemas.openxmlformats.org/officeDocument/2006/relationships" name="Checks" sheetId="10" r:id="R9acaeb14ae424fd9"/>
    <x:sheet xmlns:r="http://schemas.openxmlformats.org/officeDocument/2006/relationships" name="Basis" sheetId="11" r:id="Rf9de7e092b84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#,##0.00"/>
    <x:numFmt numFmtId="202" formatCode="#,##0.000"/>
    <x:numFmt numFmtId="203" formatCode="&quot;$&quot;#,##0"/>
    <x:numFmt numFmtId="204" formatCode="0.0%"/>
    <x:numFmt numFmtId="205" formatCode="#,##0.0"/>
  </x:numFmts>
  <x:fonts count="6">
    <x:font>
      <x:sz val="11"/>
      <x:name val="Carlito"/>
    </x:font>
    <x:font>
      <x:sz val="10"/>
      <x:color rgb="FF172C3F"/>
      <x:name val="Arial"/>
    </x:font>
    <x:font>
      <x:b/>
      <x:sz val="10"/>
      <x:color rgb="FFFFFFFF"/>
      <x:name val="Arial"/>
    </x:font>
    <x:font>
      <x:sz val="10"/>
      <x:color rgb="FF1764A0"/>
      <x:name val="Arial"/>
    </x:font>
    <x:font>
      <x:b/>
      <x:sz val="16"/>
      <x:color rgb="FF18334B"/>
      <x:name val="Arial"/>
    </x:font>
    <x:font>
      <x:sz val="10"/>
      <x:color rgb="FF52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B"/>
      </x:patternFill>
    </x:fill>
    <x:fill>
      <x:patternFill patternType="solid">
        <x:fgColor rgb="FFF1F5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6A34A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1" fontId="1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4E4"/>
        </x:patternFill>
      </x:fill>
    </x:dxf>
    <x:dxf>
      <x:font>
        <x:b/>
        <x:color rgb="FFB9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5296db92d4fa7" /><Relationship Type="http://schemas.openxmlformats.org/officeDocument/2006/relationships/theme" Target="/xl/theme/theme1.xml" Id="Rec911d6ddea94802" /><Relationship Type="http://schemas.openxmlformats.org/officeDocument/2006/relationships/sharedStrings" Target="/xl/sharedStrings.xml" Id="R4507ae4044534861" /><Relationship Type="http://schemas.openxmlformats.org/officeDocument/2006/relationships/worksheet" Target="/xl/worksheets/sheet1.xml" Id="R1343418a71ac4389" /><Relationship Type="http://schemas.openxmlformats.org/officeDocument/2006/relationships/worksheet" Target="/xl/worksheets/sheet2.xml" Id="R482a621b36624a77" /><Relationship Type="http://schemas.openxmlformats.org/officeDocument/2006/relationships/worksheet" Target="/xl/worksheets/sheet3.xml" Id="R5e4594d3d0d64bf3" /><Relationship Type="http://schemas.openxmlformats.org/officeDocument/2006/relationships/worksheet" Target="/xl/worksheets/sheet4.xml" Id="R4f1e463fdd804ef7" /><Relationship Type="http://schemas.openxmlformats.org/officeDocument/2006/relationships/worksheet" Target="/xl/worksheets/sheet5.xml" Id="R511138067c9d4776" /><Relationship Type="http://schemas.openxmlformats.org/officeDocument/2006/relationships/worksheet" Target="/xl/worksheets/sheet6.xml" Id="R1cdef06d471c4051" /><Relationship Type="http://schemas.openxmlformats.org/officeDocument/2006/relationships/worksheet" Target="/xl/worksheets/sheet7.xml" Id="Ra9f69c852fbe4645" /><Relationship Type="http://schemas.openxmlformats.org/officeDocument/2006/relationships/worksheet" Target="/xl/worksheets/sheet8.xml" Id="R0c05fd19d8ac4496" /><Relationship Type="http://schemas.openxmlformats.org/officeDocument/2006/relationships/worksheet" Target="/xl/worksheets/sheet9.xml" Id="R21dfb5c5fddf4537" /><Relationship Type="http://schemas.openxmlformats.org/officeDocument/2006/relationships/worksheet" Target="/xl/worksheets/sheet10.xml" Id="R9acaeb14ae424fd9" /><Relationship Type="http://schemas.openxmlformats.org/officeDocument/2006/relationships/worksheet" Target="/xl/worksheets/sheet11.xml" Id="Rf9de7e092b8442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04b2a96f774c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Direct cost by trade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Direct cost USD</c:v>
          </c:tx>
          <c:spPr>
            <a:solidFill xmlns:a="http://schemas.openxmlformats.org/drawingml/2006/main">
              <a:srgbClr val="255E91"/>
            </a:solidFill>
          </c:spPr>
          <c:invertIfNegative val="0"/>
          <c:cat>
            <c:strRef>
              <c:f>'Trade summary'!$A$8:$A$14</c:f>
              <c:strCache>
                <c:ptCount val="0"/>
              </c:strCache>
            </c:strRef>
          </c:cat>
          <c:val>
            <c:numRef>
              <c:f>'Trade summary'!$B$8:$B$14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04b2a96f774c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9b34fe9a7648b4" /></Relationships>
</file>

<file path=xl/worksheets/sheet1.xml><?xml version="1.0" encoding="utf-8"?>
<x:worksheet xmlns:x="http://schemas.openxmlformats.org/spreadsheetml/2006/main">
  <x:sheetPr>
    <x:tabColor rgb="FF18334B"/>
  </x:sheetPr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12" hidden="0" customWidth="1"/>
    <x:col min="4" max="4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Residential development | quantity and cost report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CE-R01 / 6 blocks / 288 apartments / 70,560 m2 gross floor area / Rev 01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2" customHeight="1">
      <x:c r="A7" s="4" t="str">
        <x:v>PACKAGE</x:v>
      </x:c>
      <x:c r="B7" s="4" t="str">
        <x:v>NET QUANTITY</x:v>
      </x:c>
      <x:c r="C7" s="4" t="str">
        <x:v>UNIT</x:v>
      </x:c>
      <x:c r="D7" s="4" t="str">
        <x:v>COST USD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tr">
        <x:v>Concrete</x:v>
      </x:c>
      <x:c r="B8" s="30" t="n">
        <x:f>SUMIFS('BOQ'!E8:E39,'BOQ'!B8:B39,"Concrete")</x:f>
        <x:v>34385.97959999998</x:v>
      </x:c>
      <x:c r="C8" s="2" t="str">
        <x:v>m3</x:v>
      </x:c>
      <x:c r="D8" s="27" t="n">
        <x:f>SUMIFS('BOQ'!G8:G39,'BOQ'!B8:B39,"Concrete")</x:f>
        <x:v>4853421.665999996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 t="str">
        <x:v>Reinforcement</x:v>
      </x:c>
      <x:c r="B9" s="30" t="n">
        <x:f>SUMIFS('BOQ'!E8:E39,'BOQ'!B8:B39,"Reinforcement")</x:f>
        <x:v>4630.725758163609</x:v>
      </x:c>
      <x:c r="C9" s="2" t="str">
        <x:v>t</x:v>
      </x:c>
      <x:c r="D9" s="27" t="n">
        <x:f>SUMIFS('BOQ'!G8:G39,'BOQ'!B8:B39,"Reinforcement")</x:f>
        <x:v>4024100.6838441757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 t="str">
        <x:v>Formwork</x:v>
      </x:c>
      <x:c r="B10" s="30" t="n">
        <x:f>SUMIFS('BOQ'!E8:E39,'BOQ'!B8:B39,"Formwork")</x:f>
        <x:v>108799.08000000005</x:v>
      </x:c>
      <x:c r="C10" s="2" t="str">
        <x:v>m2</x:v>
      </x:c>
      <x:c r="D10" s="27" t="n">
        <x:f>SUMIFS('BOQ'!G8:G39,'BOQ'!B8:B39,"Formwork")</x:f>
        <x:v>2589263.7600000002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 t="str">
        <x:v>Facade opaque</x:v>
      </x:c>
      <x:c r="B11" s="30" t="n">
        <x:f>SUMIFS('BOQ'!E8:E39,'BOQ'!A8:A39,"EN03")</x:f>
        <x:v>19408.895999999997</x:v>
      </x:c>
      <x:c r="C11" s="2" t="str">
        <x:v>m2</x:v>
      </x:c>
      <x:c r="D11" s="27" t="n">
        <x:f>SUMIFS('BOQ'!G8:G39,'BOQ'!A8:A39,"EN03")</x:f>
        <x:v>1630347.2639999997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 t="str">
        <x:v>Glazing</x:v>
      </x:c>
      <x:c r="B12" s="30" t="n">
        <x:f>SUMIFS('BOQ'!E8:E39,'BOQ'!A8:A39,"EN04")</x:f>
        <x:v>7547.904000000001</x:v>
      </x:c>
      <x:c r="C12" s="2" t="str">
        <x:v>m2</x:v>
      </x:c>
      <x:c r="D12" s="27" t="n">
        <x:f>SUMIFS('BOQ'!G8:G39,'BOQ'!A8:A39,"EN04")</x:f>
        <x:v>1660538.8800000004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 t="str">
        <x:v>Floor finishes</x:v>
      </x:c>
      <x:c r="B13" s="30" t="n">
        <x:f>SUMIFS('BOQ'!E8:E39,'BOQ'!A8:A39,"AR04")</x:f>
        <x:v>54288</x:v>
      </x:c>
      <x:c r="C13" s="2" t="str">
        <x:v>m2</x:v>
      </x:c>
      <x:c r="D13" s="27" t="n">
        <x:f>SUMIFS('BOQ'!G8:G39,'BOQ'!A8:A39,"AR04")</x:f>
        <x:v>1872936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30" customHeight="1">
      <x:c r="A17" s="4" t="str">
        <x:v>ESTIMATE BUILD-UP</x:v>
      </x:c>
      <x:c r="B17" s="4" t="str">
        <x:v>USD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 t="str">
        <x:v>Direct measured cost</x:v>
      </x:c>
      <x:c r="B18" s="27" t="n">
        <x:f>'BOQ'!G41</x:f>
        <x:v>22616875.393844172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 t="str">
        <x:v>Preliminaries</x:v>
      </x:c>
      <x:c r="B19" s="27" t="n">
        <x:f>B18*'Controls'!$B$42</x:f>
        <x:v>1809350.0315075337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 t="str">
        <x:v>Design development allowance</x:v>
      </x:c>
      <x:c r="B20" s="27" t="n">
        <x:f>B18*'Controls'!$B$43</x:f>
        <x:v>1357012.5236306502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 t="str">
        <x:v>Cost subtotal</x:v>
      </x:c>
      <x:c r="B21" s="27" t="n">
        <x:f>SUM(B18:B20)</x:f>
        <x:v>25783237.948982354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 t="str">
        <x:v>Margin</x:v>
      </x:c>
      <x:c r="B22" s="27" t="n">
        <x:f>B21*'Controls'!$B$44</x:f>
        <x:v>1804826.656428765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30" customHeight="1">
      <x:c r="A23" s="4" t="str">
        <x:v>Package estimate excl. VAT</x:v>
      </x:c>
      <x:c r="B23" s="32" t="n">
        <x:f>B21+B22</x:f>
        <x:v>27588064.60541112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 t="str">
        <x:v>Cost per gross floor m2</x:v>
      </x:c>
      <x:c r="B24" s="27" t="n">
        <x:f>B23/('Controls'!$B$8*'Controls'!$B$9*'Controls'!$B$10*'Controls'!$B$11+'Controls'!$B$22*'Controls'!$B$23)</x:f>
        <x:v>390.9873101673912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4" customHeight="1">
      <x:c r="A28" s="2" t="str">
        <x:v>SCOPE AND DELIVERY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4" customHeight="1">
      <x:c r="A29" s="2" t="str">
        <x:v>Civil and structural works, envelope, internal partitions and finishes.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4" customHeight="1">
      <x:c r="A30" s="2" t="str">
        <x:v>Excluded: MEP systems, lifts, land, authority fees, taxes and financing.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4" customHeight="1">
      <x:c r="A31" s="2" t="str">
        <x:v>Independent portfolio project. Quantities derive from the concept geometry in Controls.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4" customHeight="1">
      <x:c r="A32" s="2" t="str">
        <x:v>Rates are editable estimating assumptions in USD; no supplier quote is claimed.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4" customHeight="1">
      <x:c r="A33" s="2" t="str">
        <x:v>Reinforcement is preliminary quantity scheduling; structural design is not included.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  <x:drawing xmlns:r="http://schemas.openxmlformats.org/officeDocument/2006/relationships" r:id="R369b34fe9a7648b4"/>
</x:worksheet>
</file>

<file path=xl/worksheets/sheet2.xml><?xml version="1.0" encoding="utf-8"?>
<x:worksheet xmlns:x="http://schemas.openxmlformats.org/spreadsheetml/2006/main">
  <x:sheetPr>
    <x:tabColor rgb="FF255E9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0" hidden="0" customWidth="1"/>
    <x:col min="2" max="2" width="16" hidden="0" customWidth="1"/>
    <x:col min="3" max="3" width="14" hidden="0" customWidth="1"/>
    <x:col min="4" max="4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Residential development | control parameters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CE-R01 / Rev 01 / 23 Oct 2026 / SI units / USD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Parameter</x:v>
      </x:c>
      <x:c r="B7" s="6" t="str">
        <x:v>Input</x:v>
      </x:c>
      <x:c r="C7" s="6" t="str">
        <x:v>Unit</x:v>
      </x:c>
      <x:c r="D7" s="6" t="str">
        <x:v>Measurement basis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7" t="str">
        <x:v>Blocks</x:v>
      </x:c>
      <x:c r="B8" s="10" t="n">
        <x:v>6</x:v>
      </x:c>
      <x:c r="C8" s="7" t="str">
        <x:v>nr</x:v>
      </x:c>
      <x:c r="D8" s="7" t="str">
        <x:v>Six identical residential towers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Residential storeys per block</x:v>
      </x:c>
      <x:c r="B9" s="11" t="n">
        <x:v>13</x:v>
      </x:c>
      <x:c r="C9" s="2" t="str">
        <x:v>nr</x:v>
      </x:c>
      <x:c r="D9" s="2" t="str">
        <x:v>Ground plus twelve upper floors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7" t="str">
        <x:v>Block length</x:v>
      </x:c>
      <x:c r="B10" s="10" t="n">
        <x:v>30</x:v>
      </x:c>
      <x:c r="C10" s="7" t="str">
        <x:v>m</x:v>
      </x:c>
      <x:c r="D10" s="7" t="str">
        <x:v>Five bays at 6 m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Block width</x:v>
      </x:c>
      <x:c r="B11" s="11" t="n">
        <x:v>24</x:v>
      </x:c>
      <x:c r="C11" s="2" t="str">
        <x:v>m</x:v>
      </x:c>
      <x:c r="D11" s="2" t="str">
        <x:v>Four bays at 6 m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7" t="str">
        <x:v>Storey height</x:v>
      </x:c>
      <x:c r="B12" s="10" t="n">
        <x:v>3.2</x:v>
      </x:c>
      <x:c r="C12" s="7" t="str">
        <x:v>m</x:v>
      </x:c>
      <x:c r="D12" s="7" t="str">
        <x:v>Floor to floor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Floor slab thickness</x:v>
      </x:c>
      <x:c r="B13" s="11" t="n">
        <x:v>0.22</x:v>
      </x:c>
      <x:c r="C13" s="2" t="str">
        <x:v>m</x:v>
      </x:c>
      <x:c r="D13" s="2" t="str">
        <x:v>Net concrete excludes stair opening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7" t="str">
        <x:v>Column width</x:v>
      </x:c>
      <x:c r="B14" s="10" t="n">
        <x:v>0.5</x:v>
      </x:c>
      <x:c r="C14" s="7" t="str">
        <x:v>m</x:v>
      </x:c>
      <x:c r="D14" s="7" t="str">
        <x:v>Square preliminary section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v>Column depth</x:v>
      </x:c>
      <x:c r="B15" s="11" t="n">
        <x:v>0.5</x:v>
      </x:c>
      <x:c r="C15" s="2" t="str">
        <x:v>m</x:v>
      </x:c>
      <x:c r="D15" s="2" t="str">
        <x:v>Square preliminary section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7" t="str">
        <x:v>Beam width</x:v>
      </x:c>
      <x:c r="B16" s="10" t="n">
        <x:v>0.3</x:v>
      </x:c>
      <x:c r="C16" s="7" t="str">
        <x:v>m</x:v>
      </x:c>
      <x:c r="D16" s="7" t="str">
        <x:v>Downstand beam below slab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 t="str">
        <x:v>Beam total depth</x:v>
      </x:c>
      <x:c r="B17" s="11" t="n">
        <x:v>0.6</x:v>
      </x:c>
      <x:c r="C17" s="2" t="str">
        <x:v>m</x:v>
      </x:c>
      <x:c r="D17" s="2" t="str">
        <x:v>Includes slab thickness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7" t="str">
        <x:v>Core wall thickness</x:v>
      </x:c>
      <x:c r="B18" s="10" t="n">
        <x:v>0.25</x:v>
      </x:c>
      <x:c r="C18" s="7" t="str">
        <x:v>m</x:v>
      </x:c>
      <x:c r="D18" s="7" t="str">
        <x:v>Clear perimeter measured separately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 t="str">
        <x:v>Core wall clear perimeter</x:v>
      </x:c>
      <x:c r="B19" s="11" t="n">
        <x:v>24</x:v>
      </x:c>
      <x:c r="C19" s="2" t="str">
        <x:v>m</x:v>
      </x:c>
      <x:c r="D19" s="2" t="str">
        <x:v>Corner overlaps excluded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7" t="str">
        <x:v>Stair opening length</x:v>
      </x:c>
      <x:c r="B20" s="10" t="n">
        <x:v>4</x:v>
      </x:c>
      <x:c r="C20" s="7" t="str">
        <x:v>m</x:v>
      </x:c>
      <x:c r="D20" s="7" t="str">
        <x:v>Central opening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 t="str">
        <x:v>Stair opening width</x:v>
      </x:c>
      <x:c r="B21" s="11" t="n">
        <x:v>6</x:v>
      </x:c>
      <x:c r="C21" s="2" t="str">
        <x:v>m</x:v>
      </x:c>
      <x:c r="D21" s="2" t="str">
        <x:v>Central opening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7" t="str">
        <x:v>Podium length</x:v>
      </x:c>
      <x:c r="B22" s="10" t="n">
        <x:v>120</x:v>
      </x:c>
      <x:c r="C22" s="7" t="str">
        <x:v>m</x:v>
      </x:c>
      <x:c r="D22" s="7" t="str">
        <x:v>One common basement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v>Podium width</x:v>
      </x:c>
      <x:c r="B23" s="11" t="n">
        <x:v>120</x:v>
      </x:c>
      <x:c r="C23" s="2" t="str">
        <x:v>m</x:v>
      </x:c>
      <x:c r="D23" s="2" t="str">
        <x:v>One common basement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7" t="str">
        <x:v>Raft base thickness</x:v>
      </x:c>
      <x:c r="B24" s="10" t="n">
        <x:v>0.7</x:v>
      </x:c>
      <x:c r="C24" s="7" t="str">
        <x:v>m</x:v>
      </x:c>
      <x:c r="D24" s="7" t="str">
        <x:v>Continuous base raft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v>Tower raft additional depth</x:v>
      </x:c>
      <x:c r="B25" s="11" t="n">
        <x:v>0.5</x:v>
      </x:c>
      <x:c r="C25" s="2" t="str">
        <x:v>m</x:v>
      </x:c>
      <x:c r="D25" s="2" t="str">
        <x:v>Thickening only, no duplicate base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7" t="str">
        <x:v>Excavation depth</x:v>
      </x:c>
      <x:c r="B26" s="10" t="n">
        <x:v>4.5</x:v>
      </x:c>
      <x:c r="C26" s="7" t="str">
        <x:v>m</x:v>
      </x:c>
      <x:c r="D26" s="7" t="str">
        <x:v>One basement and foundation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v>Excavation working allowance</x:v>
      </x:c>
      <x:c r="B27" s="11" t="n">
        <x:v>2</x:v>
      </x:c>
      <x:c r="C27" s="2" t="str">
        <x:v>m</x:v>
      </x:c>
      <x:c r="D27" s="2" t="str">
        <x:v>Each side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7" t="str">
        <x:v>Blinding thickness</x:v>
      </x:c>
      <x:c r="B28" s="10" t="n">
        <x:v>0.1</x:v>
      </x:c>
      <x:c r="C28" s="7" t="str">
        <x:v>m</x:v>
      </x:c>
      <x:c r="D28" s="7" t="str">
        <x:v>Whole raft footprint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 t="str">
        <x:v>Basement wall height</x:v>
      </x:c>
      <x:c r="B29" s="11" t="n">
        <x:v>3.5</x:v>
      </x:c>
      <x:c r="C29" s="2" t="str">
        <x:v>m</x:v>
      </x:c>
      <x:c r="D29" s="2" t="str">
        <x:v>Above raft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7" t="str">
        <x:v>Basement wall thickness</x:v>
      </x:c>
      <x:c r="B30" s="10" t="n">
        <x:v>0.3</x:v>
      </x:c>
      <x:c r="C30" s="7" t="str">
        <x:v>m</x:v>
      </x:c>
      <x:c r="D30" s="7" t="str">
        <x:v>Net perimeter 4 x (120 - 0.3)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 t="str">
        <x:v>Roof/podium slab thickness</x:v>
      </x:c>
      <x:c r="B31" s="11" t="n">
        <x:v>0.25</x:v>
      </x:c>
      <x:c r="C31" s="2" t="str">
        <x:v>m</x:v>
      </x:c>
      <x:c r="D31" s="2" t="str">
        <x:v>Podium roof excludes tower footprints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7" t="str">
        <x:v>Slab reinforcement spacing</x:v>
      </x:c>
      <x:c r="B32" s="10" t="n">
        <x:v>0.2</x:v>
      </x:c>
      <x:c r="C32" s="7" t="str">
        <x:v>m</x:v>
      </x:c>
      <x:c r="D32" s="7" t="str">
        <x:v>Each direction, top and bottom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 t="str">
        <x:v>Slab cover</x:v>
      </x:c>
      <x:c r="B33" s="11" t="n">
        <x:v>0.025</x:v>
      </x:c>
      <x:c r="C33" s="2" t="str">
        <x:v>m</x:v>
      </x:c>
      <x:c r="D33" s="2" t="str">
        <x:v>Nominal geometric allowance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7" t="str">
        <x:v>Rebar procurement allowance</x:v>
      </x:c>
      <x:c r="B34" s="10" t="n">
        <x:v>0.04</x:v>
      </x:c>
      <x:c r="C34" s="7" t="str">
        <x:v>ratio</x:v>
      </x:c>
      <x:c r="D34" s="7" t="str">
        <x:v>Only on net scheduled reinforcement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 t="str">
        <x:v>Concrete procurement allowance</x:v>
      </x:c>
      <x:c r="B35" s="11" t="n">
        <x:v>0.025</x:v>
      </x:c>
      <x:c r="C35" s="2" t="str">
        <x:v>ratio</x:v>
      </x:c>
      <x:c r="D35" s="2" t="str">
        <x:v>Only on net concrete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7" t="str">
        <x:v>Masonry procurement allowance</x:v>
      </x:c>
      <x:c r="B36" s="10" t="n">
        <x:v>0.05</x:v>
      </x:c>
      <x:c r="C36" s="7" t="str">
        <x:v>ratio</x:v>
      </x:c>
      <x:c r="D36" s="7" t="str">
        <x:v>Only on net masonry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 t="str">
        <x:v>Cladding allowance</x:v>
      </x:c>
      <x:c r="B37" s="11" t="n">
        <x:v>0.04</x:v>
      </x:c>
      <x:c r="C37" s="2" t="str">
        <x:v>ratio</x:v>
      </x:c>
      <x:c r="D37" s="2" t="str">
        <x:v>Procurement only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7" t="str">
        <x:v>Excavated soil bulking</x:v>
      </x:c>
      <x:c r="B38" s="10" t="n">
        <x:v>1.2</x:v>
      </x:c>
      <x:c r="C38" s="7" t="str">
        <x:v>factor</x:v>
      </x:c>
      <x:c r="D38" s="7" t="str">
        <x:v>Haulage basis, not in-situ excavation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 t="str">
        <x:v>USD material price factor</x:v>
      </x:c>
      <x:c r="B39" s="11" t="n">
        <x:v>1</x:v>
      </x:c>
      <x:c r="C39" s="2" t="str">
        <x:v>factor</x:v>
      </x:c>
      <x:c r="D39" s="2" t="str">
        <x:v>Editable estimating assumption, not supplier quote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7" t="str">
        <x:v>Labor rate factor</x:v>
      </x:c>
      <x:c r="B40" s="10" t="n">
        <x:v>1</x:v>
      </x:c>
      <x:c r="C40" s="7" t="str">
        <x:v>factor</x:v>
      </x:c>
      <x:c r="D40" s="7" t="str">
        <x:v>Editable estimating assumption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 t="str">
        <x:v>Plant rate factor</x:v>
      </x:c>
      <x:c r="B41" s="11" t="n">
        <x:v>1</x:v>
      </x:c>
      <x:c r="C41" s="2" t="str">
        <x:v>factor</x:v>
      </x:c>
      <x:c r="D41" s="2" t="str">
        <x:v>Editable estimating assumption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7" t="str">
        <x:v>Preliminaries</x:v>
      </x:c>
      <x:c r="B42" s="10" t="n">
        <x:v>0.08</x:v>
      </x:c>
      <x:c r="C42" s="7" t="str">
        <x:v>ratio</x:v>
      </x:c>
      <x:c r="D42" s="7" t="str">
        <x:v>Applied to direct measured cost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 t="str">
        <x:v>Design development allowance</x:v>
      </x:c>
      <x:c r="B43" s="11" t="n">
        <x:v>0.06</x:v>
      </x:c>
      <x:c r="C43" s="2" t="str">
        <x:v>ratio</x:v>
      </x:c>
      <x:c r="D43" s="2" t="str">
        <x:v>Applied to direct measured cost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7" t="str">
        <x:v>Margin</x:v>
      </x:c>
      <x:c r="B44" s="10" t="n">
        <x:v>0.07</x:v>
      </x:c>
      <x:c r="C44" s="7" t="str">
        <x:v>ratio</x:v>
      </x:c>
      <x:c r="D44" s="7" t="str">
        <x:v>Applied to cost including allowances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 t="str">
        <x:v>Masonry length per storey</x:v>
      </x:c>
      <x:c r="B45" s="11" t="n">
        <x:v>220</x:v>
      </x:c>
      <x:c r="C45" s="2" t="str">
        <x:v>m</x:v>
      </x:c>
      <x:c r="D45" s="2" t="str">
        <x:v>Gross internal partition centerline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7" t="str">
        <x:v>Masonry thickness</x:v>
      </x:c>
      <x:c r="B46" s="10" t="n">
        <x:v>0.15</x:v>
      </x:c>
      <x:c r="C46" s="7" t="str">
        <x:v>m</x:v>
      </x:c>
      <x:c r="D46" s="7" t="str">
        <x:v>Net volume after opening deduction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 t="str">
        <x:v>External glazing share</x:v>
      </x:c>
      <x:c r="B47" s="11" t="n">
        <x:v>0.28</x:v>
      </x:c>
      <x:c r="C47" s="2" t="str">
        <x:v>ratio</x:v>
      </x:c>
      <x:c r="D47" s="2" t="str">
        <x:v>Of gross external elevation area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7" t="str">
        <x:v>Door count per storey</x:v>
      </x:c>
      <x:c r="B48" s="10" t="n">
        <x:v>28</x:v>
      </x:c>
      <x:c r="C48" s="7" t="str">
        <x:v>nr</x:v>
      </x:c>
      <x:c r="D48" s="7" t="str">
        <x:v>Internal and entry doors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 t="str">
        <x:v>Door width</x:v>
      </x:c>
      <x:c r="B49" s="11" t="n">
        <x:v>0.9</x:v>
      </x:c>
      <x:c r="C49" s="2" t="str">
        <x:v>m</x:v>
      </x:c>
      <x:c r="D49" s="2" t="str">
        <x:v>Nominal clear opening</x:v>
      </x:c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7" t="str">
        <x:v>Door height</x:v>
      </x:c>
      <x:c r="B50" s="10" t="n">
        <x:v>2.1</x:v>
      </x:c>
      <x:c r="C50" s="7" t="str">
        <x:v>m</x:v>
      </x:c>
      <x:c r="D50" s="7" t="str">
        <x:v>Nominal clear opening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 t="str">
        <x:v>Internal wall paint coats</x:v>
      </x:c>
      <x:c r="B51" s="11" t="n">
        <x:v>2</x:v>
      </x:c>
      <x:c r="C51" s="2" t="str">
        <x:v>nr</x:v>
      </x:c>
      <x:c r="D51" s="2" t="str">
        <x:v>BOQ in finished m2, coats in rate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7" t="str">
        <x:v>Steel density factor</x:v>
      </x:c>
      <x:c r="B52" s="10" t="n">
        <x:v>0.006165</x:v>
      </x:c>
      <x:c r="C52" s="7" t="str">
        <x:v>kg/m/mm2</x:v>
      </x:c>
      <x:c r="D52" s="7" t="str">
        <x:v>Mass = diameter squared x length x factor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 t="str">
        <x:v>Scope VAT rate</x:v>
      </x:c>
      <x:c r="B53" s="11" t="n">
        <x:v>0</x:v>
      </x:c>
      <x:c r="C53" s="2" t="str">
        <x:v>ratio</x:v>
      </x:c>
      <x:c r="D53" s="2" t="str">
        <x:v>VAT excluded from estimate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7" t="str">
        <x:v>Floor finish waste</x:v>
      </x:c>
      <x:c r="B54" s="10" t="n">
        <x:v>0.07</x:v>
      </x:c>
      <x:c r="C54" s="7" t="str">
        <x:v>ratio</x:v>
      </x:c>
      <x:c r="D54" s="7" t="str">
        <x:v>Procurement only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52" hidden="0" customWidth="1"/>
    <x:col min="4" max="4" width="10" hidden="0" customWidth="1"/>
    <x:col min="5" max="5" width="20" hidden="0" customWidth="1"/>
    <x:col min="6" max="6" width="17" hidden="0" customWidth="1"/>
    <x:col min="7" max="7" width="22" hidden="0" customWidth="1"/>
    <x:col min="8" max="8" width="5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Measured bill of quantities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Civil, structural, envelope and architectural package. MEP, lifts, land and taxes excluded.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Code</x:v>
      </x:c>
      <x:c r="B7" s="6" t="str">
        <x:v>Trade</x:v>
      </x:c>
      <x:c r="C7" s="6" t="str">
        <x:v>Description</x:v>
      </x:c>
      <x:c r="D7" s="6" t="str">
        <x:v>Unit</x:v>
      </x:c>
      <x:c r="E7" s="6" t="str">
        <x:v>Net quantity</x:v>
      </x:c>
      <x:c r="F7" s="6" t="str">
        <x:v>Rate USD</x:v>
      </x:c>
      <x:c r="G7" s="6" t="str">
        <x:v>Amount USD</x:v>
      </x:c>
      <x:c r="H7" s="6" t="str">
        <x:v>Basis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7" t="str">
        <x:v>EW01</x:v>
      </x:c>
      <x:c r="B8" s="7" t="str">
        <x:v>Earthworks</x:v>
      </x:c>
      <x:c r="C8" s="7" t="str">
        <x:v>Bulk excavation</x:v>
      </x:c>
      <x:c r="D8" s="7" t="str">
        <x:v>m3</x:v>
      </x:c>
      <x:c r="E8" s="16" t="n">
        <x:f>SUMIFS('Measurements'!$K$8:$K$1842,'Measurements'!$B$8:$B$1842,A8)</x:f>
        <x:v>69192</x:v>
      </x:c>
      <x:c r="F8" s="16" t="n">
        <x:f>'Rate analysis'!H8</x:f>
        <x:v>7.4</x:v>
      </x:c>
      <x:c r="G8" s="16" t="n">
        <x:f>E8*F8</x:f>
        <x:v>512020.80000000005</x:v>
      </x:c>
      <x:c r="H8" s="7" t="str">
        <x:v>Measurements, net installed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EW02</x:v>
      </x:c>
      <x:c r="B9" s="2" t="str">
        <x:v>Earthworks</x:v>
      </x:c>
      <x:c r="C9" s="2" t="str">
        <x:v>Dispose surplus, loose measure</x:v>
      </x:c>
      <x:c r="D9" s="2" t="str">
        <x:v>m3</x:v>
      </x:c>
      <x:c r="E9" s="18" t="n">
        <x:f>(E8-E10)*'Controls'!$B$38</x:f>
        <x:v>77760</x:v>
      </x:c>
      <x:c r="F9" s="18" t="n">
        <x:f>'Rate analysis'!H9</x:f>
        <x:v>6.4</x:v>
      </x:c>
      <x:c r="G9" s="18" t="n">
        <x:f>E9*F9</x:f>
        <x:v>497664</x:v>
      </x:c>
      <x:c r="H9" s="2" t="str">
        <x:v>Excavation minus backfill, bulked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7" t="str">
        <x:v>EW03</x:v>
      </x:c>
      <x:c r="B10" s="7" t="str">
        <x:v>Earthworks</x:v>
      </x:c>
      <x:c r="C10" s="7" t="str">
        <x:v>Selected compacted backfill</x:v>
      </x:c>
      <x:c r="D10" s="7" t="str">
        <x:v>m3</x:v>
      </x:c>
      <x:c r="E10" s="16" t="n">
        <x:f>SUMIFS('Measurements'!$K$8:$K$1842,'Measurements'!$B$8:$B$1842,A10)</x:f>
        <x:v>4392</x:v>
      </x:c>
      <x:c r="F10" s="16" t="n">
        <x:f>'Rate analysis'!H10</x:f>
        <x:v>15.3</x:v>
      </x:c>
      <x:c r="G10" s="16" t="n">
        <x:f>E10*F10</x:f>
        <x:v>67197.6</x:v>
      </x:c>
      <x:c r="H10" s="7" t="str">
        <x:v>Measurements, net installed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RC01</x:v>
      </x:c>
      <x:c r="B11" s="2" t="str">
        <x:v>Concrete</x:v>
      </x:c>
      <x:c r="C11" s="2" t="str">
        <x:v>Lean concrete blinding</x:v>
      </x:c>
      <x:c r="D11" s="2" t="str">
        <x:v>m3</x:v>
      </x:c>
      <x:c r="E11" s="18" t="n">
        <x:f>SUMIFS('Measurements'!$K$8:$K$1842,'Measurements'!$B$8:$B$1842,A11)</x:f>
        <x:v>1440</x:v>
      </x:c>
      <x:c r="F11" s="18" t="n">
        <x:f>'Rate analysis'!H11</x:f>
        <x:v>94</x:v>
      </x:c>
      <x:c r="G11" s="18" t="n">
        <x:f>E11*F11</x:f>
        <x:v>135360</x:v>
      </x:c>
      <x:c r="H11" s="2" t="str">
        <x:v>Measurements, net installed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7" t="str">
        <x:v>RC02</x:v>
      </x:c>
      <x:c r="B12" s="7" t="str">
        <x:v>Concrete</x:v>
      </x:c>
      <x:c r="C12" s="7" t="str">
        <x:v>Raft and thickening concrete</x:v>
      </x:c>
      <x:c r="D12" s="7" t="str">
        <x:v>m3</x:v>
      </x:c>
      <x:c r="E12" s="16" t="n">
        <x:f>SUMIFS('Measurements'!$K$8:$K$1842,'Measurements'!$B$8:$B$1842,A12)</x:f>
        <x:v>12240</x:v>
      </x:c>
      <x:c r="F12" s="16" t="n">
        <x:f>'Rate analysis'!H12</x:f>
        <x:v>136</x:v>
      </x:c>
      <x:c r="G12" s="16" t="n">
        <x:f>E12*F12</x:f>
        <x:v>1664640</x:v>
      </x:c>
      <x:c r="H12" s="7" t="str">
        <x:v>Measurements, net installed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RC03</x:v>
      </x:c>
      <x:c r="B13" s="2" t="str">
        <x:v>Concrete</x:v>
      </x:c>
      <x:c r="C13" s="2" t="str">
        <x:v>Suspended floor slab concrete</x:v>
      </x:c>
      <x:c r="D13" s="2" t="str">
        <x:v>m3</x:v>
      </x:c>
      <x:c r="E13" s="18" t="n">
        <x:f>SUMIFS('Measurements'!$K$8:$K$1842,'Measurements'!$B$8:$B$1842,A13)</x:f>
        <x:v>11943.359999999971</x:v>
      </x:c>
      <x:c r="F13" s="18" t="n">
        <x:f>'Rate analysis'!H13</x:f>
        <x:v>143</x:v>
      </x:c>
      <x:c r="G13" s="18" t="n">
        <x:f>E13*F13</x:f>
        <x:v>1707900.479999996</x:v>
      </x:c>
      <x:c r="H13" s="2" t="str">
        <x:v>Measurements, net installed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7" t="str">
        <x:v>RC04</x:v>
      </x:c>
      <x:c r="B14" s="7" t="str">
        <x:v>Concrete</x:v>
      </x:c>
      <x:c r="C14" s="7" t="str">
        <x:v>Beam downstand concrete</x:v>
      </x:c>
      <x:c r="D14" s="7" t="str">
        <x:v>m3</x:v>
      </x:c>
      <x:c r="E14" s="16" t="n">
        <x:f>SUMIFS('Measurements'!$K$8:$K$1842,'Measurements'!$B$8:$B$1842,A14)</x:f>
        <x:v>2396.3939999999975</x:v>
      </x:c>
      <x:c r="F14" s="16" t="n">
        <x:f>'Rate analysis'!H14</x:f>
        <x:v>151</x:v>
      </x:c>
      <x:c r="G14" s="16" t="n">
        <x:f>E14*F14</x:f>
        <x:v>361855.4939999996</x:v>
      </x:c>
      <x:c r="H14" s="7" t="str">
        <x:v>Measurements, net installed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v>RC05</x:v>
      </x:c>
      <x:c r="B15" s="2" t="str">
        <x:v>Concrete</x:v>
      </x:c>
      <x:c r="C15" s="2" t="str">
        <x:v>Column concrete</x:v>
      </x:c>
      <x:c r="D15" s="2" t="str">
        <x:v>m3</x:v>
      </x:c>
      <x:c r="E15" s="18" t="n">
        <x:f>SUMIFS('Measurements'!$K$8:$K$1842,'Measurements'!$B$8:$B$1842,A15)</x:f>
        <x:v>1743.2999999999977</x:v>
      </x:c>
      <x:c r="F15" s="18" t="n">
        <x:f>'Rate analysis'!H15</x:f>
        <x:v>164</x:v>
      </x:c>
      <x:c r="G15" s="18" t="n">
        <x:f>E15*F15</x:f>
        <x:v>285901.1999999996</x:v>
      </x:c>
      <x:c r="H15" s="2" t="str">
        <x:v>Measurements, net installed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7" t="str">
        <x:v>RC06</x:v>
      </x:c>
      <x:c r="B16" s="7" t="str">
        <x:v>Concrete</x:v>
      </x:c>
      <x:c r="C16" s="7" t="str">
        <x:v>Core wall concrete</x:v>
      </x:c>
      <x:c r="D16" s="7" t="str">
        <x:v>m3</x:v>
      </x:c>
      <x:c r="E16" s="16" t="n">
        <x:f>SUMIFS('Measurements'!$K$8:$K$1842,'Measurements'!$B$8:$B$1842,A16)</x:f>
        <x:v>1394.6400000000021</x:v>
      </x:c>
      <x:c r="F16" s="16" t="n">
        <x:f>'Rate analysis'!H16</x:f>
        <x:v>161</x:v>
      </x:c>
      <x:c r="G16" s="16" t="n">
        <x:f>E16*F16</x:f>
        <x:v>224537.04000000036</x:v>
      </x:c>
      <x:c r="H16" s="7" t="str">
        <x:v>Measurements, net installed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 t="str">
        <x:v>RC07</x:v>
      </x:c>
      <x:c r="B17" s="2" t="str">
        <x:v>Concrete</x:v>
      </x:c>
      <x:c r="C17" s="2" t="str">
        <x:v>Stair concrete</x:v>
      </x:c>
      <x:c r="D17" s="2" t="str">
        <x:v>m3</x:v>
      </x:c>
      <x:c r="E17" s="18" t="n">
        <x:f>SUMIFS('Measurements'!$K$8:$K$1842,'Measurements'!$B$8:$B$1842,A17)</x:f>
        <x:v>205.54559999999987</x:v>
      </x:c>
      <x:c r="F17" s="18" t="n">
        <x:f>'Rate analysis'!H17</x:f>
        <x:v>170</x:v>
      </x:c>
      <x:c r="G17" s="18" t="n">
        <x:f>E17*F17</x:f>
        <x:v>34942.75199999998</x:v>
      </x:c>
      <x:c r="H17" s="2" t="str">
        <x:v>Measurements, net installed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7" t="str">
        <x:v>RC08</x:v>
      </x:c>
      <x:c r="B18" s="7" t="str">
        <x:v>Concrete</x:v>
      </x:c>
      <x:c r="C18" s="7" t="str">
        <x:v>Basement perimeter wall concrete</x:v>
      </x:c>
      <x:c r="D18" s="7" t="str">
        <x:v>m3</x:v>
      </x:c>
      <x:c r="E18" s="16" t="n">
        <x:f>SUMIFS('Measurements'!$K$8:$K$1842,'Measurements'!$B$8:$B$1842,A18)</x:f>
        <x:v>502.73999999999995</x:v>
      </x:c>
      <x:c r="F18" s="16" t="n">
        <x:f>'Rate analysis'!H18</x:f>
        <x:v>155</x:v>
      </x:c>
      <x:c r="G18" s="16" t="n">
        <x:f>E18*F18</x:f>
        <x:v>77924.7</x:v>
      </x:c>
      <x:c r="H18" s="7" t="str">
        <x:v>Measurements, net installed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 t="str">
        <x:v>RC09</x:v>
      </x:c>
      <x:c r="B19" s="2" t="str">
        <x:v>Concrete</x:v>
      </x:c>
      <x:c r="C19" s="2" t="str">
        <x:v>Podium roof slab concrete</x:v>
      </x:c>
      <x:c r="D19" s="2" t="str">
        <x:v>m3</x:v>
      </x:c>
      <x:c r="E19" s="18" t="n">
        <x:f>SUMIFS('Measurements'!$K$8:$K$1842,'Measurements'!$B$8:$B$1842,A19)</x:f>
        <x:v>2520</x:v>
      </x:c>
      <x:c r="F19" s="18" t="n">
        <x:f>'Rate analysis'!H19</x:f>
        <x:v>143</x:v>
      </x:c>
      <x:c r="G19" s="18" t="n">
        <x:f>E19*F19</x:f>
        <x:v>360360</x:v>
      </x:c>
      <x:c r="H19" s="2" t="str">
        <x:v>Measurements, net installed</x:v>
      </x:c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7" t="str">
        <x:v>RB01</x:v>
      </x:c>
      <x:c r="B20" s="7" t="str">
        <x:v>Reinforcement</x:v>
      </x:c>
      <x:c r="C20" s="7" t="str">
        <x:v>Scheduled reinforcement, cut bend fix</x:v>
      </x:c>
      <x:c r="D20" s="7" t="str">
        <x:v>t</x:v>
      </x:c>
      <x:c r="E20" s="16" t="n">
        <x:f>SUM('Rebar schedule'!I8:I1029)/1000</x:f>
        <x:v>4630.725758163609</x:v>
      </x:c>
      <x:c r="F20" s="16" t="n">
        <x:f>'Rate analysis'!H20</x:f>
        <x:v>869</x:v>
      </x:c>
      <x:c r="G20" s="16" t="n">
        <x:f>E20*F20</x:f>
        <x:v>4024100.6838441757</x:v>
      </x:c>
      <x:c r="H20" s="7" t="str">
        <x:v>Rebar schedule, net tonnes</x:v>
      </x:c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 t="str">
        <x:v>FW01</x:v>
      </x:c>
      <x:c r="B21" s="2" t="str">
        <x:v>Formwork</x:v>
      </x:c>
      <x:c r="C21" s="2" t="str">
        <x:v>Slab soffit formwork</x:v>
      </x:c>
      <x:c r="D21" s="2" t="str">
        <x:v>m2</x:v>
      </x:c>
      <x:c r="E21" s="18" t="n">
        <x:f>SUMIFS('Measurements'!$K$8:$K$1842,'Measurements'!$B$8:$B$1842,A21)</x:f>
        <x:v>47981.70000000007</x:v>
      </x:c>
      <x:c r="F21" s="18" t="n">
        <x:f>'Rate analysis'!H21</x:f>
        <x:v>22</x:v>
      </x:c>
      <x:c r="G21" s="18" t="n">
        <x:f>E21*F21</x:f>
        <x:v>1055597.4000000015</x:v>
      </x:c>
      <x:c r="H21" s="2" t="str">
        <x:v>Measurements, net installed</x:v>
      </x:c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7" t="str">
        <x:v>FW02</x:v>
      </x:c>
      <x:c r="B22" s="7" t="str">
        <x:v>Formwork</x:v>
      </x:c>
      <x:c r="C22" s="7" t="str">
        <x:v>Beam sides and soffit formwork</x:v>
      </x:c>
      <x:c r="D22" s="7" t="str">
        <x:v>m2</x:v>
      </x:c>
      <x:c r="E22" s="16" t="n">
        <x:f>SUMIFS('Measurements'!$K$8:$K$1842,'Measurements'!$B$8:$B$1842,A22)</x:f>
        <x:v>22282.259999999966</x:v>
      </x:c>
      <x:c r="F22" s="16" t="n">
        <x:f>'Rate analysis'!H22</x:f>
        <x:v>26</x:v>
      </x:c>
      <x:c r="G22" s="16" t="n">
        <x:f>E22*F22</x:f>
        <x:v>579338.7599999991</x:v>
      </x:c>
      <x:c r="H22" s="7" t="str">
        <x:v>Measurements, net installed</x:v>
      </x:c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v>FW03</x:v>
      </x:c>
      <x:c r="B23" s="2" t="str">
        <x:v>Formwork</x:v>
      </x:c>
      <x:c r="C23" s="2" t="str">
        <x:v>Column formwork</x:v>
      </x:c>
      <x:c r="D23" s="2" t="str">
        <x:v>m2</x:v>
      </x:c>
      <x:c r="E23" s="18" t="n">
        <x:f>SUMIFS('Measurements'!$K$8:$K$1842,'Measurements'!$B$8:$B$1842,A23)</x:f>
        <x:v>13946.399999999981</x:v>
      </x:c>
      <x:c r="F23" s="18" t="n">
        <x:f>'Rate analysis'!H23</x:f>
        <x:v>27</x:v>
      </x:c>
      <x:c r="G23" s="18" t="n">
        <x:f>E23*F23</x:f>
        <x:v>376552.7999999995</x:v>
      </x:c>
      <x:c r="H23" s="2" t="str">
        <x:v>Measurements, net installed</x:v>
      </x:c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7" t="str">
        <x:v>FW04</x:v>
      </x:c>
      <x:c r="B24" s="7" t="str">
        <x:v>Formwork</x:v>
      </x:c>
      <x:c r="C24" s="7" t="str">
        <x:v>Core wall formwork, both faces</x:v>
      </x:c>
      <x:c r="D24" s="7" t="str">
        <x:v>m2</x:v>
      </x:c>
      <x:c r="E24" s="16" t="n">
        <x:f>SUMIFS('Measurements'!$K$8:$K$1842,'Measurements'!$B$8:$B$1842,A24)</x:f>
        <x:v>11157.120000000017</x:v>
      </x:c>
      <x:c r="F24" s="16" t="n">
        <x:f>'Rate analysis'!H24</x:f>
        <x:v>25</x:v>
      </x:c>
      <x:c r="G24" s="16" t="n">
        <x:f>E24*F24</x:f>
        <x:v>278928.0000000004</x:v>
      </x:c>
      <x:c r="H24" s="7" t="str">
        <x:v>Measurements, net installed</x:v>
      </x:c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v>FW05</x:v>
      </x:c>
      <x:c r="B25" s="2" t="str">
        <x:v>Formwork</x:v>
      </x:c>
      <x:c r="C25" s="2" t="str">
        <x:v>Basement wall formwork</x:v>
      </x:c>
      <x:c r="D25" s="2" t="str">
        <x:v>m2</x:v>
      </x:c>
      <x:c r="E25" s="18" t="n">
        <x:f>SUMIFS('Measurements'!$K$8:$K$1842,'Measurements'!$B$8:$B$1842,A25)</x:f>
        <x:v>3351.6</x:v>
      </x:c>
      <x:c r="F25" s="18" t="n">
        <x:f>'Rate analysis'!H25</x:f>
        <x:v>23</x:v>
      </x:c>
      <x:c r="G25" s="18" t="n">
        <x:f>E25*F25</x:f>
        <x:v>77086.8</x:v>
      </x:c>
      <x:c r="H25" s="2" t="str">
        <x:v>Measurements, net installed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7" t="str">
        <x:v>FW06</x:v>
      </x:c>
      <x:c r="B26" s="7" t="str">
        <x:v>Formwork</x:v>
      </x:c>
      <x:c r="C26" s="7" t="str">
        <x:v>Podium soffit formwork</x:v>
      </x:c>
      <x:c r="D26" s="7" t="str">
        <x:v>m2</x:v>
      </x:c>
      <x:c r="E26" s="16" t="n">
        <x:f>SUMIFS('Measurements'!$K$8:$K$1842,'Measurements'!$B$8:$B$1842,A26)</x:f>
        <x:v>10080</x:v>
      </x:c>
      <x:c r="F26" s="16" t="n">
        <x:f>'Rate analysis'!H26</x:f>
        <x:v>22</x:v>
      </x:c>
      <x:c r="G26" s="16" t="n">
        <x:f>E26*F26</x:f>
        <x:v>221760</x:v>
      </x:c>
      <x:c r="H26" s="7" t="str">
        <x:v>Measurements, net installed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v>EN01</x:v>
      </x:c>
      <x:c r="B27" s="2" t="str">
        <x:v>Envelope</x:v>
      </x:c>
      <x:c r="C27" s="2" t="str">
        <x:v>Basement waterproofing membrane</x:v>
      </x:c>
      <x:c r="D27" s="2" t="str">
        <x:v>m2</x:v>
      </x:c>
      <x:c r="E27" s="18" t="n">
        <x:f>SUMIFS('Measurements'!$K$8:$K$1842,'Measurements'!$B$8:$B$1842,A27)</x:f>
        <x:v>16080</x:v>
      </x:c>
      <x:c r="F27" s="18" t="n">
        <x:f>'Rate analysis'!H27</x:f>
        <x:v>18</x:v>
      </x:c>
      <x:c r="G27" s="18" t="n">
        <x:f>E27*F27</x:f>
        <x:v>289440</x:v>
      </x:c>
      <x:c r="H27" s="2" t="str">
        <x:v>Measurements, net installed</x:v>
      </x:c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7" t="str">
        <x:v>EN02</x:v>
      </x:c>
      <x:c r="B28" s="7" t="str">
        <x:v>Envelope</x:v>
      </x:c>
      <x:c r="C28" s="7" t="str">
        <x:v>Roof waterproofing membrane</x:v>
      </x:c>
      <x:c r="D28" s="7" t="str">
        <x:v>m2</x:v>
      </x:c>
      <x:c r="E28" s="16" t="n">
        <x:f>SUMIFS('Measurements'!$K$8:$K$1842,'Measurements'!$B$8:$B$1842,A28)</x:f>
        <x:v>14400</x:v>
      </x:c>
      <x:c r="F28" s="16" t="n">
        <x:f>'Rate analysis'!H28</x:f>
        <x:v>20</x:v>
      </x:c>
      <x:c r="G28" s="16" t="n">
        <x:f>E28*F28</x:f>
        <x:v>288000</x:v>
      </x:c>
      <x:c r="H28" s="7" t="str">
        <x:v>Measurements, net installed</x:v>
      </x:c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 t="str">
        <x:v>EN03</x:v>
      </x:c>
      <x:c r="B29" s="2" t="str">
        <x:v>Envelope</x:v>
      </x:c>
      <x:c r="C29" s="2" t="str">
        <x:v>External insulated facade, opaque area</x:v>
      </x:c>
      <x:c r="D29" s="2" t="str">
        <x:v>m2</x:v>
      </x:c>
      <x:c r="E29" s="18" t="n">
        <x:f>SUMIFS('Measurements'!$K$8:$K$1842,'Measurements'!$B$8:$B$1842,A29)</x:f>
        <x:v>19408.895999999997</x:v>
      </x:c>
      <x:c r="F29" s="18" t="n">
        <x:f>'Rate analysis'!H29</x:f>
        <x:v>84</x:v>
      </x:c>
      <x:c r="G29" s="18" t="n">
        <x:f>E29*F29</x:f>
        <x:v>1630347.2639999997</x:v>
      </x:c>
      <x:c r="H29" s="2" t="str">
        <x:v>Measurements, net installed</x:v>
      </x:c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7" t="str">
        <x:v>EN04</x:v>
      </x:c>
      <x:c r="B30" s="7" t="str">
        <x:v>Envelope</x:v>
      </x:c>
      <x:c r="C30" s="7" t="str">
        <x:v>External glazing and frames</x:v>
      </x:c>
      <x:c r="D30" s="7" t="str">
        <x:v>m2</x:v>
      </x:c>
      <x:c r="E30" s="16" t="n">
        <x:f>SUMIFS('Measurements'!$K$8:$K$1842,'Measurements'!$B$8:$B$1842,A30)</x:f>
        <x:v>7547.904000000001</x:v>
      </x:c>
      <x:c r="F30" s="16" t="n">
        <x:f>'Rate analysis'!H30</x:f>
        <x:v>220</x:v>
      </x:c>
      <x:c r="G30" s="16" t="n">
        <x:f>E30*F30</x:f>
        <x:v>1660538.8800000004</x:v>
      </x:c>
      <x:c r="H30" s="7" t="str">
        <x:v>Measurements, net installed</x:v>
      </x:c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 t="str">
        <x:v>AR01</x:v>
      </x:c>
      <x:c r="B31" s="2" t="str">
        <x:v>Finishes</x:v>
      </x:c>
      <x:c r="C31" s="2" t="str">
        <x:v>Internal masonry partitions</x:v>
      </x:c>
      <x:c r="D31" s="2" t="str">
        <x:v>m3</x:v>
      </x:c>
      <x:c r="E31" s="18" t="n">
        <x:f>SUMIFS('Measurements'!$K$8:$K$1842,'Measurements'!$B$8:$B$1842,A31)</x:f>
        <x:v>7051.356000000001</x:v>
      </x:c>
      <x:c r="F31" s="18" t="n">
        <x:f>'Rate analysis'!H31</x:f>
        <x:v>135</x:v>
      </x:c>
      <x:c r="G31" s="18" t="n">
        <x:f>E31*F31</x:f>
        <x:v>951933.06</x:v>
      </x:c>
      <x:c r="H31" s="2" t="str">
        <x:v>Measurements, net installed</x:v>
      </x:c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7" t="str">
        <x:v>AR02</x:v>
      </x:c>
      <x:c r="B32" s="7" t="str">
        <x:v>Finishes</x:v>
      </x:c>
      <x:c r="C32" s="7" t="str">
        <x:v>Internal plaster, both faces net</x:v>
      </x:c>
      <x:c r="D32" s="7" t="str">
        <x:v>m2</x:v>
      </x:c>
      <x:c r="E32" s="16" t="n">
        <x:f>SUMIFS('Measurements'!$K$8:$K$1842,'Measurements'!$B$8:$B$1842,A32)</x:f>
        <x:v>94018.08000000005</x:v>
      </x:c>
      <x:c r="F32" s="16" t="n">
        <x:f>'Rate analysis'!H32</x:f>
        <x:v>12.5</x:v>
      </x:c>
      <x:c r="G32" s="16" t="n">
        <x:f>E32*F32</x:f>
        <x:v>1175226.0000000005</x:v>
      </x:c>
      <x:c r="H32" s="7" t="str">
        <x:v>Measurements, net installed</x:v>
      </x:c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 t="str">
        <x:v>AR03</x:v>
      </x:c>
      <x:c r="B33" s="2" t="str">
        <x:v>Finishes</x:v>
      </x:c>
      <x:c r="C33" s="2" t="str">
        <x:v>Floor screed, 50 mm</x:v>
      </x:c>
      <x:c r="D33" s="2" t="str">
        <x:v>m2</x:v>
      </x:c>
      <x:c r="E33" s="18" t="n">
        <x:f>SUMIFS('Measurements'!$K$8:$K$1842,'Measurements'!$B$8:$B$1842,A33)</x:f>
        <x:v>54288</x:v>
      </x:c>
      <x:c r="F33" s="18" t="n">
        <x:f>'Rate analysis'!H33</x:f>
        <x:v>13</x:v>
      </x:c>
      <x:c r="G33" s="18" t="n">
        <x:f>E33*F33</x:f>
        <x:v>705744</x:v>
      </x:c>
      <x:c r="H33" s="2" t="str">
        <x:v>Measurements, net installed</x:v>
      </x:c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7" t="str">
        <x:v>AR04</x:v>
      </x:c>
      <x:c r="B34" s="7" t="str">
        <x:v>Finishes</x:v>
      </x:c>
      <x:c r="C34" s="7" t="str">
        <x:v>Floor tiles and skirtings</x:v>
      </x:c>
      <x:c r="D34" s="7" t="str">
        <x:v>m2</x:v>
      </x:c>
      <x:c r="E34" s="16" t="n">
        <x:f>SUMIFS('Measurements'!$K$8:$K$1842,'Measurements'!$B$8:$B$1842,A34)</x:f>
        <x:v>54288</x:v>
      </x:c>
      <x:c r="F34" s="16" t="n">
        <x:f>'Rate analysis'!H34</x:f>
        <x:v>34.5</x:v>
      </x:c>
      <x:c r="G34" s="16" t="n">
        <x:f>E34*F34</x:f>
        <x:v>1872936</x:v>
      </x:c>
      <x:c r="H34" s="7" t="str">
        <x:v>Measurements, net installed</x:v>
      </x:c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 t="str">
        <x:v>AR05</x:v>
      </x:c>
      <x:c r="B35" s="2" t="str">
        <x:v>Finishes</x:v>
      </x:c>
      <x:c r="C35" s="2" t="str">
        <x:v>Internal paint, two coats</x:v>
      </x:c>
      <x:c r="D35" s="2" t="str">
        <x:v>m2</x:v>
      </x:c>
      <x:c r="E35" s="18" t="n">
        <x:f>SUMIFS('Measurements'!$K$8:$K$1842,'Measurements'!$B$8:$B$1842,A35)</x:f>
        <x:v>94018.08000000003</x:v>
      </x:c>
      <x:c r="F35" s="18" t="n">
        <x:f>'Rate analysis'!H35</x:f>
        <x:v>8.5</x:v>
      </x:c>
      <x:c r="G35" s="18" t="n">
        <x:f>E35*F35</x:f>
        <x:v>799153.6800000003</x:v>
      </x:c>
      <x:c r="H35" s="2" t="str">
        <x:v>Measurements, net installed</x:v>
      </x:c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7" t="str">
        <x:v>AR06</x:v>
      </x:c>
      <x:c r="B36" s="7" t="str">
        <x:v>Finishes</x:v>
      </x:c>
      <x:c r="C36" s="7" t="str">
        <x:v>Internal door sets</x:v>
      </x:c>
      <x:c r="D36" s="7" t="str">
        <x:v>nr</x:v>
      </x:c>
      <x:c r="E36" s="16" t="n">
        <x:f>SUMIFS('Measurements'!$K$8:$K$1842,'Measurements'!$B$8:$B$1842,A36)</x:f>
        <x:v>2184</x:v>
      </x:c>
      <x:c r="F36" s="16" t="n">
        <x:f>'Rate analysis'!H36</x:f>
        <x:v>207</x:v>
      </x:c>
      <x:c r="G36" s="16" t="n">
        <x:f>E36*F36</x:f>
        <x:v>452088</x:v>
      </x:c>
      <x:c r="H36" s="7" t="str">
        <x:v>Measurements, net installed</x:v>
      </x:c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 t="str">
        <x:v>EX01</x:v>
      </x:c>
      <x:c r="B37" s="2" t="str">
        <x:v>External</x:v>
      </x:c>
      <x:c r="C37" s="2" t="str">
        <x:v>External paving</x:v>
      </x:c>
      <x:c r="D37" s="2" t="str">
        <x:v>m2</x:v>
      </x:c>
      <x:c r="E37" s="18" t="n">
        <x:f>SUMIFS('Measurements'!$K$8:$K$1842,'Measurements'!$B$8:$B$1842,A37)</x:f>
        <x:v>4500</x:v>
      </x:c>
      <x:c r="F37" s="18" t="n">
        <x:f>'Rate analysis'!H37</x:f>
        <x:v>38</x:v>
      </x:c>
      <x:c r="G37" s="18" t="n">
        <x:f>E37*F37</x:f>
        <x:v>171000</x:v>
      </x:c>
      <x:c r="H37" s="2" t="str">
        <x:v>Measurements, net installed</x:v>
      </x:c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7" t="str">
        <x:v>EX02</x:v>
      </x:c>
      <x:c r="B38" s="7" t="str">
        <x:v>External</x:v>
      </x:c>
      <x:c r="C38" s="7" t="str">
        <x:v>Stormwater carrier pipe</x:v>
      </x:c>
      <x:c r="D38" s="7" t="str">
        <x:v>m</x:v>
      </x:c>
      <x:c r="E38" s="16" t="n">
        <x:f>SUMIFS('Measurements'!$K$8:$K$1842,'Measurements'!$B$8:$B$1842,A38)</x:f>
        <x:v>960</x:v>
      </x:c>
      <x:c r="F38" s="16" t="n">
        <x:f>'Rate analysis'!H38</x:f>
        <x:v>66</x:v>
      </x:c>
      <x:c r="G38" s="16" t="n">
        <x:f>E38*F38</x:f>
        <x:v>63360</x:v>
      </x:c>
      <x:c r="H38" s="7" t="str">
        <x:v>Measurements, net installed</x:v>
      </x:c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 t="str">
        <x:v>EX03</x:v>
      </x:c>
      <x:c r="B39" s="2" t="str">
        <x:v>External</x:v>
      </x:c>
      <x:c r="C39" s="2" t="str">
        <x:v>Stormwater inspection chambers</x:v>
      </x:c>
      <x:c r="D39" s="2" t="str">
        <x:v>nr</x:v>
      </x:c>
      <x:c r="E39" s="18" t="n">
        <x:f>SUMIFS('Measurements'!$K$8:$K$1842,'Measurements'!$B$8:$B$1842,A39)</x:f>
        <x:v>24</x:v>
      </x:c>
      <x:c r="F39" s="18" t="n">
        <x:f>'Rate analysis'!H39</x:f>
        <x:v>560</x:v>
      </x:c>
      <x:c r="G39" s="18" t="n">
        <x:f>E39*F39</x:f>
        <x:v>13440</x:v>
      </x:c>
      <x:c r="H39" s="2" t="str">
        <x:v>Measurements, net installed</x:v>
      </x:c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18"/>
      <x:c r="F40" s="18"/>
      <x:c r="G40" s="18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4"/>
      <x:c r="B41" s="4"/>
      <x:c r="C41" s="4" t="str">
        <x:v>DIRECT MEASURED COST</x:v>
      </x:c>
      <x:c r="D41" s="4"/>
      <x:c r="E41" s="25"/>
      <x:c r="F41" s="25"/>
      <x:c r="G41" s="25" t="n">
        <x:f>SUM(G8:G39)</x:f>
        <x:v>22616875.393844172</x:v>
      </x:c>
      <x:c r="H41" s="4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9" hidden="0" customWidth="1"/>
    <x:col min="4" max="4" width="10" hidden="0" customWidth="1"/>
    <x:col min="5" max="5" width="35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18" hidden="0" customWidth="1"/>
    <x:col min="12" max="12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Detailed quantity takeoff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Net installed quantities. Positive dimensions; deductions identified by sign -1.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Ref</x:v>
      </x:c>
      <x:c r="B7" s="6" t="str">
        <x:v>Item</x:v>
      </x:c>
      <x:c r="C7" s="6" t="str">
        <x:v>Zone</x:v>
      </x:c>
      <x:c r="D7" s="6" t="str">
        <x:v>Level</x:v>
      </x:c>
      <x:c r="E7" s="6" t="str">
        <x:v>Element</x:v>
      </x:c>
      <x:c r="F7" s="6" t="str">
        <x:v>Count</x:v>
      </x:c>
      <x:c r="G7" s="6" t="str">
        <x:v>Length m</x:v>
      </x:c>
      <x:c r="H7" s="6" t="str">
        <x:v>Width m</x:v>
      </x:c>
      <x:c r="I7" s="6" t="str">
        <x:v>Depth m</x:v>
      </x:c>
      <x:c r="J7" s="6" t="str">
        <x:v>Sign</x:v>
      </x:c>
      <x:c r="K7" s="6" t="str">
        <x:v>Net quantity</x:v>
      </x:c>
      <x:c r="L7" s="6" t="str">
        <x:v>Measurement reference</x:v>
      </x:c>
      <x:c r="M7" s="2"/>
      <x:c r="N7" s="2"/>
      <x:c r="O7" s="2"/>
      <x:c r="P7" s="2"/>
      <x:c r="Q7" s="2"/>
    </x:row>
    <x:row r="8" ht="22" customHeight="1">
      <x:c r="A8" s="7" t="str">
        <x:v>M0001</x:v>
      </x:c>
      <x:c r="B8" s="7" t="str">
        <x:v>EW01</x:v>
      </x:c>
      <x:c r="C8" s="7" t="str">
        <x:v>SITE</x:v>
      </x:c>
      <x:c r="D8" s="7" t="str">
        <x:v>B1</x:v>
      </x:c>
      <x:c r="E8" s="7" t="str">
        <x:v>Bulk excavation</x:v>
      </x:c>
      <x:c r="F8" s="20" t="n">
        <x:v>1</x:v>
      </x:c>
      <x:c r="G8" s="20" t="n">
        <x:f>'Controls'!$B$22+2*'Controls'!$B$27</x:f>
        <x:v>124</x:v>
      </x:c>
      <x:c r="H8" s="20" t="n">
        <x:f>'Controls'!$B$23+2*'Controls'!$B$27</x:f>
        <x:v>124</x:v>
      </x:c>
      <x:c r="I8" s="20" t="n">
        <x:f>'Controls'!$B$26</x:f>
        <x:v>4.5</x:v>
      </x:c>
      <x:c r="J8" s="20" t="n">
        <x:v>1</x:v>
      </x:c>
      <x:c r="K8" s="20" t="n">
        <x:f>F8*G8*H8*I8*J8</x:f>
        <x:v>69192</x:v>
      </x:c>
      <x:c r="L8" s="7" t="str">
        <x:v>CE-R01-S01 excavation boundary incl. working space</x:v>
      </x:c>
      <x:c r="M8" s="2"/>
      <x:c r="N8" s="2"/>
      <x:c r="O8" s="2"/>
      <x:c r="P8" s="2"/>
      <x:c r="Q8" s="2"/>
    </x:row>
    <x:row r="9" ht="22" customHeight="1">
      <x:c r="A9" s="2" t="str">
        <x:v>M0002</x:v>
      </x:c>
      <x:c r="B9" s="2" t="str">
        <x:v>EW03</x:v>
      </x:c>
      <x:c r="C9" s="2" t="str">
        <x:v>SITE</x:v>
      </x:c>
      <x:c r="D9" s="2" t="str">
        <x:v>B1</x:v>
      </x:c>
      <x:c r="E9" s="2" t="str">
        <x:v>Working-space backfill, X strips</x:v>
      </x:c>
      <x:c r="F9" s="21" t="n">
        <x:v>2</x:v>
      </x:c>
      <x:c r="G9" s="21" t="n">
        <x:f>'Controls'!$B$27</x:f>
        <x:v>2</x:v>
      </x:c>
      <x:c r="H9" s="21" t="n">
        <x:f>'Controls'!$B$23+2*'Controls'!$B$27</x:f>
        <x:v>124</x:v>
      </x:c>
      <x:c r="I9" s="21" t="n">
        <x:f>'Controls'!$B$26</x:f>
        <x:v>4.5</x:v>
      </x:c>
      <x:c r="J9" s="21" t="n">
        <x:v>1</x:v>
      </x:c>
      <x:c r="K9" s="21" t="n">
        <x:f>F9*G9*H9*I9*J9</x:f>
        <x:v>2232</x:v>
      </x:c>
      <x:c r="L9" s="2" t="str">
        <x:v>Side strips; corners included here only</x:v>
      </x:c>
      <x:c r="M9" s="2"/>
      <x:c r="N9" s="2"/>
      <x:c r="O9" s="2"/>
      <x:c r="P9" s="2"/>
      <x:c r="Q9" s="2"/>
    </x:row>
    <x:row r="10" ht="22" customHeight="1">
      <x:c r="A10" s="7" t="str">
        <x:v>M0003</x:v>
      </x:c>
      <x:c r="B10" s="7" t="str">
        <x:v>EW03</x:v>
      </x:c>
      <x:c r="C10" s="7" t="str">
        <x:v>SITE</x:v>
      </x:c>
      <x:c r="D10" s="7" t="str">
        <x:v>B1</x:v>
      </x:c>
      <x:c r="E10" s="7" t="str">
        <x:v>Working-space backfill, Y strips</x:v>
      </x:c>
      <x:c r="F10" s="20" t="n">
        <x:v>2</x:v>
      </x:c>
      <x:c r="G10" s="20" t="n">
        <x:f>'Controls'!$B$22</x:f>
        <x:v>120</x:v>
      </x:c>
      <x:c r="H10" s="20" t="n">
        <x:f>'Controls'!$B$27</x:f>
        <x:v>2</x:v>
      </x:c>
      <x:c r="I10" s="20" t="n">
        <x:f>'Controls'!$B$26</x:f>
        <x:v>4.5</x:v>
      </x:c>
      <x:c r="J10" s="20" t="n">
        <x:v>1</x:v>
      </x:c>
      <x:c r="K10" s="20" t="n">
        <x:f>F10*G10*H10*I10*J10</x:f>
        <x:v>2160</x:v>
      </x:c>
      <x:c r="L10" s="7" t="str">
        <x:v>Between X strips, corners excluded</x:v>
      </x:c>
      <x:c r="M10" s="2"/>
      <x:c r="N10" s="2"/>
      <x:c r="O10" s="2"/>
      <x:c r="P10" s="2"/>
      <x:c r="Q10" s="2"/>
    </x:row>
    <x:row r="11" ht="22" customHeight="1">
      <x:c r="A11" s="2" t="str">
        <x:v>M0004</x:v>
      </x:c>
      <x:c r="B11" s="2" t="str">
        <x:v>RC01</x:v>
      </x:c>
      <x:c r="C11" s="2" t="str">
        <x:v>POD</x:v>
      </x:c>
      <x:c r="D11" s="2" t="str">
        <x:v>B1</x:v>
      </x:c>
      <x:c r="E11" s="2" t="str">
        <x:v>Raft blinding</x:v>
      </x:c>
      <x:c r="F11" s="21" t="n">
        <x:v>1</x:v>
      </x:c>
      <x:c r="G11" s="21" t="n">
        <x:f>'Controls'!$B$22</x:f>
        <x:v>120</x:v>
      </x:c>
      <x:c r="H11" s="21" t="n">
        <x:f>'Controls'!$B$23</x:f>
        <x:v>120</x:v>
      </x:c>
      <x:c r="I11" s="21" t="n">
        <x:f>'Controls'!$B$28</x:f>
        <x:v>0.1</x:v>
      </x:c>
      <x:c r="J11" s="21" t="n">
        <x:v>1</x:v>
      </x:c>
      <x:c r="K11" s="21" t="n">
        <x:f>F11*G11*H11*I11*J11</x:f>
        <x:v>1440</x:v>
      </x:c>
      <x:c r="L11" s="2" t="str">
        <x:v>CE-R01-S02</x:v>
      </x:c>
      <x:c r="M11" s="2"/>
      <x:c r="N11" s="2"/>
      <x:c r="O11" s="2"/>
      <x:c r="P11" s="2"/>
      <x:c r="Q11" s="2"/>
    </x:row>
    <x:row r="12" ht="22" customHeight="1">
      <x:c r="A12" s="7" t="str">
        <x:v>M0005</x:v>
      </x:c>
      <x:c r="B12" s="7" t="str">
        <x:v>RC02</x:v>
      </x:c>
      <x:c r="C12" s="7" t="str">
        <x:v>POD</x:v>
      </x:c>
      <x:c r="D12" s="7" t="str">
        <x:v>B1</x:v>
      </x:c>
      <x:c r="E12" s="7" t="str">
        <x:v>Continuous raft base</x:v>
      </x:c>
      <x:c r="F12" s="20" t="n">
        <x:v>1</x:v>
      </x:c>
      <x:c r="G12" s="20" t="n">
        <x:f>'Controls'!$B$22</x:f>
        <x:v>120</x:v>
      </x:c>
      <x:c r="H12" s="20" t="n">
        <x:f>'Controls'!$B$23</x:f>
        <x:v>120</x:v>
      </x:c>
      <x:c r="I12" s="20" t="n">
        <x:f>'Controls'!$B$24</x:f>
        <x:v>0.7</x:v>
      </x:c>
      <x:c r="J12" s="20" t="n">
        <x:v>1</x:v>
      </x:c>
      <x:c r="K12" s="20" t="n">
        <x:f>F12*G12*H12*I12*J12</x:f>
        <x:v>10080</x:v>
      </x:c>
      <x:c r="L12" s="7" t="str">
        <x:v>Base layer across whole podium</x:v>
      </x:c>
      <x:c r="M12" s="2"/>
      <x:c r="N12" s="2"/>
      <x:c r="O12" s="2"/>
      <x:c r="P12" s="2"/>
      <x:c r="Q12" s="2"/>
    </x:row>
    <x:row r="13" ht="22" customHeight="1">
      <x:c r="A13" s="2" t="str">
        <x:v>M0006</x:v>
      </x:c>
      <x:c r="B13" s="2" t="str">
        <x:v>RC02</x:v>
      </x:c>
      <x:c r="C13" s="2" t="str">
        <x:v>T1</x:v>
      </x:c>
      <x:c r="D13" s="2" t="str">
        <x:v>B1</x:v>
      </x:c>
      <x:c r="E13" s="2" t="str">
        <x:v>Tower raft thickening</x:v>
      </x:c>
      <x:c r="F13" s="21" t="n">
        <x:v>1</x:v>
      </x:c>
      <x:c r="G13" s="21" t="n">
        <x:f>'Controls'!$B$10</x:f>
        <x:v>30</x:v>
      </x:c>
      <x:c r="H13" s="21" t="n">
        <x:f>'Controls'!$B$11</x:f>
        <x:v>24</x:v>
      </x:c>
      <x:c r="I13" s="21" t="n">
        <x:f>'Controls'!$B$25</x:f>
        <x:v>0.5</x:v>
      </x:c>
      <x:c r="J13" s="21" t="n">
        <x:v>1</x:v>
      </x:c>
      <x:c r="K13" s="21" t="n">
        <x:f>F13*G13*H13*I13*J13</x:f>
        <x:v>360</x:v>
      </x:c>
      <x:c r="L13" s="2" t="str">
        <x:v>Additional depth above base raft only</x:v>
      </x:c>
      <x:c r="M13" s="2"/>
      <x:c r="N13" s="2"/>
      <x:c r="O13" s="2"/>
      <x:c r="P13" s="2"/>
      <x:c r="Q13" s="2"/>
    </x:row>
    <x:row r="14" ht="22" customHeight="1">
      <x:c r="A14" s="7" t="str">
        <x:v>M0007</x:v>
      </x:c>
      <x:c r="B14" s="7" t="str">
        <x:v>RC02</x:v>
      </x:c>
      <x:c r="C14" s="7" t="str">
        <x:v>T2</x:v>
      </x:c>
      <x:c r="D14" s="7" t="str">
        <x:v>B1</x:v>
      </x:c>
      <x:c r="E14" s="7" t="str">
        <x:v>Tower raft thickening</x:v>
      </x:c>
      <x:c r="F14" s="20" t="n">
        <x:v>1</x:v>
      </x:c>
      <x:c r="G14" s="20" t="n">
        <x:f>'Controls'!$B$10</x:f>
        <x:v>30</x:v>
      </x:c>
      <x:c r="H14" s="20" t="n">
        <x:f>'Controls'!$B$11</x:f>
        <x:v>24</x:v>
      </x:c>
      <x:c r="I14" s="20" t="n">
        <x:f>'Controls'!$B$25</x:f>
        <x:v>0.5</x:v>
      </x:c>
      <x:c r="J14" s="20" t="n">
        <x:v>1</x:v>
      </x:c>
      <x:c r="K14" s="20" t="n">
        <x:f>F14*G14*H14*I14*J14</x:f>
        <x:v>360</x:v>
      </x:c>
      <x:c r="L14" s="7" t="str">
        <x:v>Additional depth above base raft only</x:v>
      </x:c>
      <x:c r="M14" s="2"/>
      <x:c r="N14" s="2"/>
      <x:c r="O14" s="2"/>
      <x:c r="P14" s="2"/>
      <x:c r="Q14" s="2"/>
    </x:row>
    <x:row r="15" ht="22" customHeight="1">
      <x:c r="A15" s="2" t="str">
        <x:v>M0008</x:v>
      </x:c>
      <x:c r="B15" s="2" t="str">
        <x:v>RC02</x:v>
      </x:c>
      <x:c r="C15" s="2" t="str">
        <x:v>T3</x:v>
      </x:c>
      <x:c r="D15" s="2" t="str">
        <x:v>B1</x:v>
      </x:c>
      <x:c r="E15" s="2" t="str">
        <x:v>Tower raft thickening</x:v>
      </x:c>
      <x:c r="F15" s="21" t="n">
        <x:v>1</x:v>
      </x:c>
      <x:c r="G15" s="21" t="n">
        <x:f>'Controls'!$B$10</x:f>
        <x:v>30</x:v>
      </x:c>
      <x:c r="H15" s="21" t="n">
        <x:f>'Controls'!$B$11</x:f>
        <x:v>24</x:v>
      </x:c>
      <x:c r="I15" s="21" t="n">
        <x:f>'Controls'!$B$25</x:f>
        <x:v>0.5</x:v>
      </x:c>
      <x:c r="J15" s="21" t="n">
        <x:v>1</x:v>
      </x:c>
      <x:c r="K15" s="21" t="n">
        <x:f>F15*G15*H15*I15*J15</x:f>
        <x:v>360</x:v>
      </x:c>
      <x:c r="L15" s="2" t="str">
        <x:v>Additional depth above base raft only</x:v>
      </x:c>
      <x:c r="M15" s="2"/>
      <x:c r="N15" s="2"/>
      <x:c r="O15" s="2"/>
      <x:c r="P15" s="2"/>
      <x:c r="Q15" s="2"/>
    </x:row>
    <x:row r="16" ht="22" customHeight="1">
      <x:c r="A16" s="7" t="str">
        <x:v>M0009</x:v>
      </x:c>
      <x:c r="B16" s="7" t="str">
        <x:v>RC02</x:v>
      </x:c>
      <x:c r="C16" s="7" t="str">
        <x:v>T4</x:v>
      </x:c>
      <x:c r="D16" s="7" t="str">
        <x:v>B1</x:v>
      </x:c>
      <x:c r="E16" s="7" t="str">
        <x:v>Tower raft thickening</x:v>
      </x:c>
      <x:c r="F16" s="20" t="n">
        <x:v>1</x:v>
      </x:c>
      <x:c r="G16" s="20" t="n">
        <x:f>'Controls'!$B$10</x:f>
        <x:v>30</x:v>
      </x:c>
      <x:c r="H16" s="20" t="n">
        <x:f>'Controls'!$B$11</x:f>
        <x:v>24</x:v>
      </x:c>
      <x:c r="I16" s="20" t="n">
        <x:f>'Controls'!$B$25</x:f>
        <x:v>0.5</x:v>
      </x:c>
      <x:c r="J16" s="20" t="n">
        <x:v>1</x:v>
      </x:c>
      <x:c r="K16" s="20" t="n">
        <x:f>F16*G16*H16*I16*J16</x:f>
        <x:v>360</x:v>
      </x:c>
      <x:c r="L16" s="7" t="str">
        <x:v>Additional depth above base raft only</x:v>
      </x:c>
      <x:c r="M16" s="2"/>
      <x:c r="N16" s="2"/>
      <x:c r="O16" s="2"/>
      <x:c r="P16" s="2"/>
      <x:c r="Q16" s="2"/>
    </x:row>
    <x:row r="17" ht="22" customHeight="1">
      <x:c r="A17" s="2" t="str">
        <x:v>M0010</x:v>
      </x:c>
      <x:c r="B17" s="2" t="str">
        <x:v>RC02</x:v>
      </x:c>
      <x:c r="C17" s="2" t="str">
        <x:v>T5</x:v>
      </x:c>
      <x:c r="D17" s="2" t="str">
        <x:v>B1</x:v>
      </x:c>
      <x:c r="E17" s="2" t="str">
        <x:v>Tower raft thickening</x:v>
      </x:c>
      <x:c r="F17" s="21" t="n">
        <x:v>1</x:v>
      </x:c>
      <x:c r="G17" s="21" t="n">
        <x:f>'Controls'!$B$10</x:f>
        <x:v>30</x:v>
      </x:c>
      <x:c r="H17" s="21" t="n">
        <x:f>'Controls'!$B$11</x:f>
        <x:v>24</x:v>
      </x:c>
      <x:c r="I17" s="21" t="n">
        <x:f>'Controls'!$B$25</x:f>
        <x:v>0.5</x:v>
      </x:c>
      <x:c r="J17" s="21" t="n">
        <x:v>1</x:v>
      </x:c>
      <x:c r="K17" s="21" t="n">
        <x:f>F17*G17*H17*I17*J17</x:f>
        <x:v>360</x:v>
      </x:c>
      <x:c r="L17" s="2" t="str">
        <x:v>Additional depth above base raft only</x:v>
      </x:c>
      <x:c r="M17" s="2"/>
      <x:c r="N17" s="2"/>
      <x:c r="O17" s="2"/>
      <x:c r="P17" s="2"/>
      <x:c r="Q17" s="2"/>
    </x:row>
    <x:row r="18" ht="22" customHeight="1">
      <x:c r="A18" s="7" t="str">
        <x:v>M0011</x:v>
      </x:c>
      <x:c r="B18" s="7" t="str">
        <x:v>RC02</x:v>
      </x:c>
      <x:c r="C18" s="7" t="str">
        <x:v>T6</x:v>
      </x:c>
      <x:c r="D18" s="7" t="str">
        <x:v>B1</x:v>
      </x:c>
      <x:c r="E18" s="7" t="str">
        <x:v>Tower raft thickening</x:v>
      </x:c>
      <x:c r="F18" s="20" t="n">
        <x:v>1</x:v>
      </x:c>
      <x:c r="G18" s="20" t="n">
        <x:f>'Controls'!$B$10</x:f>
        <x:v>30</x:v>
      </x:c>
      <x:c r="H18" s="20" t="n">
        <x:f>'Controls'!$B$11</x:f>
        <x:v>24</x:v>
      </x:c>
      <x:c r="I18" s="20" t="n">
        <x:f>'Controls'!$B$25</x:f>
        <x:v>0.5</x:v>
      </x:c>
      <x:c r="J18" s="20" t="n">
        <x:v>1</x:v>
      </x:c>
      <x:c r="K18" s="20" t="n">
        <x:f>F18*G18*H18*I18*J18</x:f>
        <x:v>360</x:v>
      </x:c>
      <x:c r="L18" s="7" t="str">
        <x:v>Additional depth above base raft only</x:v>
      </x:c>
      <x:c r="M18" s="2"/>
      <x:c r="N18" s="2"/>
      <x:c r="O18" s="2"/>
      <x:c r="P18" s="2"/>
      <x:c r="Q18" s="2"/>
    </x:row>
    <x:row r="19" ht="22" customHeight="1">
      <x:c r="A19" s="2" t="str">
        <x:v>M0012</x:v>
      </x:c>
      <x:c r="B19" s="2" t="str">
        <x:v>RC08</x:v>
      </x:c>
      <x:c r="C19" s="2" t="str">
        <x:v>POD</x:v>
      </x:c>
      <x:c r="D19" s="2" t="str">
        <x:v>B1</x:v>
      </x:c>
      <x:c r="E19" s="2" t="str">
        <x:v>Perimeter wall net centerline</x:v>
      </x:c>
      <x:c r="F19" s="21" t="n">
        <x:v>4</x:v>
      </x:c>
      <x:c r="G19" s="21" t="n">
        <x:f>'Controls'!$B$22-'Controls'!$B$30</x:f>
        <x:v>119.7</x:v>
      </x:c>
      <x:c r="H19" s="21" t="n">
        <x:f>'Controls'!$B$30</x:f>
        <x:v>0.3</x:v>
      </x:c>
      <x:c r="I19" s="21" t="n">
        <x:f>'Controls'!$B$29</x:f>
        <x:v>3.5</x:v>
      </x:c>
      <x:c r="J19" s="21" t="n">
        <x:v>1</x:v>
      </x:c>
      <x:c r="K19" s="21" t="n">
        <x:f>F19*G19*H19*I19*J19</x:f>
        <x:v>502.73999999999995</x:v>
      </x:c>
      <x:c r="L19" s="2" t="str">
        <x:v>Square podium, corner overlap removed</x:v>
      </x:c>
      <x:c r="M19" s="2"/>
      <x:c r="N19" s="2"/>
      <x:c r="O19" s="2"/>
      <x:c r="P19" s="2"/>
      <x:c r="Q19" s="2"/>
    </x:row>
    <x:row r="20" ht="22" customHeight="1">
      <x:c r="A20" s="7" t="str">
        <x:v>M0013</x:v>
      </x:c>
      <x:c r="B20" s="7" t="str">
        <x:v>FW05</x:v>
      </x:c>
      <x:c r="C20" s="7" t="str">
        <x:v>POD</x:v>
      </x:c>
      <x:c r="D20" s="7" t="str">
        <x:v>B1</x:v>
      </x:c>
      <x:c r="E20" s="7" t="str">
        <x:v>Perimeter wall both faces</x:v>
      </x:c>
      <x:c r="F20" s="20" t="n">
        <x:v>8</x:v>
      </x:c>
      <x:c r="G20" s="20" t="n">
        <x:f>'Controls'!$B$22-'Controls'!$B$30</x:f>
        <x:v>119.7</x:v>
      </x:c>
      <x:c r="H20" s="20" t="n">
        <x:f>'Controls'!$B$29</x:f>
        <x:v>3.5</x:v>
      </x:c>
      <x:c r="I20" s="20" t="n">
        <x:v>1</x:v>
      </x:c>
      <x:c r="J20" s="20" t="n">
        <x:v>1</x:v>
      </x:c>
      <x:c r="K20" s="20" t="n">
        <x:f>F20*G20*H20*I20*J20</x:f>
        <x:v>3351.6</x:v>
      </x:c>
      <x:c r="L20" s="7" t="str">
        <x:v>Two faces x four wall sides</x:v>
      </x:c>
      <x:c r="M20" s="2"/>
      <x:c r="N20" s="2"/>
      <x:c r="O20" s="2"/>
      <x:c r="P20" s="2"/>
      <x:c r="Q20" s="2"/>
    </x:row>
    <x:row r="21" ht="22" customHeight="1">
      <x:c r="A21" s="2" t="str">
        <x:v>M0014</x:v>
      </x:c>
      <x:c r="B21" s="2" t="str">
        <x:v>RC09</x:v>
      </x:c>
      <x:c r="C21" s="2" t="str">
        <x:v>POD</x:v>
      </x:c>
      <x:c r="D21" s="2" t="str">
        <x:v>L00</x:v>
      </x:c>
      <x:c r="E21" s="2" t="str">
        <x:v>Podium roof slab gross</x:v>
      </x:c>
      <x:c r="F21" s="21" t="n">
        <x:v>1</x:v>
      </x:c>
      <x:c r="G21" s="21" t="n">
        <x:f>'Controls'!$B$22</x:f>
        <x:v>120</x:v>
      </x:c>
      <x:c r="H21" s="21" t="n">
        <x:f>'Controls'!$B$23</x:f>
        <x:v>120</x:v>
      </x:c>
      <x:c r="I21" s="21" t="n">
        <x:f>'Controls'!$B$31</x:f>
        <x:v>0.25</x:v>
      </x:c>
      <x:c r="J21" s="21" t="n">
        <x:v>1</x:v>
      </x:c>
      <x:c r="K21" s="21" t="n">
        <x:f>F21*G21*H21*I21*J21</x:f>
        <x:v>3600</x:v>
      </x:c>
      <x:c r="L21" s="2" t="str">
        <x:v>Tower floor slabs measured separately</x:v>
      </x:c>
      <x:c r="M21" s="2"/>
      <x:c r="N21" s="2"/>
      <x:c r="O21" s="2"/>
      <x:c r="P21" s="2"/>
      <x:c r="Q21" s="2"/>
    </x:row>
    <x:row r="22" ht="22" customHeight="1">
      <x:c r="A22" s="7" t="str">
        <x:v>M0015</x:v>
      </x:c>
      <x:c r="B22" s="7" t="str">
        <x:v>RC09</x:v>
      </x:c>
      <x:c r="C22" s="7" t="str">
        <x:v>POD</x:v>
      </x:c>
      <x:c r="D22" s="7" t="str">
        <x:v>L00</x:v>
      </x:c>
      <x:c r="E22" s="7" t="str">
        <x:v>Tower footprint deductions</x:v>
      </x:c>
      <x:c r="F22" s="20" t="n">
        <x:f>'Controls'!$B$8</x:f>
        <x:v>6</x:v>
      </x:c>
      <x:c r="G22" s="20" t="n">
        <x:f>'Controls'!$B$10</x:f>
        <x:v>30</x:v>
      </x:c>
      <x:c r="H22" s="20" t="n">
        <x:f>'Controls'!$B$11</x:f>
        <x:v>24</x:v>
      </x:c>
      <x:c r="I22" s="20" t="n">
        <x:f>'Controls'!$B$31</x:f>
        <x:v>0.25</x:v>
      </x:c>
      <x:c r="J22" s="20" t="n">
        <x:v>-1</x:v>
      </x:c>
      <x:c r="K22" s="20" t="n">
        <x:f>F22*G22*H22*I22*J22</x:f>
        <x:v>-1080</x:v>
      </x:c>
      <x:c r="L22" s="7" t="str">
        <x:v>No overlap with tower L00 slab</x:v>
      </x:c>
      <x:c r="M22" s="2"/>
      <x:c r="N22" s="2"/>
      <x:c r="O22" s="2"/>
      <x:c r="P22" s="2"/>
      <x:c r="Q22" s="2"/>
    </x:row>
    <x:row r="23" ht="22" customHeight="1">
      <x:c r="A23" s="2" t="str">
        <x:v>M0016</x:v>
      </x:c>
      <x:c r="B23" s="2" t="str">
        <x:v>FW06</x:v>
      </x:c>
      <x:c r="C23" s="2" t="str">
        <x:v>POD</x:v>
      </x:c>
      <x:c r="D23" s="2" t="str">
        <x:v>L00</x:v>
      </x:c>
      <x:c r="E23" s="2" t="str">
        <x:v>Podium soffit gross</x:v>
      </x:c>
      <x:c r="F23" s="21" t="n">
        <x:v>1</x:v>
      </x:c>
      <x:c r="G23" s="21" t="n">
        <x:f>'Controls'!$B$22</x:f>
        <x:v>120</x:v>
      </x:c>
      <x:c r="H23" s="21" t="n">
        <x:f>'Controls'!$B$23</x:f>
        <x:v>120</x:v>
      </x:c>
      <x:c r="I23" s="21" t="n">
        <x:v>1</x:v>
      </x:c>
      <x:c r="J23" s="21" t="n">
        <x:v>1</x:v>
      </x:c>
      <x:c r="K23" s="21" t="n">
        <x:f>F23*G23*H23*I23*J23</x:f>
        <x:v>14400</x:v>
      </x:c>
      <x:c r="L23" s="2" t="str">
        <x:v>Same net footprint as RC09</x:v>
      </x:c>
      <x:c r="M23" s="2"/>
      <x:c r="N23" s="2"/>
      <x:c r="O23" s="2"/>
      <x:c r="P23" s="2"/>
      <x:c r="Q23" s="2"/>
    </x:row>
    <x:row r="24" ht="22" customHeight="1">
      <x:c r="A24" s="7" t="str">
        <x:v>M0017</x:v>
      </x:c>
      <x:c r="B24" s="7" t="str">
        <x:v>FW06</x:v>
      </x:c>
      <x:c r="C24" s="7" t="str">
        <x:v>POD</x:v>
      </x:c>
      <x:c r="D24" s="7" t="str">
        <x:v>L00</x:v>
      </x:c>
      <x:c r="E24" s="7" t="str">
        <x:v>Tower footprint deductions</x:v>
      </x:c>
      <x:c r="F24" s="20" t="n">
        <x:f>'Controls'!$B$8</x:f>
        <x:v>6</x:v>
      </x:c>
      <x:c r="G24" s="20" t="n">
        <x:f>'Controls'!$B$10</x:f>
        <x:v>30</x:v>
      </x:c>
      <x:c r="H24" s="20" t="n">
        <x:f>'Controls'!$B$11</x:f>
        <x:v>24</x:v>
      </x:c>
      <x:c r="I24" s="20" t="n">
        <x:v>1</x:v>
      </x:c>
      <x:c r="J24" s="20" t="n">
        <x:v>-1</x:v>
      </x:c>
      <x:c r="K24" s="20" t="n">
        <x:f>F24*G24*H24*I24*J24</x:f>
        <x:v>-4320</x:v>
      </x:c>
      <x:c r="L24" s="7" t="str">
        <x:v>No duplicate soffit</x:v>
      </x:c>
      <x:c r="M24" s="2"/>
      <x:c r="N24" s="2"/>
      <x:c r="O24" s="2"/>
      <x:c r="P24" s="2"/>
      <x:c r="Q24" s="2"/>
    </x:row>
    <x:row r="25" ht="22" customHeight="1">
      <x:c r="A25" s="2" t="str">
        <x:v>M0018</x:v>
      </x:c>
      <x:c r="B25" s="2" t="str">
        <x:v>EN01</x:v>
      </x:c>
      <x:c r="C25" s="2" t="str">
        <x:v>POD</x:v>
      </x:c>
      <x:c r="D25" s="2" t="str">
        <x:v>B1</x:v>
      </x:c>
      <x:c r="E25" s="2" t="str">
        <x:v>Underslab membrane</x:v>
      </x:c>
      <x:c r="F25" s="21" t="n">
        <x:v>1</x:v>
      </x:c>
      <x:c r="G25" s="21" t="n">
        <x:f>'Controls'!$B$22</x:f>
        <x:v>120</x:v>
      </x:c>
      <x:c r="H25" s="21" t="n">
        <x:f>'Controls'!$B$23</x:f>
        <x:v>120</x:v>
      </x:c>
      <x:c r="I25" s="21" t="n">
        <x:v>1</x:v>
      </x:c>
      <x:c r="J25" s="21" t="n">
        <x:v>1</x:v>
      </x:c>
      <x:c r="K25" s="21" t="n">
        <x:f>F25*G25*H25*I25*J25</x:f>
        <x:v>14400</x:v>
      </x:c>
      <x:c r="L25" s="2" t="str">
        <x:v>Net laid area, laps in unit rate</x:v>
      </x:c>
      <x:c r="M25" s="2"/>
      <x:c r="N25" s="2"/>
      <x:c r="O25" s="2"/>
      <x:c r="P25" s="2"/>
      <x:c r="Q25" s="2"/>
    </x:row>
    <x:row r="26" ht="22" customHeight="1">
      <x:c r="A26" s="7" t="str">
        <x:v>M0019</x:v>
      </x:c>
      <x:c r="B26" s="7" t="str">
        <x:v>EN01</x:v>
      </x:c>
      <x:c r="C26" s="7" t="str">
        <x:v>POD</x:v>
      </x:c>
      <x:c r="D26" s="7" t="str">
        <x:v>B1</x:v>
      </x:c>
      <x:c r="E26" s="7" t="str">
        <x:v>Perimeter membrane</x:v>
      </x:c>
      <x:c r="F26" s="20" t="n">
        <x:v>4</x:v>
      </x:c>
      <x:c r="G26" s="20" t="n">
        <x:f>'Controls'!$B$22</x:f>
        <x:v>120</x:v>
      </x:c>
      <x:c r="H26" s="20" t="n">
        <x:f>'Controls'!$B$29</x:f>
        <x:v>3.5</x:v>
      </x:c>
      <x:c r="I26" s="20" t="n">
        <x:v>1</x:v>
      </x:c>
      <x:c r="J26" s="20" t="n">
        <x:v>1</x:v>
      </x:c>
      <x:c r="K26" s="20" t="n">
        <x:f>F26*G26*H26*I26*J26</x:f>
        <x:v>1680</x:v>
      </x:c>
      <x:c r="L26" s="7" t="str">
        <x:v>External face of basement wall</x:v>
      </x:c>
      <x:c r="M26" s="2"/>
      <x:c r="N26" s="2"/>
      <x:c r="O26" s="2"/>
      <x:c r="P26" s="2"/>
      <x:c r="Q26" s="2"/>
    </x:row>
    <x:row r="27" ht="22" customHeight="1">
      <x:c r="A27" s="2" t="str">
        <x:v>M0020</x:v>
      </x:c>
      <x:c r="B27" s="2" t="str">
        <x:v>EN02</x:v>
      </x:c>
      <x:c r="C27" s="2" t="str">
        <x:v>POD</x:v>
      </x:c>
      <x:c r="D27" s="2" t="str">
        <x:v>L00</x:v>
      </x:c>
      <x:c r="E27" s="2" t="str">
        <x:v>Exposed podium roof membrane</x:v>
      </x:c>
      <x:c r="F27" s="21" t="n">
        <x:v>1</x:v>
      </x:c>
      <x:c r="G27" s="21" t="n">
        <x:f>'Controls'!$B$22*'Controls'!$B$23-'Controls'!$B$8*'Controls'!$B$10*'Controls'!$B$11</x:f>
        <x:v>10080</x:v>
      </x:c>
      <x:c r="H27" s="21" t="n">
        <x:v>1</x:v>
      </x:c>
      <x:c r="I27" s="21" t="n">
        <x:v>1</x:v>
      </x:c>
      <x:c r="J27" s="21" t="n">
        <x:v>1</x:v>
      </x:c>
      <x:c r="K27" s="21" t="n">
        <x:f>F27*G27*H27*I27*J27</x:f>
        <x:v>10080</x:v>
      </x:c>
      <x:c r="L27" s="2" t="str">
        <x:v>Excludes tower footprint</x:v>
      </x:c>
      <x:c r="M27" s="2"/>
      <x:c r="N27" s="2"/>
      <x:c r="O27" s="2"/>
      <x:c r="P27" s="2"/>
      <x:c r="Q27" s="2"/>
    </x:row>
    <x:row r="28" ht="22" customHeight="1">
      <x:c r="A28" s="7" t="str">
        <x:v>M0021</x:v>
      </x:c>
      <x:c r="B28" s="7" t="str">
        <x:v>RC03</x:v>
      </x:c>
      <x:c r="C28" s="7" t="str">
        <x:v>T1</x:v>
      </x:c>
      <x:c r="D28" s="7" t="str">
        <x:v>L00</x:v>
      </x:c>
      <x:c r="E28" s="7" t="str">
        <x:v>Floor slab gross</x:v>
      </x:c>
      <x:c r="F28" s="20" t="n">
        <x:v>1</x:v>
      </x:c>
      <x:c r="G28" s="20" t="n">
        <x:f>'Controls'!$B$10</x:f>
        <x:v>30</x:v>
      </x:c>
      <x:c r="H28" s="20" t="n">
        <x:f>'Controls'!$B$11</x:f>
        <x:v>24</x:v>
      </x:c>
      <x:c r="I28" s="20" t="n">
        <x:f>'Controls'!$B$13</x:f>
        <x:v>0.22</x:v>
      </x:c>
      <x:c r="J28" s="20" t="n">
        <x:v>1</x:v>
      </x:c>
      <x:c r="K28" s="20" t="n">
        <x:f>F28*G28*H28*I28*J28</x:f>
        <x:v>158.4</x:v>
      </x:c>
      <x:c r="L28" s="7" t="str">
        <x:v>Slab includes beam top flange; downstand separate</x:v>
      </x:c>
      <x:c r="M28" s="2"/>
      <x:c r="N28" s="2"/>
      <x:c r="O28" s="2"/>
      <x:c r="P28" s="2"/>
      <x:c r="Q28" s="2"/>
    </x:row>
    <x:row r="29" ht="22" customHeight="1">
      <x:c r="A29" s="2" t="str">
        <x:v>M0022</x:v>
      </x:c>
      <x:c r="B29" s="2" t="str">
        <x:v>RC03</x:v>
      </x:c>
      <x:c r="C29" s="2" t="str">
        <x:v>T1</x:v>
      </x:c>
      <x:c r="D29" s="2" t="str">
        <x:v>L00</x:v>
      </x:c>
      <x:c r="E29" s="2" t="str">
        <x:v>Stair opening deduction</x:v>
      </x:c>
      <x:c r="F29" s="21" t="n">
        <x:v>1</x:v>
      </x:c>
      <x:c r="G29" s="21" t="n">
        <x:f>'Controls'!$B$20</x:f>
        <x:v>4</x:v>
      </x:c>
      <x:c r="H29" s="21" t="n">
        <x:f>'Controls'!$B$21</x:f>
        <x:v>6</x:v>
      </x:c>
      <x:c r="I29" s="21" t="n">
        <x:f>'Controls'!$B$13</x:f>
        <x:v>0.22</x:v>
      </x:c>
      <x:c r="J29" s="21" t="n">
        <x:v>-1</x:v>
      </x:c>
      <x:c r="K29" s="21" t="n">
        <x:f>F29*G29*H29*I29*J29</x:f>
        <x:v>-5.28</x:v>
      </x:c>
      <x:c r="L29" s="2" t="str">
        <x:v>Opening OP-01</x:v>
      </x:c>
      <x:c r="M29" s="2"/>
      <x:c r="N29" s="2"/>
      <x:c r="O29" s="2"/>
      <x:c r="P29" s="2"/>
      <x:c r="Q29" s="2"/>
    </x:row>
    <x:row r="30" ht="22" customHeight="1">
      <x:c r="A30" s="7" t="str">
        <x:v>M0023</x:v>
      </x:c>
      <x:c r="B30" s="7" t="str">
        <x:v>RC04</x:v>
      </x:c>
      <x:c r="C30" s="7" t="str">
        <x:v>T1</x:v>
      </x:c>
      <x:c r="D30" s="7" t="str">
        <x:v>L00</x:v>
      </x:c>
      <x:c r="E30" s="7" t="str">
        <x:v>Beam downstands X</x:v>
      </x:c>
      <x:c r="F30" s="20" t="n">
        <x:v>1</x:v>
      </x:c>
      <x:c r="G30" s="20" t="n">
        <x:f>5*5*('Controls'!$B$10/5-'Controls'!$B$14)</x:f>
        <x:v>137.5</x:v>
      </x:c>
      <x:c r="H30" s="20" t="n">
        <x:f>'Controls'!$B$16</x:f>
        <x:v>0.3</x:v>
      </x:c>
      <x:c r="I30" s="20" t="n">
        <x:f>'Controls'!$B$17-'Controls'!$B$13</x:f>
        <x:v>0.38</x:v>
      </x:c>
      <x:c r="J30" s="20" t="n">
        <x:v>1</x:v>
      </x:c>
      <x:c r="K30" s="20" t="n">
        <x:f>F30*G30*H30*I30*J30</x:f>
        <x:v>15.675</x:v>
      </x:c>
      <x:c r="L30" s="7" t="str">
        <x:v>Clear spans between column faces; no joint overlap</x:v>
      </x:c>
      <x:c r="M30" s="2"/>
      <x:c r="N30" s="2"/>
      <x:c r="O30" s="2"/>
      <x:c r="P30" s="2"/>
      <x:c r="Q30" s="2"/>
    </x:row>
    <x:row r="31" ht="22" customHeight="1">
      <x:c r="A31" s="2" t="str">
        <x:v>M0024</x:v>
      </x:c>
      <x:c r="B31" s="2" t="str">
        <x:v>FW02</x:v>
      </x:c>
      <x:c r="C31" s="2" t="str">
        <x:v>T1</x:v>
      </x:c>
      <x:c r="D31" s="2" t="str">
        <x:v>L00</x:v>
      </x:c>
      <x:c r="E31" s="2" t="str">
        <x:v>Beam forms X</x:v>
      </x:c>
      <x:c r="F31" s="21" t="n">
        <x:v>1</x:v>
      </x:c>
      <x:c r="G31" s="21" t="n">
        <x:f>5*5*('Controls'!$B$10/5-'Controls'!$B$14)</x:f>
        <x:v>137.5</x:v>
      </x:c>
      <x:c r="H31" s="21" t="n">
        <x:f>'Controls'!$B$16+2*('Controls'!$B$17-'Controls'!$B$13)</x:f>
        <x:v>1.06</x:v>
      </x:c>
      <x:c r="I31" s="21" t="n">
        <x:v>1</x:v>
      </x:c>
      <x:c r="J31" s="21" t="n">
        <x:v>1</x:v>
      </x:c>
      <x:c r="K31" s="21" t="n">
        <x:f>F31*G31*H31*I31*J31</x:f>
        <x:v>145.75</x:v>
      </x:c>
      <x:c r="L31" s="2" t="str">
        <x:v>Soffit plus two downstand sides</x:v>
      </x:c>
      <x:c r="M31" s="2"/>
      <x:c r="N31" s="2"/>
      <x:c r="O31" s="2"/>
      <x:c r="P31" s="2"/>
      <x:c r="Q31" s="2"/>
    </x:row>
    <x:row r="32" ht="22" customHeight="1">
      <x:c r="A32" s="7" t="str">
        <x:v>M0025</x:v>
      </x:c>
      <x:c r="B32" s="7" t="str">
        <x:v>RC04</x:v>
      </x:c>
      <x:c r="C32" s="7" t="str">
        <x:v>T1</x:v>
      </x:c>
      <x:c r="D32" s="7" t="str">
        <x:v>L00</x:v>
      </x:c>
      <x:c r="E32" s="7" t="str">
        <x:v>Beam downstands Y</x:v>
      </x:c>
      <x:c r="F32" s="20" t="n">
        <x:v>1</x:v>
      </x:c>
      <x:c r="G32" s="20" t="n">
        <x:f>6*4*('Controls'!$B$11/4-'Controls'!$B$15)</x:f>
        <x:v>132</x:v>
      </x:c>
      <x:c r="H32" s="20" t="n">
        <x:f>'Controls'!$B$16</x:f>
        <x:v>0.3</x:v>
      </x:c>
      <x:c r="I32" s="20" t="n">
        <x:f>'Controls'!$B$17-'Controls'!$B$13</x:f>
        <x:v>0.38</x:v>
      </x:c>
      <x:c r="J32" s="20" t="n">
        <x:v>1</x:v>
      </x:c>
      <x:c r="K32" s="20" t="n">
        <x:f>F32*G32*H32*I32*J32</x:f>
        <x:v>15.048</x:v>
      </x:c>
      <x:c r="L32" s="7" t="str">
        <x:v>Clear spans between column faces; no joint overlap</x:v>
      </x:c>
      <x:c r="M32" s="2"/>
      <x:c r="N32" s="2"/>
      <x:c r="O32" s="2"/>
      <x:c r="P32" s="2"/>
      <x:c r="Q32" s="2"/>
    </x:row>
    <x:row r="33" ht="22" customHeight="1">
      <x:c r="A33" s="2" t="str">
        <x:v>M0026</x:v>
      </x:c>
      <x:c r="B33" s="2" t="str">
        <x:v>FW02</x:v>
      </x:c>
      <x:c r="C33" s="2" t="str">
        <x:v>T1</x:v>
      </x:c>
      <x:c r="D33" s="2" t="str">
        <x:v>L00</x:v>
      </x:c>
      <x:c r="E33" s="2" t="str">
        <x:v>Beam forms Y</x:v>
      </x:c>
      <x:c r="F33" s="21" t="n">
        <x:v>1</x:v>
      </x:c>
      <x:c r="G33" s="21" t="n">
        <x:f>6*4*('Controls'!$B$11/4-'Controls'!$B$15)</x:f>
        <x:v>132</x:v>
      </x:c>
      <x:c r="H33" s="21" t="n">
        <x:f>'Controls'!$B$16+2*('Controls'!$B$17-'Controls'!$B$13)</x:f>
        <x:v>1.06</x:v>
      </x:c>
      <x:c r="I33" s="21" t="n">
        <x:v>1</x:v>
      </x:c>
      <x:c r="J33" s="21" t="n">
        <x:v>1</x:v>
      </x:c>
      <x:c r="K33" s="21" t="n">
        <x:f>F33*G33*H33*I33*J33</x:f>
        <x:v>139.92000000000002</x:v>
      </x:c>
      <x:c r="L33" s="2" t="str">
        <x:v>Soffit plus two downstand sides</x:v>
      </x:c>
      <x:c r="M33" s="2"/>
      <x:c r="N33" s="2"/>
      <x:c r="O33" s="2"/>
      <x:c r="P33" s="2"/>
      <x:c r="Q33" s="2"/>
    </x:row>
    <x:row r="34" ht="22" customHeight="1">
      <x:c r="A34" s="7" t="str">
        <x:v>M0027</x:v>
      </x:c>
      <x:c r="B34" s="7" t="str">
        <x:v>RC05</x:v>
      </x:c>
      <x:c r="C34" s="7" t="str">
        <x:v>T1</x:v>
      </x:c>
      <x:c r="D34" s="7" t="str">
        <x:v>L00</x:v>
      </x:c>
      <x:c r="E34" s="7" t="str">
        <x:v>Thirty columns, clear storey</x:v>
      </x:c>
      <x:c r="F34" s="20" t="n">
        <x:v>30</x:v>
      </x:c>
      <x:c r="G34" s="20" t="n">
        <x:f>'Controls'!$B$14</x:f>
        <x:v>0.5</x:v>
      </x:c>
      <x:c r="H34" s="20" t="n">
        <x:f>'Controls'!$B$15</x:f>
        <x:v>0.5</x:v>
      </x:c>
      <x:c r="I34" s="20" t="n">
        <x:f>'Controls'!$B$12-'Controls'!$B$13</x:f>
        <x:v>2.98</x:v>
      </x:c>
      <x:c r="J34" s="20" t="n">
        <x:v>1</x:v>
      </x:c>
      <x:c r="K34" s="20" t="n">
        <x:f>F34*G34*H34*I34*J34</x:f>
        <x:v>22.35</x:v>
      </x:c>
      <x:c r="L34" s="7" t="str">
        <x:v>Slab volume excluded from columns</x:v>
      </x:c>
      <x:c r="M34" s="2"/>
      <x:c r="N34" s="2"/>
      <x:c r="O34" s="2"/>
      <x:c r="P34" s="2"/>
      <x:c r="Q34" s="2"/>
    </x:row>
    <x:row r="35" ht="22" customHeight="1">
      <x:c r="A35" s="2" t="str">
        <x:v>M0028</x:v>
      </x:c>
      <x:c r="B35" s="2" t="str">
        <x:v>RC06</x:v>
      </x:c>
      <x:c r="C35" s="2" t="str">
        <x:v>T1</x:v>
      </x:c>
      <x:c r="D35" s="2" t="str">
        <x:v>L00</x:v>
      </x:c>
      <x:c r="E35" s="2" t="str">
        <x:v>Core walls clear storey</x:v>
      </x:c>
      <x:c r="F35" s="21" t="n">
        <x:v>1</x:v>
      </x:c>
      <x:c r="G35" s="21" t="n">
        <x:f>'Controls'!$B$19</x:f>
        <x:v>24</x:v>
      </x:c>
      <x:c r="H35" s="21" t="n">
        <x:f>'Controls'!$B$18</x:f>
        <x:v>0.25</x:v>
      </x:c>
      <x:c r="I35" s="21" t="n">
        <x:f>'Controls'!$B$12-'Controls'!$B$13</x:f>
        <x:v>2.98</x:v>
      </x:c>
      <x:c r="J35" s="21" t="n">
        <x:v>1</x:v>
      </x:c>
      <x:c r="K35" s="21" t="n">
        <x:f>F35*G35*H35*I35*J35</x:f>
        <x:v>17.88</x:v>
      </x:c>
      <x:c r="L35" s="2" t="str">
        <x:v>Net clear wall length excludes corners</x:v>
      </x:c>
      <x:c r="M35" s="2"/>
      <x:c r="N35" s="2"/>
      <x:c r="O35" s="2"/>
      <x:c r="P35" s="2"/>
      <x:c r="Q35" s="2"/>
    </x:row>
    <x:row r="36" ht="22" customHeight="1">
      <x:c r="A36" s="7" t="str">
        <x:v>M0029</x:v>
      </x:c>
      <x:c r="B36" s="7" t="str">
        <x:v>RC07</x:v>
      </x:c>
      <x:c r="C36" s="7" t="str">
        <x:v>T1</x:v>
      </x:c>
      <x:c r="D36" s="7" t="str">
        <x:v>L00</x:v>
      </x:c>
      <x:c r="E36" s="7" t="str">
        <x:v>Stair flights waist</x:v>
      </x:c>
      <x:c r="F36" s="20" t="n">
        <x:v>2</x:v>
      </x:c>
      <x:c r="G36" s="20" t="n">
        <x:v>4.1</x:v>
      </x:c>
      <x:c r="H36" s="20" t="n">
        <x:v>1.2</x:v>
      </x:c>
      <x:c r="I36" s="20" t="n">
        <x:v>0.18</x:v>
      </x:c>
      <x:c r="J36" s="20" t="n">
        <x:v>1</x:v>
      </x:c>
      <x:c r="K36" s="20" t="n">
        <x:f>F36*G36*H36*I36*J36</x:f>
        <x:v>1.7711999999999997</x:v>
      </x:c>
      <x:c r="L36" s="7" t="str">
        <x:v>Two flights; geometry separate from floor slab</x:v>
      </x:c>
      <x:c r="M36" s="2"/>
      <x:c r="N36" s="2"/>
      <x:c r="O36" s="2"/>
      <x:c r="P36" s="2"/>
      <x:c r="Q36" s="2"/>
    </x:row>
    <x:row r="37" ht="22" customHeight="1">
      <x:c r="A37" s="2" t="str">
        <x:v>M0030</x:v>
      </x:c>
      <x:c r="B37" s="2" t="str">
        <x:v>RC07</x:v>
      </x:c>
      <x:c r="C37" s="2" t="str">
        <x:v>T1</x:v>
      </x:c>
      <x:c r="D37" s="2" t="str">
        <x:v>L00</x:v>
      </x:c>
      <x:c r="E37" s="2" t="str">
        <x:v>Stair landings</x:v>
      </x:c>
      <x:c r="F37" s="21" t="n">
        <x:v>2</x:v>
      </x:c>
      <x:c r="G37" s="21" t="n">
        <x:v>2</x:v>
      </x:c>
      <x:c r="H37" s="21" t="n">
        <x:v>1.2</x:v>
      </x:c>
      <x:c r="I37" s="21" t="n">
        <x:v>0.18</x:v>
      </x:c>
      <x:c r="J37" s="21" t="n">
        <x:v>1</x:v>
      </x:c>
      <x:c r="K37" s="21" t="n">
        <x:f>F37*G37*H37*I37*J37</x:f>
        <x:v>0.864</x:v>
      </x:c>
      <x:c r="L37" s="2" t="str">
        <x:v>Within stair opening</x:v>
      </x:c>
      <x:c r="M37" s="2"/>
      <x:c r="N37" s="2"/>
      <x:c r="O37" s="2"/>
      <x:c r="P37" s="2"/>
      <x:c r="Q37" s="2"/>
    </x:row>
    <x:row r="38" ht="22" customHeight="1">
      <x:c r="A38" s="7" t="str">
        <x:v>M0031</x:v>
      </x:c>
      <x:c r="B38" s="7" t="str">
        <x:v>FW01</x:v>
      </x:c>
      <x:c r="C38" s="7" t="str">
        <x:v>T1</x:v>
      </x:c>
      <x:c r="D38" s="7" t="str">
        <x:v>L00</x:v>
      </x:c>
      <x:c r="E38" s="7" t="str">
        <x:v>Slab soffit gross</x:v>
      </x:c>
      <x:c r="F38" s="20" t="n">
        <x:v>1</x:v>
      </x:c>
      <x:c r="G38" s="20" t="n">
        <x:f>'Controls'!$B$10</x:f>
        <x:v>30</x:v>
      </x:c>
      <x:c r="H38" s="20" t="n">
        <x:f>'Controls'!$B$11</x:f>
        <x:v>24</x:v>
      </x:c>
      <x:c r="I38" s="20" t="n">
        <x:v>1</x:v>
      </x:c>
      <x:c r="J38" s="20" t="n">
        <x:v>1</x:v>
      </x:c>
      <x:c r="K38" s="20" t="n">
        <x:f>F38*G38*H38*I38*J38</x:f>
        <x:v>720</x:v>
      </x:c>
      <x:c r="L38" s="7" t="str">
        <x:v>Beam soffit deducted below</x:v>
      </x:c>
      <x:c r="M38" s="2"/>
      <x:c r="N38" s="2"/>
      <x:c r="O38" s="2"/>
      <x:c r="P38" s="2"/>
      <x:c r="Q38" s="2"/>
    </x:row>
    <x:row r="39" ht="22" customHeight="1">
      <x:c r="A39" s="2" t="str">
        <x:v>M0032</x:v>
      </x:c>
      <x:c r="B39" s="2" t="str">
        <x:v>FW01</x:v>
      </x:c>
      <x:c r="C39" s="2" t="str">
        <x:v>T1</x:v>
      </x:c>
      <x:c r="D39" s="2" t="str">
        <x:v>L00</x:v>
      </x:c>
      <x:c r="E39" s="2" t="str">
        <x:v>Stair opening deduction</x:v>
      </x:c>
      <x:c r="F39" s="21" t="n">
        <x:v>1</x:v>
      </x:c>
      <x:c r="G39" s="21" t="n">
        <x:f>'Controls'!$B$20</x:f>
        <x:v>4</x:v>
      </x:c>
      <x:c r="H39" s="21" t="n">
        <x:f>'Controls'!$B$21</x:f>
        <x:v>6</x:v>
      </x:c>
      <x:c r="I39" s="21" t="n">
        <x:v>1</x:v>
      </x:c>
      <x:c r="J39" s="21" t="n">
        <x:v>-1</x:v>
      </x:c>
      <x:c r="K39" s="21" t="n">
        <x:f>F39*G39*H39*I39*J39</x:f>
        <x:v>-24</x:v>
      </x:c>
      <x:c r="L39" s="2" t="str">
        <x:v>OP-01</x:v>
      </x:c>
      <x:c r="M39" s="2"/>
      <x:c r="N39" s="2"/>
      <x:c r="O39" s="2"/>
      <x:c r="P39" s="2"/>
      <x:c r="Q39" s="2"/>
    </x:row>
    <x:row r="40" ht="22" customHeight="1">
      <x:c r="A40" s="7" t="str">
        <x:v>M0033</x:v>
      </x:c>
      <x:c r="B40" s="7" t="str">
        <x:v>FW01</x:v>
      </x:c>
      <x:c r="C40" s="7" t="str">
        <x:v>T1</x:v>
      </x:c>
      <x:c r="D40" s="7" t="str">
        <x:v>L00</x:v>
      </x:c>
      <x:c r="E40" s="7" t="str">
        <x:v>Beam soffit deduction</x:v>
      </x:c>
      <x:c r="F40" s="20" t="n">
        <x:v>1</x:v>
      </x:c>
      <x:c r="G40" s="20" t="n">
        <x:f>5*5*('Controls'!$B$10/5-'Controls'!$B$14)+6*4*('Controls'!$B$11/4-'Controls'!$B$15)</x:f>
        <x:v>269.5</x:v>
      </x:c>
      <x:c r="H40" s="20" t="n">
        <x:f>'Controls'!$B$16</x:f>
        <x:v>0.3</x:v>
      </x:c>
      <x:c r="I40" s="20" t="n">
        <x:v>1</x:v>
      </x:c>
      <x:c r="J40" s="20" t="n">
        <x:v>-1</x:v>
      </x:c>
      <x:c r="K40" s="20" t="n">
        <x:f>F40*G40*H40*I40*J40</x:f>
        <x:v>-80.85</x:v>
      </x:c>
      <x:c r="L40" s="7" t="str">
        <x:v>Beam forms measured in FW02</x:v>
      </x:c>
      <x:c r="M40" s="2"/>
      <x:c r="N40" s="2"/>
      <x:c r="O40" s="2"/>
      <x:c r="P40" s="2"/>
      <x:c r="Q40" s="2"/>
    </x:row>
    <x:row r="41" ht="22" customHeight="1">
      <x:c r="A41" s="2" t="str">
        <x:v>M0034</x:v>
      </x:c>
      <x:c r="B41" s="2" t="str">
        <x:v>FW03</x:v>
      </x:c>
      <x:c r="C41" s="2" t="str">
        <x:v>T1</x:v>
      </x:c>
      <x:c r="D41" s="2" t="str">
        <x:v>L00</x:v>
      </x:c>
      <x:c r="E41" s="2" t="str">
        <x:v>Column four faces</x:v>
      </x:c>
      <x:c r="F41" s="21" t="n">
        <x:v>30</x:v>
      </x:c>
      <x:c r="G41" s="21" t="n">
        <x:f>2*('Controls'!$B$14+'Controls'!$B$15)</x:f>
        <x:v>2</x:v>
      </x:c>
      <x:c r="H41" s="21" t="n">
        <x:f>'Controls'!$B$12-'Controls'!$B$13</x:f>
        <x:v>2.98</x:v>
      </x:c>
      <x:c r="I41" s="21" t="n">
        <x:v>1</x:v>
      </x:c>
      <x:c r="J41" s="21" t="n">
        <x:v>1</x:v>
      </x:c>
      <x:c r="K41" s="21" t="n">
        <x:f>F41*G41*H41*I41*J41</x:f>
        <x:v>178.8</x:v>
      </x:c>
      <x:c r="L41" s="2" t="str">
        <x:v>Clear floor-to-soffit</x:v>
      </x:c>
      <x:c r="M41" s="2"/>
      <x:c r="N41" s="2"/>
      <x:c r="O41" s="2"/>
      <x:c r="P41" s="2"/>
      <x:c r="Q41" s="2"/>
    </x:row>
    <x:row r="42" ht="22" customHeight="1">
      <x:c r="A42" s="7" t="str">
        <x:v>M0035</x:v>
      </x:c>
      <x:c r="B42" s="7" t="str">
        <x:v>FW04</x:v>
      </x:c>
      <x:c r="C42" s="7" t="str">
        <x:v>T1</x:v>
      </x:c>
      <x:c r="D42" s="7" t="str">
        <x:v>L00</x:v>
      </x:c>
      <x:c r="E42" s="7" t="str">
        <x:v>Core wall two faces</x:v>
      </x:c>
      <x:c r="F42" s="20" t="n">
        <x:v>2</x:v>
      </x:c>
      <x:c r="G42" s="20" t="n">
        <x:f>'Controls'!$B$19</x:f>
        <x:v>24</x:v>
      </x:c>
      <x:c r="H42" s="20" t="n">
        <x:f>'Controls'!$B$12-'Controls'!$B$13</x:f>
        <x:v>2.98</x:v>
      </x:c>
      <x:c r="I42" s="20" t="n">
        <x:v>1</x:v>
      </x:c>
      <x:c r="J42" s="20" t="n">
        <x:v>1</x:v>
      </x:c>
      <x:c r="K42" s="20" t="n">
        <x:f>F42*G42*H42*I42*J42</x:f>
        <x:v>143.04</x:v>
      </x:c>
      <x:c r="L42" s="7" t="str">
        <x:v>Net perimeter, no repeated corners</x:v>
      </x:c>
      <x:c r="M42" s="2"/>
      <x:c r="N42" s="2"/>
      <x:c r="O42" s="2"/>
      <x:c r="P42" s="2"/>
      <x:c r="Q42" s="2"/>
    </x:row>
    <x:row r="43" ht="22" customHeight="1">
      <x:c r="A43" s="2" t="str">
        <x:v>M0036</x:v>
      </x:c>
      <x:c r="B43" s="2" t="str">
        <x:v>AR01</x:v>
      </x:c>
      <x:c r="C43" s="2" t="str">
        <x:v>T1</x:v>
      </x:c>
      <x:c r="D43" s="2" t="str">
        <x:v>L00</x:v>
      </x:c>
      <x:c r="E43" s="2" t="str">
        <x:v>Partition walls gross</x:v>
      </x:c>
      <x:c r="F43" s="21" t="n">
        <x:v>1</x:v>
      </x:c>
      <x:c r="G43" s="21" t="n">
        <x:f>'Controls'!$B$45</x:f>
        <x:v>220</x:v>
      </x:c>
      <x:c r="H43" s="21" t="n">
        <x:f>'Controls'!$B$12-'Controls'!$B$13</x:f>
        <x:v>2.98</x:v>
      </x:c>
      <x:c r="I43" s="21" t="n">
        <x:f>'Controls'!$B$46</x:f>
        <x:v>0.15</x:v>
      </x:c>
      <x:c r="J43" s="21" t="n">
        <x:v>1</x:v>
      </x:c>
      <x:c r="K43" s="21" t="n">
        <x:f>F43*G43*H43*I43*J43</x:f>
        <x:v>98.34</x:v>
      </x:c>
      <x:c r="L43" s="2" t="str">
        <x:v>Net openings deducted below</x:v>
      </x:c>
      <x:c r="M43" s="2"/>
      <x:c r="N43" s="2"/>
      <x:c r="O43" s="2"/>
      <x:c r="P43" s="2"/>
      <x:c r="Q43" s="2"/>
    </x:row>
    <x:row r="44" ht="22" customHeight="1">
      <x:c r="A44" s="7" t="str">
        <x:v>M0037</x:v>
      </x:c>
      <x:c r="B44" s="7" t="str">
        <x:v>AR01</x:v>
      </x:c>
      <x:c r="C44" s="7" t="str">
        <x:v>T1</x:v>
      </x:c>
      <x:c r="D44" s="7" t="str">
        <x:v>L00</x:v>
      </x:c>
      <x:c r="E44" s="7" t="str">
        <x:v>Internal doors deduction</x:v>
      </x:c>
      <x:c r="F44" s="20" t="n">
        <x:f>'Controls'!$B$48</x:f>
        <x:v>28</x:v>
      </x:c>
      <x:c r="G44" s="20" t="n">
        <x:f>'Controls'!$B$49</x:f>
        <x:v>0.9</x:v>
      </x:c>
      <x:c r="H44" s="20" t="n">
        <x:f>'Controls'!$B$50</x:f>
        <x:v>2.1</x:v>
      </x:c>
      <x:c r="I44" s="20" t="n">
        <x:f>'Controls'!$B$46</x:f>
        <x:v>0.15</x:v>
      </x:c>
      <x:c r="J44" s="20" t="n">
        <x:v>-1</x:v>
      </x:c>
      <x:c r="K44" s="20" t="n">
        <x:f>F44*G44*H44*I44*J44</x:f>
        <x:v>-7.938</x:v>
      </x:c>
      <x:c r="L44" s="7" t="str">
        <x:v>28 doors per floor, OP-02</x:v>
      </x:c>
      <x:c r="M44" s="2"/>
      <x:c r="N44" s="2"/>
      <x:c r="O44" s="2"/>
      <x:c r="P44" s="2"/>
      <x:c r="Q44" s="2"/>
    </x:row>
    <x:row r="45" ht="22" customHeight="1">
      <x:c r="A45" s="2" t="str">
        <x:v>M0038</x:v>
      </x:c>
      <x:c r="B45" s="2" t="str">
        <x:v>AR02</x:v>
      </x:c>
      <x:c r="C45" s="2" t="str">
        <x:v>T1</x:v>
      </x:c>
      <x:c r="D45" s="2" t="str">
        <x:v>L00</x:v>
      </x:c>
      <x:c r="E45" s="2" t="str">
        <x:v>Internal plaster gross</x:v>
      </x:c>
      <x:c r="F45" s="21" t="n">
        <x:v>2</x:v>
      </x:c>
      <x:c r="G45" s="21" t="n">
        <x:f>'Controls'!$B$45</x:f>
        <x:v>220</x:v>
      </x:c>
      <x:c r="H45" s="21" t="n">
        <x:f>'Controls'!$B$12-'Controls'!$B$13</x:f>
        <x:v>2.98</x:v>
      </x:c>
      <x:c r="I45" s="21" t="n">
        <x:v>1</x:v>
      </x:c>
      <x:c r="J45" s="21" t="n">
        <x:v>1</x:v>
      </x:c>
      <x:c r="K45" s="21" t="n">
        <x:f>F45*G45*H45*I45*J45</x:f>
        <x:v>1311.2</x:v>
      </x:c>
      <x:c r="L45" s="2" t="str">
        <x:v>Both faces of partition walls</x:v>
      </x:c>
      <x:c r="M45" s="2"/>
      <x:c r="N45" s="2"/>
      <x:c r="O45" s="2"/>
      <x:c r="P45" s="2"/>
      <x:c r="Q45" s="2"/>
    </x:row>
    <x:row r="46" ht="22" customHeight="1">
      <x:c r="A46" s="7" t="str">
        <x:v>M0039</x:v>
      </x:c>
      <x:c r="B46" s="7" t="str">
        <x:v>AR02</x:v>
      </x:c>
      <x:c r="C46" s="7" t="str">
        <x:v>T1</x:v>
      </x:c>
      <x:c r="D46" s="7" t="str">
        <x:v>L00</x:v>
      </x:c>
      <x:c r="E46" s="7" t="str">
        <x:v>Door area deduction both faces</x:v>
      </x:c>
      <x:c r="F46" s="20" t="n">
        <x:f>2*'Controls'!$B$48</x:f>
        <x:v>56</x:v>
      </x:c>
      <x:c r="G46" s="20" t="n">
        <x:f>'Controls'!$B$49</x:f>
        <x:v>0.9</x:v>
      </x:c>
      <x:c r="H46" s="20" t="n">
        <x:f>'Controls'!$B$50</x:f>
        <x:v>2.1</x:v>
      </x:c>
      <x:c r="I46" s="20" t="n">
        <x:v>1</x:v>
      </x:c>
      <x:c r="J46" s="20" t="n">
        <x:v>-1</x:v>
      </x:c>
      <x:c r="K46" s="20" t="n">
        <x:f>F46*G46*H46*I46*J46</x:f>
        <x:v>-105.84</x:v>
      </x:c>
      <x:c r="L46" s="7" t="str">
        <x:v>No plaster over openings</x:v>
      </x:c>
      <x:c r="M46" s="2"/>
      <x:c r="N46" s="2"/>
      <x:c r="O46" s="2"/>
      <x:c r="P46" s="2"/>
      <x:c r="Q46" s="2"/>
    </x:row>
    <x:row r="47" ht="22" customHeight="1">
      <x:c r="A47" s="2" t="str">
        <x:v>M0040</x:v>
      </x:c>
      <x:c r="B47" s="2" t="str">
        <x:v>AR03</x:v>
      </x:c>
      <x:c r="C47" s="2" t="str">
        <x:v>T1</x:v>
      </x:c>
      <x:c r="D47" s="2" t="str">
        <x:v>L00</x:v>
      </x:c>
      <x:c r="E47" s="2" t="str">
        <x:v>Floor screed net</x:v>
      </x:c>
      <x:c r="F47" s="21" t="n">
        <x:v>1</x:v>
      </x:c>
      <x:c r="G47" s="21" t="n">
        <x:f>'Controls'!$B$10*'Controls'!$B$11-'Controls'!$B$20*'Controls'!$B$21</x:f>
        <x:v>696</x:v>
      </x:c>
      <x:c r="H47" s="21" t="n">
        <x:v>1</x:v>
      </x:c>
      <x:c r="I47" s="21" t="n">
        <x:v>1</x:v>
      </x:c>
      <x:c r="J47" s="21" t="n">
        <x:v>1</x:v>
      </x:c>
      <x:c r="K47" s="21" t="n">
        <x:f>F47*G47*H47*I47*J47</x:f>
        <x:v>696</x:v>
      </x:c>
      <x:c r="L47" s="2" t="str">
        <x:v>Net structural floor area</x:v>
      </x:c>
      <x:c r="M47" s="2"/>
      <x:c r="N47" s="2"/>
      <x:c r="O47" s="2"/>
      <x:c r="P47" s="2"/>
      <x:c r="Q47" s="2"/>
    </x:row>
    <x:row r="48" ht="22" customHeight="1">
      <x:c r="A48" s="7" t="str">
        <x:v>M0041</x:v>
      </x:c>
      <x:c r="B48" s="7" t="str">
        <x:v>AR04</x:v>
      </x:c>
      <x:c r="C48" s="7" t="str">
        <x:v>T1</x:v>
      </x:c>
      <x:c r="D48" s="7" t="str">
        <x:v>L00</x:v>
      </x:c>
      <x:c r="E48" s="7" t="str">
        <x:v>Floor finish net</x:v>
      </x:c>
      <x:c r="F48" s="20" t="n">
        <x:v>1</x:v>
      </x:c>
      <x:c r="G48" s="20" t="n">
        <x:f>'Controls'!$B$10*'Controls'!$B$11-'Controls'!$B$20*'Controls'!$B$21</x:f>
        <x:v>696</x:v>
      </x:c>
      <x:c r="H48" s="20" t="n">
        <x:v>1</x:v>
      </x:c>
      <x:c r="I48" s="20" t="n">
        <x:v>1</x:v>
      </x:c>
      <x:c r="J48" s="20" t="n">
        <x:v>1</x:v>
      </x:c>
      <x:c r="K48" s="20" t="n">
        <x:f>F48*G48*H48*I48*J48</x:f>
        <x:v>696</x:v>
      </x:c>
      <x:c r="L48" s="7" t="str">
        <x:v>Waste excluded from BOQ</x:v>
      </x:c>
      <x:c r="M48" s="2"/>
      <x:c r="N48" s="2"/>
      <x:c r="O48" s="2"/>
      <x:c r="P48" s="2"/>
      <x:c r="Q48" s="2"/>
    </x:row>
    <x:row r="49" ht="22" customHeight="1">
      <x:c r="A49" s="2" t="str">
        <x:v>M0042</x:v>
      </x:c>
      <x:c r="B49" s="2" t="str">
        <x:v>AR05</x:v>
      </x:c>
      <x:c r="C49" s="2" t="str">
        <x:v>T1</x:v>
      </x:c>
      <x:c r="D49" s="2" t="str">
        <x:v>L00</x:v>
      </x:c>
      <x:c r="E49" s="2" t="str">
        <x:v>Internal wall paint net</x:v>
      </x:c>
      <x:c r="F49" s="21" t="n">
        <x:v>2</x:v>
      </x:c>
      <x:c r="G49" s="21" t="n">
        <x:f>'Controls'!$B$45*('Controls'!$B$12-'Controls'!$B$13)-'Controls'!$B$48*'Controls'!$B$49*'Controls'!$B$50</x:f>
        <x:v>602.6800000000001</x:v>
      </x:c>
      <x:c r="H49" s="21" t="n">
        <x:v>1</x:v>
      </x:c>
      <x:c r="I49" s="21" t="n">
        <x:v>1</x:v>
      </x:c>
      <x:c r="J49" s="21" t="n">
        <x:v>1</x:v>
      </x:c>
      <x:c r="K49" s="21" t="n">
        <x:f>F49*G49*H49*I49*J49</x:f>
        <x:v>1205.3600000000001</x:v>
      </x:c>
      <x:c r="L49" s="2" t="str">
        <x:v>Finished area; two coats priced in rate</x:v>
      </x:c>
      <x:c r="M49" s="2"/>
      <x:c r="N49" s="2"/>
      <x:c r="O49" s="2"/>
      <x:c r="P49" s="2"/>
      <x:c r="Q49" s="2"/>
    </x:row>
    <x:row r="50" ht="22" customHeight="1">
      <x:c r="A50" s="7" t="str">
        <x:v>M0043</x:v>
      </x:c>
      <x:c r="B50" s="7" t="str">
        <x:v>AR06</x:v>
      </x:c>
      <x:c r="C50" s="7" t="str">
        <x:v>T1</x:v>
      </x:c>
      <x:c r="D50" s="7" t="str">
        <x:v>L00</x:v>
      </x:c>
      <x:c r="E50" s="7" t="str">
        <x:v>Door sets</x:v>
      </x:c>
      <x:c r="F50" s="20" t="n">
        <x:f>'Controls'!$B$48</x:f>
        <x:v>28</x:v>
      </x:c>
      <x:c r="G50" s="20" t="n">
        <x:v>1</x:v>
      </x:c>
      <x:c r="H50" s="20" t="n">
        <x:v>1</x:v>
      </x:c>
      <x:c r="I50" s="20" t="n">
        <x:v>1</x:v>
      </x:c>
      <x:c r="J50" s="20" t="n">
        <x:v>1</x:v>
      </x:c>
      <x:c r="K50" s="20" t="n">
        <x:f>F50*G50*H50*I50*J50</x:f>
        <x:v>28</x:v>
      </x:c>
      <x:c r="L50" s="7" t="str">
        <x:v>Door count, not double face</x:v>
      </x:c>
      <x:c r="M50" s="2"/>
      <x:c r="N50" s="2"/>
      <x:c r="O50" s="2"/>
      <x:c r="P50" s="2"/>
      <x:c r="Q50" s="2"/>
    </x:row>
    <x:row r="51" ht="22" customHeight="1">
      <x:c r="A51" s="2" t="str">
        <x:v>M0044</x:v>
      </x:c>
      <x:c r="B51" s="2" t="str">
        <x:v>RC03</x:v>
      </x:c>
      <x:c r="C51" s="2" t="str">
        <x:v>T1</x:v>
      </x:c>
      <x:c r="D51" s="2" t="str">
        <x:v>L01</x:v>
      </x:c>
      <x:c r="E51" s="2" t="str">
        <x:v>Floor slab gross</x:v>
      </x:c>
      <x:c r="F51" s="21" t="n">
        <x:v>1</x:v>
      </x:c>
      <x:c r="G51" s="21" t="n">
        <x:f>'Controls'!$B$10</x:f>
        <x:v>30</x:v>
      </x:c>
      <x:c r="H51" s="21" t="n">
        <x:f>'Controls'!$B$11</x:f>
        <x:v>24</x:v>
      </x:c>
      <x:c r="I51" s="21" t="n">
        <x:f>'Controls'!$B$13</x:f>
        <x:v>0.22</x:v>
      </x:c>
      <x:c r="J51" s="21" t="n">
        <x:v>1</x:v>
      </x:c>
      <x:c r="K51" s="21" t="n">
        <x:f>F51*G51*H51*I51*J51</x:f>
        <x:v>158.4</x:v>
      </x:c>
      <x:c r="L51" s="2" t="str">
        <x:v>Slab includes beam top flange; downstand separate</x:v>
      </x:c>
      <x:c r="M51" s="2"/>
      <x:c r="N51" s="2"/>
      <x:c r="O51" s="2"/>
      <x:c r="P51" s="2"/>
      <x:c r="Q51" s="2"/>
    </x:row>
    <x:row r="52" ht="22" customHeight="1">
      <x:c r="A52" s="7" t="str">
        <x:v>M0045</x:v>
      </x:c>
      <x:c r="B52" s="7" t="str">
        <x:v>RC03</x:v>
      </x:c>
      <x:c r="C52" s="7" t="str">
        <x:v>T1</x:v>
      </x:c>
      <x:c r="D52" s="7" t="str">
        <x:v>L01</x:v>
      </x:c>
      <x:c r="E52" s="7" t="str">
        <x:v>Stair opening deduction</x:v>
      </x:c>
      <x:c r="F52" s="20" t="n">
        <x:v>1</x:v>
      </x:c>
      <x:c r="G52" s="20" t="n">
        <x:f>'Controls'!$B$20</x:f>
        <x:v>4</x:v>
      </x:c>
      <x:c r="H52" s="20" t="n">
        <x:f>'Controls'!$B$21</x:f>
        <x:v>6</x:v>
      </x:c>
      <x:c r="I52" s="20" t="n">
        <x:f>'Controls'!$B$13</x:f>
        <x:v>0.22</x:v>
      </x:c>
      <x:c r="J52" s="20" t="n">
        <x:v>-1</x:v>
      </x:c>
      <x:c r="K52" s="20" t="n">
        <x:f>F52*G52*H52*I52*J52</x:f>
        <x:v>-5.28</x:v>
      </x:c>
      <x:c r="L52" s="7" t="str">
        <x:v>Opening OP-01</x:v>
      </x:c>
      <x:c r="M52" s="2"/>
      <x:c r="N52" s="2"/>
      <x:c r="O52" s="2"/>
      <x:c r="P52" s="2"/>
      <x:c r="Q52" s="2"/>
    </x:row>
    <x:row r="53" ht="22" customHeight="1">
      <x:c r="A53" s="2" t="str">
        <x:v>M0046</x:v>
      </x:c>
      <x:c r="B53" s="2" t="str">
        <x:v>RC04</x:v>
      </x:c>
      <x:c r="C53" s="2" t="str">
        <x:v>T1</x:v>
      </x:c>
      <x:c r="D53" s="2" t="str">
        <x:v>L01</x:v>
      </x:c>
      <x:c r="E53" s="2" t="str">
        <x:v>Beam downstands X</x:v>
      </x:c>
      <x:c r="F53" s="21" t="n">
        <x:v>1</x:v>
      </x:c>
      <x:c r="G53" s="21" t="n">
        <x:f>5*5*('Controls'!$B$10/5-'Controls'!$B$14)</x:f>
        <x:v>137.5</x:v>
      </x:c>
      <x:c r="H53" s="21" t="n">
        <x:f>'Controls'!$B$16</x:f>
        <x:v>0.3</x:v>
      </x:c>
      <x:c r="I53" s="21" t="n">
        <x:f>'Controls'!$B$17-'Controls'!$B$13</x:f>
        <x:v>0.38</x:v>
      </x:c>
      <x:c r="J53" s="21" t="n">
        <x:v>1</x:v>
      </x:c>
      <x:c r="K53" s="21" t="n">
        <x:f>F53*G53*H53*I53*J53</x:f>
        <x:v>15.675</x:v>
      </x:c>
      <x:c r="L53" s="2" t="str">
        <x:v>Clear spans between column faces; no joint overlap</x:v>
      </x:c>
      <x:c r="M53" s="2"/>
      <x:c r="N53" s="2"/>
      <x:c r="O53" s="2"/>
      <x:c r="P53" s="2"/>
      <x:c r="Q53" s="2"/>
    </x:row>
    <x:row r="54" ht="22" customHeight="1">
      <x:c r="A54" s="7" t="str">
        <x:v>M0047</x:v>
      </x:c>
      <x:c r="B54" s="7" t="str">
        <x:v>FW02</x:v>
      </x:c>
      <x:c r="C54" s="7" t="str">
        <x:v>T1</x:v>
      </x:c>
      <x:c r="D54" s="7" t="str">
        <x:v>L01</x:v>
      </x:c>
      <x:c r="E54" s="7" t="str">
        <x:v>Beam forms X</x:v>
      </x:c>
      <x:c r="F54" s="20" t="n">
        <x:v>1</x:v>
      </x:c>
      <x:c r="G54" s="20" t="n">
        <x:f>5*5*('Controls'!$B$10/5-'Controls'!$B$14)</x:f>
        <x:v>137.5</x:v>
      </x:c>
      <x:c r="H54" s="20" t="n">
        <x:f>'Controls'!$B$16+2*('Controls'!$B$17-'Controls'!$B$13)</x:f>
        <x:v>1.06</x:v>
      </x:c>
      <x:c r="I54" s="20" t="n">
        <x:v>1</x:v>
      </x:c>
      <x:c r="J54" s="20" t="n">
        <x:v>1</x:v>
      </x:c>
      <x:c r="K54" s="20" t="n">
        <x:f>F54*G54*H54*I54*J54</x:f>
        <x:v>145.75</x:v>
      </x:c>
      <x:c r="L54" s="7" t="str">
        <x:v>Soffit plus two downstand sides</x:v>
      </x:c>
      <x:c r="M54" s="2"/>
      <x:c r="N54" s="2"/>
      <x:c r="O54" s="2"/>
      <x:c r="P54" s="2"/>
      <x:c r="Q54" s="2"/>
    </x:row>
    <x:row r="55" ht="22" customHeight="1">
      <x:c r="A55" s="2" t="str">
        <x:v>M0048</x:v>
      </x:c>
      <x:c r="B55" s="2" t="str">
        <x:v>RC04</x:v>
      </x:c>
      <x:c r="C55" s="2" t="str">
        <x:v>T1</x:v>
      </x:c>
      <x:c r="D55" s="2" t="str">
        <x:v>L01</x:v>
      </x:c>
      <x:c r="E55" s="2" t="str">
        <x:v>Beam downstands Y</x:v>
      </x:c>
      <x:c r="F55" s="21" t="n">
        <x:v>1</x:v>
      </x:c>
      <x:c r="G55" s="21" t="n">
        <x:f>6*4*('Controls'!$B$11/4-'Controls'!$B$15)</x:f>
        <x:v>132</x:v>
      </x:c>
      <x:c r="H55" s="21" t="n">
        <x:f>'Controls'!$B$16</x:f>
        <x:v>0.3</x:v>
      </x:c>
      <x:c r="I55" s="21" t="n">
        <x:f>'Controls'!$B$17-'Controls'!$B$13</x:f>
        <x:v>0.38</x:v>
      </x:c>
      <x:c r="J55" s="21" t="n">
        <x:v>1</x:v>
      </x:c>
      <x:c r="K55" s="21" t="n">
        <x:f>F55*G55*H55*I55*J55</x:f>
        <x:v>15.048</x:v>
      </x:c>
      <x:c r="L55" s="2" t="str">
        <x:v>Clear spans between column faces; no joint overlap</x:v>
      </x:c>
      <x:c r="M55" s="2"/>
      <x:c r="N55" s="2"/>
      <x:c r="O55" s="2"/>
      <x:c r="P55" s="2"/>
      <x:c r="Q55" s="2"/>
    </x:row>
    <x:row r="56" ht="22" customHeight="1">
      <x:c r="A56" s="7" t="str">
        <x:v>M0049</x:v>
      </x:c>
      <x:c r="B56" s="7" t="str">
        <x:v>FW02</x:v>
      </x:c>
      <x:c r="C56" s="7" t="str">
        <x:v>T1</x:v>
      </x:c>
      <x:c r="D56" s="7" t="str">
        <x:v>L01</x:v>
      </x:c>
      <x:c r="E56" s="7" t="str">
        <x:v>Beam forms Y</x:v>
      </x:c>
      <x:c r="F56" s="20" t="n">
        <x:v>1</x:v>
      </x:c>
      <x:c r="G56" s="20" t="n">
        <x:f>6*4*('Controls'!$B$11/4-'Controls'!$B$15)</x:f>
        <x:v>132</x:v>
      </x:c>
      <x:c r="H56" s="20" t="n">
        <x:f>'Controls'!$B$16+2*('Controls'!$B$17-'Controls'!$B$13)</x:f>
        <x:v>1.06</x:v>
      </x:c>
      <x:c r="I56" s="20" t="n">
        <x:v>1</x:v>
      </x:c>
      <x:c r="J56" s="20" t="n">
        <x:v>1</x:v>
      </x:c>
      <x:c r="K56" s="20" t="n">
        <x:f>F56*G56*H56*I56*J56</x:f>
        <x:v>139.92000000000002</x:v>
      </x:c>
      <x:c r="L56" s="7" t="str">
        <x:v>Soffit plus two downstand sides</x:v>
      </x:c>
      <x:c r="M56" s="2"/>
      <x:c r="N56" s="2"/>
      <x:c r="O56" s="2"/>
      <x:c r="P56" s="2"/>
      <x:c r="Q56" s="2"/>
    </x:row>
    <x:row r="57" ht="22" customHeight="1">
      <x:c r="A57" s="2" t="str">
        <x:v>M0050</x:v>
      </x:c>
      <x:c r="B57" s="2" t="str">
        <x:v>RC05</x:v>
      </x:c>
      <x:c r="C57" s="2" t="str">
        <x:v>T1</x:v>
      </x:c>
      <x:c r="D57" s="2" t="str">
        <x:v>L01</x:v>
      </x:c>
      <x:c r="E57" s="2" t="str">
        <x:v>Thirty columns, clear storey</x:v>
      </x:c>
      <x:c r="F57" s="21" t="n">
        <x:v>30</x:v>
      </x:c>
      <x:c r="G57" s="21" t="n">
        <x:f>'Controls'!$B$14</x:f>
        <x:v>0.5</x:v>
      </x:c>
      <x:c r="H57" s="21" t="n">
        <x:f>'Controls'!$B$15</x:f>
        <x:v>0.5</x:v>
      </x:c>
      <x:c r="I57" s="21" t="n">
        <x:f>'Controls'!$B$12-'Controls'!$B$13</x:f>
        <x:v>2.98</x:v>
      </x:c>
      <x:c r="J57" s="21" t="n">
        <x:v>1</x:v>
      </x:c>
      <x:c r="K57" s="21" t="n">
        <x:f>F57*G57*H57*I57*J57</x:f>
        <x:v>22.35</x:v>
      </x:c>
      <x:c r="L57" s="2" t="str">
        <x:v>Slab volume excluded from columns</x:v>
      </x:c>
      <x:c r="M57" s="2"/>
      <x:c r="N57" s="2"/>
      <x:c r="O57" s="2"/>
      <x:c r="P57" s="2"/>
      <x:c r="Q57" s="2"/>
    </x:row>
    <x:row r="58" ht="22" customHeight="1">
      <x:c r="A58" s="7" t="str">
        <x:v>M0051</x:v>
      </x:c>
      <x:c r="B58" s="7" t="str">
        <x:v>RC06</x:v>
      </x:c>
      <x:c r="C58" s="7" t="str">
        <x:v>T1</x:v>
      </x:c>
      <x:c r="D58" s="7" t="str">
        <x:v>L01</x:v>
      </x:c>
      <x:c r="E58" s="7" t="str">
        <x:v>Core walls clear storey</x:v>
      </x:c>
      <x:c r="F58" s="20" t="n">
        <x:v>1</x:v>
      </x:c>
      <x:c r="G58" s="20" t="n">
        <x:f>'Controls'!$B$19</x:f>
        <x:v>24</x:v>
      </x:c>
      <x:c r="H58" s="20" t="n">
        <x:f>'Controls'!$B$18</x:f>
        <x:v>0.25</x:v>
      </x:c>
      <x:c r="I58" s="20" t="n">
        <x:f>'Controls'!$B$12-'Controls'!$B$13</x:f>
        <x:v>2.98</x:v>
      </x:c>
      <x:c r="J58" s="20" t="n">
        <x:v>1</x:v>
      </x:c>
      <x:c r="K58" s="20" t="n">
        <x:f>F58*G58*H58*I58*J58</x:f>
        <x:v>17.88</x:v>
      </x:c>
      <x:c r="L58" s="7" t="str">
        <x:v>Net clear wall length excludes corners</x:v>
      </x:c>
      <x:c r="M58" s="2"/>
      <x:c r="N58" s="2"/>
      <x:c r="O58" s="2"/>
      <x:c r="P58" s="2"/>
      <x:c r="Q58" s="2"/>
    </x:row>
    <x:row r="59" ht="22" customHeight="1">
      <x:c r="A59" s="2" t="str">
        <x:v>M0052</x:v>
      </x:c>
      <x:c r="B59" s="2" t="str">
        <x:v>RC07</x:v>
      </x:c>
      <x:c r="C59" s="2" t="str">
        <x:v>T1</x:v>
      </x:c>
      <x:c r="D59" s="2" t="str">
        <x:v>L01</x:v>
      </x:c>
      <x:c r="E59" s="2" t="str">
        <x:v>Stair flights waist</x:v>
      </x:c>
      <x:c r="F59" s="21" t="n">
        <x:v>2</x:v>
      </x:c>
      <x:c r="G59" s="21" t="n">
        <x:v>4.1</x:v>
      </x:c>
      <x:c r="H59" s="21" t="n">
        <x:v>1.2</x:v>
      </x:c>
      <x:c r="I59" s="21" t="n">
        <x:v>0.18</x:v>
      </x:c>
      <x:c r="J59" s="21" t="n">
        <x:v>1</x:v>
      </x:c>
      <x:c r="K59" s="21" t="n">
        <x:f>F59*G59*H59*I59*J59</x:f>
        <x:v>1.7711999999999997</x:v>
      </x:c>
      <x:c r="L59" s="2" t="str">
        <x:v>Two flights; geometry separate from floor slab</x:v>
      </x:c>
      <x:c r="M59" s="2"/>
      <x:c r="N59" s="2"/>
      <x:c r="O59" s="2"/>
      <x:c r="P59" s="2"/>
      <x:c r="Q59" s="2"/>
    </x:row>
    <x:row r="60" ht="22" customHeight="1">
      <x:c r="A60" s="7" t="str">
        <x:v>M0053</x:v>
      </x:c>
      <x:c r="B60" s="7" t="str">
        <x:v>RC07</x:v>
      </x:c>
      <x:c r="C60" s="7" t="str">
        <x:v>T1</x:v>
      </x:c>
      <x:c r="D60" s="7" t="str">
        <x:v>L01</x:v>
      </x:c>
      <x:c r="E60" s="7" t="str">
        <x:v>Stair landings</x:v>
      </x:c>
      <x:c r="F60" s="20" t="n">
        <x:v>2</x:v>
      </x:c>
      <x:c r="G60" s="20" t="n">
        <x:v>2</x:v>
      </x:c>
      <x:c r="H60" s="20" t="n">
        <x:v>1.2</x:v>
      </x:c>
      <x:c r="I60" s="20" t="n">
        <x:v>0.18</x:v>
      </x:c>
      <x:c r="J60" s="20" t="n">
        <x:v>1</x:v>
      </x:c>
      <x:c r="K60" s="20" t="n">
        <x:f>F60*G60*H60*I60*J60</x:f>
        <x:v>0.864</x:v>
      </x:c>
      <x:c r="L60" s="7" t="str">
        <x:v>Within stair opening</x:v>
      </x:c>
      <x:c r="M60" s="2"/>
      <x:c r="N60" s="2"/>
      <x:c r="O60" s="2"/>
      <x:c r="P60" s="2"/>
      <x:c r="Q60" s="2"/>
    </x:row>
    <x:row r="61" ht="22" customHeight="1">
      <x:c r="A61" s="2" t="str">
        <x:v>M0054</x:v>
      </x:c>
      <x:c r="B61" s="2" t="str">
        <x:v>FW01</x:v>
      </x:c>
      <x:c r="C61" s="2" t="str">
        <x:v>T1</x:v>
      </x:c>
      <x:c r="D61" s="2" t="str">
        <x:v>L01</x:v>
      </x:c>
      <x:c r="E61" s="2" t="str">
        <x:v>Slab soffit gross</x:v>
      </x:c>
      <x:c r="F61" s="21" t="n">
        <x:v>1</x:v>
      </x:c>
      <x:c r="G61" s="21" t="n">
        <x:f>'Controls'!$B$10</x:f>
        <x:v>30</x:v>
      </x:c>
      <x:c r="H61" s="21" t="n">
        <x:f>'Controls'!$B$11</x:f>
        <x:v>24</x:v>
      </x:c>
      <x:c r="I61" s="21" t="n">
        <x:v>1</x:v>
      </x:c>
      <x:c r="J61" s="21" t="n">
        <x:v>1</x:v>
      </x:c>
      <x:c r="K61" s="21" t="n">
        <x:f>F61*G61*H61*I61*J61</x:f>
        <x:v>720</x:v>
      </x:c>
      <x:c r="L61" s="2" t="str">
        <x:v>Beam soffit deducted below</x:v>
      </x:c>
      <x:c r="M61" s="2"/>
      <x:c r="N61" s="2"/>
      <x:c r="O61" s="2"/>
      <x:c r="P61" s="2"/>
      <x:c r="Q61" s="2"/>
    </x:row>
    <x:row r="62" ht="22" customHeight="1">
      <x:c r="A62" s="7" t="str">
        <x:v>M0055</x:v>
      </x:c>
      <x:c r="B62" s="7" t="str">
        <x:v>FW01</x:v>
      </x:c>
      <x:c r="C62" s="7" t="str">
        <x:v>T1</x:v>
      </x:c>
      <x:c r="D62" s="7" t="str">
        <x:v>L01</x:v>
      </x:c>
      <x:c r="E62" s="7" t="str">
        <x:v>Stair opening deduction</x:v>
      </x:c>
      <x:c r="F62" s="20" t="n">
        <x:v>1</x:v>
      </x:c>
      <x:c r="G62" s="20" t="n">
        <x:f>'Controls'!$B$20</x:f>
        <x:v>4</x:v>
      </x:c>
      <x:c r="H62" s="20" t="n">
        <x:f>'Controls'!$B$21</x:f>
        <x:v>6</x:v>
      </x:c>
      <x:c r="I62" s="20" t="n">
        <x:v>1</x:v>
      </x:c>
      <x:c r="J62" s="20" t="n">
        <x:v>-1</x:v>
      </x:c>
      <x:c r="K62" s="20" t="n">
        <x:f>F62*G62*H62*I62*J62</x:f>
        <x:v>-24</x:v>
      </x:c>
      <x:c r="L62" s="7" t="str">
        <x:v>OP-01</x:v>
      </x:c>
      <x:c r="M62" s="2"/>
      <x:c r="N62" s="2"/>
      <x:c r="O62" s="2"/>
      <x:c r="P62" s="2"/>
      <x:c r="Q62" s="2"/>
    </x:row>
    <x:row r="63" ht="22" customHeight="1">
      <x:c r="A63" s="2" t="str">
        <x:v>M0056</x:v>
      </x:c>
      <x:c r="B63" s="2" t="str">
        <x:v>FW01</x:v>
      </x:c>
      <x:c r="C63" s="2" t="str">
        <x:v>T1</x:v>
      </x:c>
      <x:c r="D63" s="2" t="str">
        <x:v>L01</x:v>
      </x:c>
      <x:c r="E63" s="2" t="str">
        <x:v>Beam soffit deduction</x:v>
      </x:c>
      <x:c r="F63" s="21" t="n">
        <x:v>1</x:v>
      </x:c>
      <x:c r="G63" s="21" t="n">
        <x:f>5*5*('Controls'!$B$10/5-'Controls'!$B$14)+6*4*('Controls'!$B$11/4-'Controls'!$B$15)</x:f>
        <x:v>269.5</x:v>
      </x:c>
      <x:c r="H63" s="21" t="n">
        <x:f>'Controls'!$B$16</x:f>
        <x:v>0.3</x:v>
      </x:c>
      <x:c r="I63" s="21" t="n">
        <x:v>1</x:v>
      </x:c>
      <x:c r="J63" s="21" t="n">
        <x:v>-1</x:v>
      </x:c>
      <x:c r="K63" s="21" t="n">
        <x:f>F63*G63*H63*I63*J63</x:f>
        <x:v>-80.85</x:v>
      </x:c>
      <x:c r="L63" s="2" t="str">
        <x:v>Beam forms measured in FW02</x:v>
      </x:c>
      <x:c r="M63" s="2"/>
      <x:c r="N63" s="2"/>
      <x:c r="O63" s="2"/>
      <x:c r="P63" s="2"/>
      <x:c r="Q63" s="2"/>
    </x:row>
    <x:row r="64" ht="22" customHeight="1">
      <x:c r="A64" s="7" t="str">
        <x:v>M0057</x:v>
      </x:c>
      <x:c r="B64" s="7" t="str">
        <x:v>FW03</x:v>
      </x:c>
      <x:c r="C64" s="7" t="str">
        <x:v>T1</x:v>
      </x:c>
      <x:c r="D64" s="7" t="str">
        <x:v>L01</x:v>
      </x:c>
      <x:c r="E64" s="7" t="str">
        <x:v>Column four faces</x:v>
      </x:c>
      <x:c r="F64" s="20" t="n">
        <x:v>30</x:v>
      </x:c>
      <x:c r="G64" s="20" t="n">
        <x:f>2*('Controls'!$B$14+'Controls'!$B$15)</x:f>
        <x:v>2</x:v>
      </x:c>
      <x:c r="H64" s="20" t="n">
        <x:f>'Controls'!$B$12-'Controls'!$B$13</x:f>
        <x:v>2.98</x:v>
      </x:c>
      <x:c r="I64" s="20" t="n">
        <x:v>1</x:v>
      </x:c>
      <x:c r="J64" s="20" t="n">
        <x:v>1</x:v>
      </x:c>
      <x:c r="K64" s="20" t="n">
        <x:f>F64*G64*H64*I64*J64</x:f>
        <x:v>178.8</x:v>
      </x:c>
      <x:c r="L64" s="7" t="str">
        <x:v>Clear floor-to-soffit</x:v>
      </x:c>
      <x:c r="M64" s="2"/>
      <x:c r="N64" s="2"/>
      <x:c r="O64" s="2"/>
      <x:c r="P64" s="2"/>
      <x:c r="Q64" s="2"/>
    </x:row>
    <x:row r="65" ht="22" customHeight="1">
      <x:c r="A65" s="2" t="str">
        <x:v>M0058</x:v>
      </x:c>
      <x:c r="B65" s="2" t="str">
        <x:v>FW04</x:v>
      </x:c>
      <x:c r="C65" s="2" t="str">
        <x:v>T1</x:v>
      </x:c>
      <x:c r="D65" s="2" t="str">
        <x:v>L01</x:v>
      </x:c>
      <x:c r="E65" s="2" t="str">
        <x:v>Core wall two faces</x:v>
      </x:c>
      <x:c r="F65" s="21" t="n">
        <x:v>2</x:v>
      </x:c>
      <x:c r="G65" s="21" t="n">
        <x:f>'Controls'!$B$19</x:f>
        <x:v>24</x:v>
      </x:c>
      <x:c r="H65" s="21" t="n">
        <x:f>'Controls'!$B$12-'Controls'!$B$13</x:f>
        <x:v>2.98</x:v>
      </x:c>
      <x:c r="I65" s="21" t="n">
        <x:v>1</x:v>
      </x:c>
      <x:c r="J65" s="21" t="n">
        <x:v>1</x:v>
      </x:c>
      <x:c r="K65" s="21" t="n">
        <x:f>F65*G65*H65*I65*J65</x:f>
        <x:v>143.04</x:v>
      </x:c>
      <x:c r="L65" s="2" t="str">
        <x:v>Net perimeter, no repeated corners</x:v>
      </x:c>
      <x:c r="M65" s="2"/>
      <x:c r="N65" s="2"/>
      <x:c r="O65" s="2"/>
      <x:c r="P65" s="2"/>
      <x:c r="Q65" s="2"/>
    </x:row>
    <x:row r="66" ht="22" customHeight="1">
      <x:c r="A66" s="7" t="str">
        <x:v>M0059</x:v>
      </x:c>
      <x:c r="B66" s="7" t="str">
        <x:v>AR01</x:v>
      </x:c>
      <x:c r="C66" s="7" t="str">
        <x:v>T1</x:v>
      </x:c>
      <x:c r="D66" s="7" t="str">
        <x:v>L01</x:v>
      </x:c>
      <x:c r="E66" s="7" t="str">
        <x:v>Partition walls gross</x:v>
      </x:c>
      <x:c r="F66" s="20" t="n">
        <x:v>1</x:v>
      </x:c>
      <x:c r="G66" s="20" t="n">
        <x:f>'Controls'!$B$45</x:f>
        <x:v>220</x:v>
      </x:c>
      <x:c r="H66" s="20" t="n">
        <x:f>'Controls'!$B$12-'Controls'!$B$13</x:f>
        <x:v>2.98</x:v>
      </x:c>
      <x:c r="I66" s="20" t="n">
        <x:f>'Controls'!$B$46</x:f>
        <x:v>0.15</x:v>
      </x:c>
      <x:c r="J66" s="20" t="n">
        <x:v>1</x:v>
      </x:c>
      <x:c r="K66" s="20" t="n">
        <x:f>F66*G66*H66*I66*J66</x:f>
        <x:v>98.34</x:v>
      </x:c>
      <x:c r="L66" s="7" t="str">
        <x:v>Net openings deducted below</x:v>
      </x:c>
      <x:c r="M66" s="2"/>
      <x:c r="N66" s="2"/>
      <x:c r="O66" s="2"/>
      <x:c r="P66" s="2"/>
      <x:c r="Q66" s="2"/>
    </x:row>
    <x:row r="67" ht="22" customHeight="1">
      <x:c r="A67" s="2" t="str">
        <x:v>M0060</x:v>
      </x:c>
      <x:c r="B67" s="2" t="str">
        <x:v>AR01</x:v>
      </x:c>
      <x:c r="C67" s="2" t="str">
        <x:v>T1</x:v>
      </x:c>
      <x:c r="D67" s="2" t="str">
        <x:v>L01</x:v>
      </x:c>
      <x:c r="E67" s="2" t="str">
        <x:v>Internal doors deduction</x:v>
      </x:c>
      <x:c r="F67" s="21" t="n">
        <x:f>'Controls'!$B$48</x:f>
        <x:v>28</x:v>
      </x:c>
      <x:c r="G67" s="21" t="n">
        <x:f>'Controls'!$B$49</x:f>
        <x:v>0.9</x:v>
      </x:c>
      <x:c r="H67" s="21" t="n">
        <x:f>'Controls'!$B$50</x:f>
        <x:v>2.1</x:v>
      </x:c>
      <x:c r="I67" s="21" t="n">
        <x:f>'Controls'!$B$46</x:f>
        <x:v>0.15</x:v>
      </x:c>
      <x:c r="J67" s="21" t="n">
        <x:v>-1</x:v>
      </x:c>
      <x:c r="K67" s="21" t="n">
        <x:f>F67*G67*H67*I67*J67</x:f>
        <x:v>-7.938</x:v>
      </x:c>
      <x:c r="L67" s="2" t="str">
        <x:v>28 doors per floor, OP-02</x:v>
      </x:c>
      <x:c r="M67" s="2"/>
      <x:c r="N67" s="2"/>
      <x:c r="O67" s="2"/>
      <x:c r="P67" s="2"/>
      <x:c r="Q67" s="2"/>
    </x:row>
    <x:row r="68" ht="22" customHeight="1">
      <x:c r="A68" s="7" t="str">
        <x:v>M0061</x:v>
      </x:c>
      <x:c r="B68" s="7" t="str">
        <x:v>AR02</x:v>
      </x:c>
      <x:c r="C68" s="7" t="str">
        <x:v>T1</x:v>
      </x:c>
      <x:c r="D68" s="7" t="str">
        <x:v>L01</x:v>
      </x:c>
      <x:c r="E68" s="7" t="str">
        <x:v>Internal plaster gross</x:v>
      </x:c>
      <x:c r="F68" s="20" t="n">
        <x:v>2</x:v>
      </x:c>
      <x:c r="G68" s="20" t="n">
        <x:f>'Controls'!$B$45</x:f>
        <x:v>220</x:v>
      </x:c>
      <x:c r="H68" s="20" t="n">
        <x:f>'Controls'!$B$12-'Controls'!$B$13</x:f>
        <x:v>2.98</x:v>
      </x:c>
      <x:c r="I68" s="20" t="n">
        <x:v>1</x:v>
      </x:c>
      <x:c r="J68" s="20" t="n">
        <x:v>1</x:v>
      </x:c>
      <x:c r="K68" s="20" t="n">
        <x:f>F68*G68*H68*I68*J68</x:f>
        <x:v>1311.2</x:v>
      </x:c>
      <x:c r="L68" s="7" t="str">
        <x:v>Both faces of partition walls</x:v>
      </x:c>
      <x:c r="M68" s="2"/>
      <x:c r="N68" s="2"/>
      <x:c r="O68" s="2"/>
      <x:c r="P68" s="2"/>
      <x:c r="Q68" s="2"/>
    </x:row>
    <x:row r="69" ht="22" customHeight="1">
      <x:c r="A69" s="2" t="str">
        <x:v>M0062</x:v>
      </x:c>
      <x:c r="B69" s="2" t="str">
        <x:v>AR02</x:v>
      </x:c>
      <x:c r="C69" s="2" t="str">
        <x:v>T1</x:v>
      </x:c>
      <x:c r="D69" s="2" t="str">
        <x:v>L01</x:v>
      </x:c>
      <x:c r="E69" s="2" t="str">
        <x:v>Door area deduction both faces</x:v>
      </x:c>
      <x:c r="F69" s="21" t="n">
        <x:f>2*'Controls'!$B$48</x:f>
        <x:v>56</x:v>
      </x:c>
      <x:c r="G69" s="21" t="n">
        <x:f>'Controls'!$B$49</x:f>
        <x:v>0.9</x:v>
      </x:c>
      <x:c r="H69" s="21" t="n">
        <x:f>'Controls'!$B$50</x:f>
        <x:v>2.1</x:v>
      </x:c>
      <x:c r="I69" s="21" t="n">
        <x:v>1</x:v>
      </x:c>
      <x:c r="J69" s="21" t="n">
        <x:v>-1</x:v>
      </x:c>
      <x:c r="K69" s="21" t="n">
        <x:f>F69*G69*H69*I69*J69</x:f>
        <x:v>-105.84</x:v>
      </x:c>
      <x:c r="L69" s="2" t="str">
        <x:v>No plaster over openings</x:v>
      </x:c>
      <x:c r="M69" s="2"/>
      <x:c r="N69" s="2"/>
      <x:c r="O69" s="2"/>
      <x:c r="P69" s="2"/>
      <x:c r="Q69" s="2"/>
    </x:row>
    <x:row r="70" ht="22" customHeight="1">
      <x:c r="A70" s="7" t="str">
        <x:v>M0063</x:v>
      </x:c>
      <x:c r="B70" s="7" t="str">
        <x:v>AR03</x:v>
      </x:c>
      <x:c r="C70" s="7" t="str">
        <x:v>T1</x:v>
      </x:c>
      <x:c r="D70" s="7" t="str">
        <x:v>L01</x:v>
      </x:c>
      <x:c r="E70" s="7" t="str">
        <x:v>Floor screed net</x:v>
      </x:c>
      <x:c r="F70" s="20" t="n">
        <x:v>1</x:v>
      </x:c>
      <x:c r="G70" s="20" t="n">
        <x:f>'Controls'!$B$10*'Controls'!$B$11-'Controls'!$B$20*'Controls'!$B$21</x:f>
        <x:v>696</x:v>
      </x:c>
      <x:c r="H70" s="20" t="n">
        <x:v>1</x:v>
      </x:c>
      <x:c r="I70" s="20" t="n">
        <x:v>1</x:v>
      </x:c>
      <x:c r="J70" s="20" t="n">
        <x:v>1</x:v>
      </x:c>
      <x:c r="K70" s="20" t="n">
        <x:f>F70*G70*H70*I70*J70</x:f>
        <x:v>696</x:v>
      </x:c>
      <x:c r="L70" s="7" t="str">
        <x:v>Net structural floor area</x:v>
      </x:c>
      <x:c r="M70" s="2"/>
      <x:c r="N70" s="2"/>
      <x:c r="O70" s="2"/>
      <x:c r="P70" s="2"/>
      <x:c r="Q70" s="2"/>
    </x:row>
    <x:row r="71" ht="22" customHeight="1">
      <x:c r="A71" s="2" t="str">
        <x:v>M0064</x:v>
      </x:c>
      <x:c r="B71" s="2" t="str">
        <x:v>AR04</x:v>
      </x:c>
      <x:c r="C71" s="2" t="str">
        <x:v>T1</x:v>
      </x:c>
      <x:c r="D71" s="2" t="str">
        <x:v>L01</x:v>
      </x:c>
      <x:c r="E71" s="2" t="str">
        <x:v>Floor finish net</x:v>
      </x:c>
      <x:c r="F71" s="21" t="n">
        <x:v>1</x:v>
      </x:c>
      <x:c r="G71" s="21" t="n">
        <x:f>'Controls'!$B$10*'Controls'!$B$11-'Controls'!$B$20*'Controls'!$B$21</x:f>
        <x:v>696</x:v>
      </x:c>
      <x:c r="H71" s="21" t="n">
        <x:v>1</x:v>
      </x:c>
      <x:c r="I71" s="21" t="n">
        <x:v>1</x:v>
      </x:c>
      <x:c r="J71" s="21" t="n">
        <x:v>1</x:v>
      </x:c>
      <x:c r="K71" s="21" t="n">
        <x:f>F71*G71*H71*I71*J71</x:f>
        <x:v>696</x:v>
      </x:c>
      <x:c r="L71" s="2" t="str">
        <x:v>Waste excluded from BOQ</x:v>
      </x:c>
      <x:c r="M71" s="2"/>
      <x:c r="N71" s="2"/>
      <x:c r="O71" s="2"/>
      <x:c r="P71" s="2"/>
      <x:c r="Q71" s="2"/>
    </x:row>
    <x:row r="72" ht="22" customHeight="1">
      <x:c r="A72" s="7" t="str">
        <x:v>M0065</x:v>
      </x:c>
      <x:c r="B72" s="7" t="str">
        <x:v>AR05</x:v>
      </x:c>
      <x:c r="C72" s="7" t="str">
        <x:v>T1</x:v>
      </x:c>
      <x:c r="D72" s="7" t="str">
        <x:v>L01</x:v>
      </x:c>
      <x:c r="E72" s="7" t="str">
        <x:v>Internal wall paint net</x:v>
      </x:c>
      <x:c r="F72" s="20" t="n">
        <x:v>2</x:v>
      </x:c>
      <x:c r="G72" s="20" t="n">
        <x:f>'Controls'!$B$45*('Controls'!$B$12-'Controls'!$B$13)-'Controls'!$B$48*'Controls'!$B$49*'Controls'!$B$50</x:f>
        <x:v>602.6800000000001</x:v>
      </x:c>
      <x:c r="H72" s="20" t="n">
        <x:v>1</x:v>
      </x:c>
      <x:c r="I72" s="20" t="n">
        <x:v>1</x:v>
      </x:c>
      <x:c r="J72" s="20" t="n">
        <x:v>1</x:v>
      </x:c>
      <x:c r="K72" s="20" t="n">
        <x:f>F72*G72*H72*I72*J72</x:f>
        <x:v>1205.3600000000001</x:v>
      </x:c>
      <x:c r="L72" s="7" t="str">
        <x:v>Finished area; two coats priced in rate</x:v>
      </x:c>
      <x:c r="M72" s="2"/>
      <x:c r="N72" s="2"/>
      <x:c r="O72" s="2"/>
      <x:c r="P72" s="2"/>
      <x:c r="Q72" s="2"/>
    </x:row>
    <x:row r="73" ht="22" customHeight="1">
      <x:c r="A73" s="2" t="str">
        <x:v>M0066</x:v>
      </x:c>
      <x:c r="B73" s="2" t="str">
        <x:v>AR06</x:v>
      </x:c>
      <x:c r="C73" s="2" t="str">
        <x:v>T1</x:v>
      </x:c>
      <x:c r="D73" s="2" t="str">
        <x:v>L01</x:v>
      </x:c>
      <x:c r="E73" s="2" t="str">
        <x:v>Door sets</x:v>
      </x:c>
      <x:c r="F73" s="21" t="n">
        <x:f>'Controls'!$B$48</x:f>
        <x:v>28</x:v>
      </x:c>
      <x:c r="G73" s="21" t="n">
        <x:v>1</x:v>
      </x:c>
      <x:c r="H73" s="21" t="n">
        <x:v>1</x:v>
      </x:c>
      <x:c r="I73" s="21" t="n">
        <x:v>1</x:v>
      </x:c>
      <x:c r="J73" s="21" t="n">
        <x:v>1</x:v>
      </x:c>
      <x:c r="K73" s="21" t="n">
        <x:f>F73*G73*H73*I73*J73</x:f>
        <x:v>28</x:v>
      </x:c>
      <x:c r="L73" s="2" t="str">
        <x:v>Door count, not double face</x:v>
      </x:c>
      <x:c r="M73" s="2"/>
      <x:c r="N73" s="2"/>
      <x:c r="O73" s="2"/>
      <x:c r="P73" s="2"/>
      <x:c r="Q73" s="2"/>
    </x:row>
    <x:row r="74" ht="22" customHeight="1">
      <x:c r="A74" s="7" t="str">
        <x:v>M0067</x:v>
      </x:c>
      <x:c r="B74" s="7" t="str">
        <x:v>RC03</x:v>
      </x:c>
      <x:c r="C74" s="7" t="str">
        <x:v>T1</x:v>
      </x:c>
      <x:c r="D74" s="7" t="str">
        <x:v>L02</x:v>
      </x:c>
      <x:c r="E74" s="7" t="str">
        <x:v>Floor slab gross</x:v>
      </x:c>
      <x:c r="F74" s="20" t="n">
        <x:v>1</x:v>
      </x:c>
      <x:c r="G74" s="20" t="n">
        <x:f>'Controls'!$B$10</x:f>
        <x:v>30</x:v>
      </x:c>
      <x:c r="H74" s="20" t="n">
        <x:f>'Controls'!$B$11</x:f>
        <x:v>24</x:v>
      </x:c>
      <x:c r="I74" s="20" t="n">
        <x:f>'Controls'!$B$13</x:f>
        <x:v>0.22</x:v>
      </x:c>
      <x:c r="J74" s="20" t="n">
        <x:v>1</x:v>
      </x:c>
      <x:c r="K74" s="20" t="n">
        <x:f>F74*G74*H74*I74*J74</x:f>
        <x:v>158.4</x:v>
      </x:c>
      <x:c r="L74" s="7" t="str">
        <x:v>Slab includes beam top flange; downstand separate</x:v>
      </x:c>
      <x:c r="M74" s="2"/>
      <x:c r="N74" s="2"/>
      <x:c r="O74" s="2"/>
      <x:c r="P74" s="2"/>
      <x:c r="Q74" s="2"/>
    </x:row>
    <x:row r="75" ht="22" customHeight="1">
      <x:c r="A75" s="2" t="str">
        <x:v>M0068</x:v>
      </x:c>
      <x:c r="B75" s="2" t="str">
        <x:v>RC03</x:v>
      </x:c>
      <x:c r="C75" s="2" t="str">
        <x:v>T1</x:v>
      </x:c>
      <x:c r="D75" s="2" t="str">
        <x:v>L02</x:v>
      </x:c>
      <x:c r="E75" s="2" t="str">
        <x:v>Stair opening deduction</x:v>
      </x:c>
      <x:c r="F75" s="21" t="n">
        <x:v>1</x:v>
      </x:c>
      <x:c r="G75" s="21" t="n">
        <x:f>'Controls'!$B$20</x:f>
        <x:v>4</x:v>
      </x:c>
      <x:c r="H75" s="21" t="n">
        <x:f>'Controls'!$B$21</x:f>
        <x:v>6</x:v>
      </x:c>
      <x:c r="I75" s="21" t="n">
        <x:f>'Controls'!$B$13</x:f>
        <x:v>0.22</x:v>
      </x:c>
      <x:c r="J75" s="21" t="n">
        <x:v>-1</x:v>
      </x:c>
      <x:c r="K75" s="21" t="n">
        <x:f>F75*G75*H75*I75*J75</x:f>
        <x:v>-5.28</x:v>
      </x:c>
      <x:c r="L75" s="2" t="str">
        <x:v>Opening OP-01</x:v>
      </x:c>
      <x:c r="M75" s="2"/>
      <x:c r="N75" s="2"/>
      <x:c r="O75" s="2"/>
      <x:c r="P75" s="2"/>
      <x:c r="Q75" s="2"/>
    </x:row>
    <x:row r="76" ht="22" customHeight="1">
      <x:c r="A76" s="7" t="str">
        <x:v>M0069</x:v>
      </x:c>
      <x:c r="B76" s="7" t="str">
        <x:v>RC04</x:v>
      </x:c>
      <x:c r="C76" s="7" t="str">
        <x:v>T1</x:v>
      </x:c>
      <x:c r="D76" s="7" t="str">
        <x:v>L02</x:v>
      </x:c>
      <x:c r="E76" s="7" t="str">
        <x:v>Beam downstands X</x:v>
      </x:c>
      <x:c r="F76" s="20" t="n">
        <x:v>1</x:v>
      </x:c>
      <x:c r="G76" s="20" t="n">
        <x:f>5*5*('Controls'!$B$10/5-'Controls'!$B$14)</x:f>
        <x:v>137.5</x:v>
      </x:c>
      <x:c r="H76" s="20" t="n">
        <x:f>'Controls'!$B$16</x:f>
        <x:v>0.3</x:v>
      </x:c>
      <x:c r="I76" s="20" t="n">
        <x:f>'Controls'!$B$17-'Controls'!$B$13</x:f>
        <x:v>0.38</x:v>
      </x:c>
      <x:c r="J76" s="20" t="n">
        <x:v>1</x:v>
      </x:c>
      <x:c r="K76" s="20" t="n">
        <x:f>F76*G76*H76*I76*J76</x:f>
        <x:v>15.675</x:v>
      </x:c>
      <x:c r="L76" s="7" t="str">
        <x:v>Clear spans between column faces; no joint overlap</x:v>
      </x:c>
      <x:c r="M76" s="2"/>
      <x:c r="N76" s="2"/>
      <x:c r="O76" s="2"/>
      <x:c r="P76" s="2"/>
      <x:c r="Q76" s="2"/>
    </x:row>
    <x:row r="77" ht="22" customHeight="1">
      <x:c r="A77" s="2" t="str">
        <x:v>M0070</x:v>
      </x:c>
      <x:c r="B77" s="2" t="str">
        <x:v>FW02</x:v>
      </x:c>
      <x:c r="C77" s="2" t="str">
        <x:v>T1</x:v>
      </x:c>
      <x:c r="D77" s="2" t="str">
        <x:v>L02</x:v>
      </x:c>
      <x:c r="E77" s="2" t="str">
        <x:v>Beam forms X</x:v>
      </x:c>
      <x:c r="F77" s="21" t="n">
        <x:v>1</x:v>
      </x:c>
      <x:c r="G77" s="21" t="n">
        <x:f>5*5*('Controls'!$B$10/5-'Controls'!$B$14)</x:f>
        <x:v>137.5</x:v>
      </x:c>
      <x:c r="H77" s="21" t="n">
        <x:f>'Controls'!$B$16+2*('Controls'!$B$17-'Controls'!$B$13)</x:f>
        <x:v>1.06</x:v>
      </x:c>
      <x:c r="I77" s="21" t="n">
        <x:v>1</x:v>
      </x:c>
      <x:c r="J77" s="21" t="n">
        <x:v>1</x:v>
      </x:c>
      <x:c r="K77" s="21" t="n">
        <x:f>F77*G77*H77*I77*J77</x:f>
        <x:v>145.75</x:v>
      </x:c>
      <x:c r="L77" s="2" t="str">
        <x:v>Soffit plus two downstand sides</x:v>
      </x:c>
      <x:c r="M77" s="2"/>
      <x:c r="N77" s="2"/>
      <x:c r="O77" s="2"/>
      <x:c r="P77" s="2"/>
      <x:c r="Q77" s="2"/>
    </x:row>
    <x:row r="78" ht="22" customHeight="1">
      <x:c r="A78" s="7" t="str">
        <x:v>M0071</x:v>
      </x:c>
      <x:c r="B78" s="7" t="str">
        <x:v>RC04</x:v>
      </x:c>
      <x:c r="C78" s="7" t="str">
        <x:v>T1</x:v>
      </x:c>
      <x:c r="D78" s="7" t="str">
        <x:v>L02</x:v>
      </x:c>
      <x:c r="E78" s="7" t="str">
        <x:v>Beam downstands Y</x:v>
      </x:c>
      <x:c r="F78" s="20" t="n">
        <x:v>1</x:v>
      </x:c>
      <x:c r="G78" s="20" t="n">
        <x:f>6*4*('Controls'!$B$11/4-'Controls'!$B$15)</x:f>
        <x:v>132</x:v>
      </x:c>
      <x:c r="H78" s="20" t="n">
        <x:f>'Controls'!$B$16</x:f>
        <x:v>0.3</x:v>
      </x:c>
      <x:c r="I78" s="20" t="n">
        <x:f>'Controls'!$B$17-'Controls'!$B$13</x:f>
        <x:v>0.38</x:v>
      </x:c>
      <x:c r="J78" s="20" t="n">
        <x:v>1</x:v>
      </x:c>
      <x:c r="K78" s="20" t="n">
        <x:f>F78*G78*H78*I78*J78</x:f>
        <x:v>15.048</x:v>
      </x:c>
      <x:c r="L78" s="7" t="str">
        <x:v>Clear spans between column faces; no joint overlap</x:v>
      </x:c>
      <x:c r="M78" s="2"/>
      <x:c r="N78" s="2"/>
      <x:c r="O78" s="2"/>
      <x:c r="P78" s="2"/>
      <x:c r="Q78" s="2"/>
    </x:row>
    <x:row r="79" ht="22" customHeight="1">
      <x:c r="A79" s="2" t="str">
        <x:v>M0072</x:v>
      </x:c>
      <x:c r="B79" s="2" t="str">
        <x:v>FW02</x:v>
      </x:c>
      <x:c r="C79" s="2" t="str">
        <x:v>T1</x:v>
      </x:c>
      <x:c r="D79" s="2" t="str">
        <x:v>L02</x:v>
      </x:c>
      <x:c r="E79" s="2" t="str">
        <x:v>Beam forms Y</x:v>
      </x:c>
      <x:c r="F79" s="21" t="n">
        <x:v>1</x:v>
      </x:c>
      <x:c r="G79" s="21" t="n">
        <x:f>6*4*('Controls'!$B$11/4-'Controls'!$B$15)</x:f>
        <x:v>132</x:v>
      </x:c>
      <x:c r="H79" s="21" t="n">
        <x:f>'Controls'!$B$16+2*('Controls'!$B$17-'Controls'!$B$13)</x:f>
        <x:v>1.06</x:v>
      </x:c>
      <x:c r="I79" s="21" t="n">
        <x:v>1</x:v>
      </x:c>
      <x:c r="J79" s="21" t="n">
        <x:v>1</x:v>
      </x:c>
      <x:c r="K79" s="21" t="n">
        <x:f>F79*G79*H79*I79*J79</x:f>
        <x:v>139.92000000000002</x:v>
      </x:c>
      <x:c r="L79" s="2" t="str">
        <x:v>Soffit plus two downstand sides</x:v>
      </x:c>
      <x:c r="M79" s="2"/>
      <x:c r="N79" s="2"/>
      <x:c r="O79" s="2"/>
      <x:c r="P79" s="2"/>
      <x:c r="Q79" s="2"/>
    </x:row>
    <x:row r="80" ht="22" customHeight="1">
      <x:c r="A80" s="7" t="str">
        <x:v>M0073</x:v>
      </x:c>
      <x:c r="B80" s="7" t="str">
        <x:v>RC05</x:v>
      </x:c>
      <x:c r="C80" s="7" t="str">
        <x:v>T1</x:v>
      </x:c>
      <x:c r="D80" s="7" t="str">
        <x:v>L02</x:v>
      </x:c>
      <x:c r="E80" s="7" t="str">
        <x:v>Thirty columns, clear storey</x:v>
      </x:c>
      <x:c r="F80" s="20" t="n">
        <x:v>30</x:v>
      </x:c>
      <x:c r="G80" s="20" t="n">
        <x:f>'Controls'!$B$14</x:f>
        <x:v>0.5</x:v>
      </x:c>
      <x:c r="H80" s="20" t="n">
        <x:f>'Controls'!$B$15</x:f>
        <x:v>0.5</x:v>
      </x:c>
      <x:c r="I80" s="20" t="n">
        <x:f>'Controls'!$B$12-'Controls'!$B$13</x:f>
        <x:v>2.98</x:v>
      </x:c>
      <x:c r="J80" s="20" t="n">
        <x:v>1</x:v>
      </x:c>
      <x:c r="K80" s="20" t="n">
        <x:f>F80*G80*H80*I80*J80</x:f>
        <x:v>22.35</x:v>
      </x:c>
      <x:c r="L80" s="7" t="str">
        <x:v>Slab volume excluded from columns</x:v>
      </x:c>
      <x:c r="M80" s="2"/>
      <x:c r="N80" s="2"/>
      <x:c r="O80" s="2"/>
      <x:c r="P80" s="2"/>
      <x:c r="Q80" s="2"/>
    </x:row>
    <x:row r="81" ht="22" customHeight="1">
      <x:c r="A81" s="2" t="str">
        <x:v>M0074</x:v>
      </x:c>
      <x:c r="B81" s="2" t="str">
        <x:v>RC06</x:v>
      </x:c>
      <x:c r="C81" s="2" t="str">
        <x:v>T1</x:v>
      </x:c>
      <x:c r="D81" s="2" t="str">
        <x:v>L02</x:v>
      </x:c>
      <x:c r="E81" s="2" t="str">
        <x:v>Core walls clear storey</x:v>
      </x:c>
      <x:c r="F81" s="21" t="n">
        <x:v>1</x:v>
      </x:c>
      <x:c r="G81" s="21" t="n">
        <x:f>'Controls'!$B$19</x:f>
        <x:v>24</x:v>
      </x:c>
      <x:c r="H81" s="21" t="n">
        <x:f>'Controls'!$B$18</x:f>
        <x:v>0.25</x:v>
      </x:c>
      <x:c r="I81" s="21" t="n">
        <x:f>'Controls'!$B$12-'Controls'!$B$13</x:f>
        <x:v>2.98</x:v>
      </x:c>
      <x:c r="J81" s="21" t="n">
        <x:v>1</x:v>
      </x:c>
      <x:c r="K81" s="21" t="n">
        <x:f>F81*G81*H81*I81*J81</x:f>
        <x:v>17.88</x:v>
      </x:c>
      <x:c r="L81" s="2" t="str">
        <x:v>Net clear wall length excludes corners</x:v>
      </x:c>
      <x:c r="M81" s="2"/>
      <x:c r="N81" s="2"/>
      <x:c r="O81" s="2"/>
      <x:c r="P81" s="2"/>
      <x:c r="Q81" s="2"/>
    </x:row>
    <x:row r="82" ht="22" customHeight="1">
      <x:c r="A82" s="7" t="str">
        <x:v>M0075</x:v>
      </x:c>
      <x:c r="B82" s="7" t="str">
        <x:v>RC07</x:v>
      </x:c>
      <x:c r="C82" s="7" t="str">
        <x:v>T1</x:v>
      </x:c>
      <x:c r="D82" s="7" t="str">
        <x:v>L02</x:v>
      </x:c>
      <x:c r="E82" s="7" t="str">
        <x:v>Stair flights waist</x:v>
      </x:c>
      <x:c r="F82" s="20" t="n">
        <x:v>2</x:v>
      </x:c>
      <x:c r="G82" s="20" t="n">
        <x:v>4.1</x:v>
      </x:c>
      <x:c r="H82" s="20" t="n">
        <x:v>1.2</x:v>
      </x:c>
      <x:c r="I82" s="20" t="n">
        <x:v>0.18</x:v>
      </x:c>
      <x:c r="J82" s="20" t="n">
        <x:v>1</x:v>
      </x:c>
      <x:c r="K82" s="20" t="n">
        <x:f>F82*G82*H82*I82*J82</x:f>
        <x:v>1.7711999999999997</x:v>
      </x:c>
      <x:c r="L82" s="7" t="str">
        <x:v>Two flights; geometry separate from floor slab</x:v>
      </x:c>
      <x:c r="M82" s="2"/>
      <x:c r="N82" s="2"/>
      <x:c r="O82" s="2"/>
      <x:c r="P82" s="2"/>
      <x:c r="Q82" s="2"/>
    </x:row>
    <x:row r="83" ht="22" customHeight="1">
      <x:c r="A83" s="2" t="str">
        <x:v>M0076</x:v>
      </x:c>
      <x:c r="B83" s="2" t="str">
        <x:v>RC07</x:v>
      </x:c>
      <x:c r="C83" s="2" t="str">
        <x:v>T1</x:v>
      </x:c>
      <x:c r="D83" s="2" t="str">
        <x:v>L02</x:v>
      </x:c>
      <x:c r="E83" s="2" t="str">
        <x:v>Stair landings</x:v>
      </x:c>
      <x:c r="F83" s="21" t="n">
        <x:v>2</x:v>
      </x:c>
      <x:c r="G83" s="21" t="n">
        <x:v>2</x:v>
      </x:c>
      <x:c r="H83" s="21" t="n">
        <x:v>1.2</x:v>
      </x:c>
      <x:c r="I83" s="21" t="n">
        <x:v>0.18</x:v>
      </x:c>
      <x:c r="J83" s="21" t="n">
        <x:v>1</x:v>
      </x:c>
      <x:c r="K83" s="21" t="n">
        <x:f>F83*G83*H83*I83*J83</x:f>
        <x:v>0.864</x:v>
      </x:c>
      <x:c r="L83" s="2" t="str">
        <x:v>Within stair opening</x:v>
      </x:c>
      <x:c r="M83" s="2"/>
      <x:c r="N83" s="2"/>
      <x:c r="O83" s="2"/>
      <x:c r="P83" s="2"/>
      <x:c r="Q83" s="2"/>
    </x:row>
    <x:row r="84" ht="22" customHeight="1">
      <x:c r="A84" s="7" t="str">
        <x:v>M0077</x:v>
      </x:c>
      <x:c r="B84" s="7" t="str">
        <x:v>FW01</x:v>
      </x:c>
      <x:c r="C84" s="7" t="str">
        <x:v>T1</x:v>
      </x:c>
      <x:c r="D84" s="7" t="str">
        <x:v>L02</x:v>
      </x:c>
      <x:c r="E84" s="7" t="str">
        <x:v>Slab soffit gross</x:v>
      </x:c>
      <x:c r="F84" s="20" t="n">
        <x:v>1</x:v>
      </x:c>
      <x:c r="G84" s="20" t="n">
        <x:f>'Controls'!$B$10</x:f>
        <x:v>30</x:v>
      </x:c>
      <x:c r="H84" s="20" t="n">
        <x:f>'Controls'!$B$11</x:f>
        <x:v>24</x:v>
      </x:c>
      <x:c r="I84" s="20" t="n">
        <x:v>1</x:v>
      </x:c>
      <x:c r="J84" s="20" t="n">
        <x:v>1</x:v>
      </x:c>
      <x:c r="K84" s="20" t="n">
        <x:f>F84*G84*H84*I84*J84</x:f>
        <x:v>720</x:v>
      </x:c>
      <x:c r="L84" s="7" t="str">
        <x:v>Beam soffit deducted below</x:v>
      </x:c>
      <x:c r="M84" s="2"/>
      <x:c r="N84" s="2"/>
      <x:c r="O84" s="2"/>
      <x:c r="P84" s="2"/>
      <x:c r="Q84" s="2"/>
    </x:row>
    <x:row r="85" ht="22" customHeight="1">
      <x:c r="A85" s="2" t="str">
        <x:v>M0078</x:v>
      </x:c>
      <x:c r="B85" s="2" t="str">
        <x:v>FW01</x:v>
      </x:c>
      <x:c r="C85" s="2" t="str">
        <x:v>T1</x:v>
      </x:c>
      <x:c r="D85" s="2" t="str">
        <x:v>L02</x:v>
      </x:c>
      <x:c r="E85" s="2" t="str">
        <x:v>Stair opening deduction</x:v>
      </x:c>
      <x:c r="F85" s="21" t="n">
        <x:v>1</x:v>
      </x:c>
      <x:c r="G85" s="21" t="n">
        <x:f>'Controls'!$B$20</x:f>
        <x:v>4</x:v>
      </x:c>
      <x:c r="H85" s="21" t="n">
        <x:f>'Controls'!$B$21</x:f>
        <x:v>6</x:v>
      </x:c>
      <x:c r="I85" s="21" t="n">
        <x:v>1</x:v>
      </x:c>
      <x:c r="J85" s="21" t="n">
        <x:v>-1</x:v>
      </x:c>
      <x:c r="K85" s="21" t="n">
        <x:f>F85*G85*H85*I85*J85</x:f>
        <x:v>-24</x:v>
      </x:c>
      <x:c r="L85" s="2" t="str">
        <x:v>OP-01</x:v>
      </x:c>
      <x:c r="M85" s="2"/>
      <x:c r="N85" s="2"/>
      <x:c r="O85" s="2"/>
      <x:c r="P85" s="2"/>
      <x:c r="Q85" s="2"/>
    </x:row>
    <x:row r="86" ht="22" customHeight="1">
      <x:c r="A86" s="7" t="str">
        <x:v>M0079</x:v>
      </x:c>
      <x:c r="B86" s="7" t="str">
        <x:v>FW01</x:v>
      </x:c>
      <x:c r="C86" s="7" t="str">
        <x:v>T1</x:v>
      </x:c>
      <x:c r="D86" s="7" t="str">
        <x:v>L02</x:v>
      </x:c>
      <x:c r="E86" s="7" t="str">
        <x:v>Beam soffit deduction</x:v>
      </x:c>
      <x:c r="F86" s="20" t="n">
        <x:v>1</x:v>
      </x:c>
      <x:c r="G86" s="20" t="n">
        <x:f>5*5*('Controls'!$B$10/5-'Controls'!$B$14)+6*4*('Controls'!$B$11/4-'Controls'!$B$15)</x:f>
        <x:v>269.5</x:v>
      </x:c>
      <x:c r="H86" s="20" t="n">
        <x:f>'Controls'!$B$16</x:f>
        <x:v>0.3</x:v>
      </x:c>
      <x:c r="I86" s="20" t="n">
        <x:v>1</x:v>
      </x:c>
      <x:c r="J86" s="20" t="n">
        <x:v>-1</x:v>
      </x:c>
      <x:c r="K86" s="20" t="n">
        <x:f>F86*G86*H86*I86*J86</x:f>
        <x:v>-80.85</x:v>
      </x:c>
      <x:c r="L86" s="7" t="str">
        <x:v>Beam forms measured in FW02</x:v>
      </x:c>
      <x:c r="M86" s="2"/>
      <x:c r="N86" s="2"/>
      <x:c r="O86" s="2"/>
      <x:c r="P86" s="2"/>
      <x:c r="Q86" s="2"/>
    </x:row>
    <x:row r="87" ht="22" customHeight="1">
      <x:c r="A87" s="2" t="str">
        <x:v>M0080</x:v>
      </x:c>
      <x:c r="B87" s="2" t="str">
        <x:v>FW03</x:v>
      </x:c>
      <x:c r="C87" s="2" t="str">
        <x:v>T1</x:v>
      </x:c>
      <x:c r="D87" s="2" t="str">
        <x:v>L02</x:v>
      </x:c>
      <x:c r="E87" s="2" t="str">
        <x:v>Column four faces</x:v>
      </x:c>
      <x:c r="F87" s="21" t="n">
        <x:v>30</x:v>
      </x:c>
      <x:c r="G87" s="21" t="n">
        <x:f>2*('Controls'!$B$14+'Controls'!$B$15)</x:f>
        <x:v>2</x:v>
      </x:c>
      <x:c r="H87" s="21" t="n">
        <x:f>'Controls'!$B$12-'Controls'!$B$13</x:f>
        <x:v>2.98</x:v>
      </x:c>
      <x:c r="I87" s="21" t="n">
        <x:v>1</x:v>
      </x:c>
      <x:c r="J87" s="21" t="n">
        <x:v>1</x:v>
      </x:c>
      <x:c r="K87" s="21" t="n">
        <x:f>F87*G87*H87*I87*J87</x:f>
        <x:v>178.8</x:v>
      </x:c>
      <x:c r="L87" s="2" t="str">
        <x:v>Clear floor-to-soffit</x:v>
      </x:c>
      <x:c r="M87" s="2"/>
      <x:c r="N87" s="2"/>
      <x:c r="O87" s="2"/>
      <x:c r="P87" s="2"/>
      <x:c r="Q87" s="2"/>
    </x:row>
    <x:row r="88" ht="22" customHeight="1">
      <x:c r="A88" s="7" t="str">
        <x:v>M0081</x:v>
      </x:c>
      <x:c r="B88" s="7" t="str">
        <x:v>FW04</x:v>
      </x:c>
      <x:c r="C88" s="7" t="str">
        <x:v>T1</x:v>
      </x:c>
      <x:c r="D88" s="7" t="str">
        <x:v>L02</x:v>
      </x:c>
      <x:c r="E88" s="7" t="str">
        <x:v>Core wall two faces</x:v>
      </x:c>
      <x:c r="F88" s="20" t="n">
        <x:v>2</x:v>
      </x:c>
      <x:c r="G88" s="20" t="n">
        <x:f>'Controls'!$B$19</x:f>
        <x:v>24</x:v>
      </x:c>
      <x:c r="H88" s="20" t="n">
        <x:f>'Controls'!$B$12-'Controls'!$B$13</x:f>
        <x:v>2.98</x:v>
      </x:c>
      <x:c r="I88" s="20" t="n">
        <x:v>1</x:v>
      </x:c>
      <x:c r="J88" s="20" t="n">
        <x:v>1</x:v>
      </x:c>
      <x:c r="K88" s="20" t="n">
        <x:f>F88*G88*H88*I88*J88</x:f>
        <x:v>143.04</x:v>
      </x:c>
      <x:c r="L88" s="7" t="str">
        <x:v>Net perimeter, no repeated corners</x:v>
      </x:c>
      <x:c r="M88" s="2"/>
      <x:c r="N88" s="2"/>
      <x:c r="O88" s="2"/>
      <x:c r="P88" s="2"/>
      <x:c r="Q88" s="2"/>
    </x:row>
    <x:row r="89" ht="22" customHeight="1">
      <x:c r="A89" s="2" t="str">
        <x:v>M0082</x:v>
      </x:c>
      <x:c r="B89" s="2" t="str">
        <x:v>AR01</x:v>
      </x:c>
      <x:c r="C89" s="2" t="str">
        <x:v>T1</x:v>
      </x:c>
      <x:c r="D89" s="2" t="str">
        <x:v>L02</x:v>
      </x:c>
      <x:c r="E89" s="2" t="str">
        <x:v>Partition walls gross</x:v>
      </x:c>
      <x:c r="F89" s="21" t="n">
        <x:v>1</x:v>
      </x:c>
      <x:c r="G89" s="21" t="n">
        <x:f>'Controls'!$B$45</x:f>
        <x:v>220</x:v>
      </x:c>
      <x:c r="H89" s="21" t="n">
        <x:f>'Controls'!$B$12-'Controls'!$B$13</x:f>
        <x:v>2.98</x:v>
      </x:c>
      <x:c r="I89" s="21" t="n">
        <x:f>'Controls'!$B$46</x:f>
        <x:v>0.15</x:v>
      </x:c>
      <x:c r="J89" s="21" t="n">
        <x:v>1</x:v>
      </x:c>
      <x:c r="K89" s="21" t="n">
        <x:f>F89*G89*H89*I89*J89</x:f>
        <x:v>98.34</x:v>
      </x:c>
      <x:c r="L89" s="2" t="str">
        <x:v>Net openings deducted below</x:v>
      </x:c>
      <x:c r="M89" s="2"/>
      <x:c r="N89" s="2"/>
      <x:c r="O89" s="2"/>
      <x:c r="P89" s="2"/>
      <x:c r="Q89" s="2"/>
    </x:row>
    <x:row r="90" ht="22" customHeight="1">
      <x:c r="A90" s="7" t="str">
        <x:v>M0083</x:v>
      </x:c>
      <x:c r="B90" s="7" t="str">
        <x:v>AR01</x:v>
      </x:c>
      <x:c r="C90" s="7" t="str">
        <x:v>T1</x:v>
      </x:c>
      <x:c r="D90" s="7" t="str">
        <x:v>L02</x:v>
      </x:c>
      <x:c r="E90" s="7" t="str">
        <x:v>Internal doors deduction</x:v>
      </x:c>
      <x:c r="F90" s="20" t="n">
        <x:f>'Controls'!$B$48</x:f>
        <x:v>28</x:v>
      </x:c>
      <x:c r="G90" s="20" t="n">
        <x:f>'Controls'!$B$49</x:f>
        <x:v>0.9</x:v>
      </x:c>
      <x:c r="H90" s="20" t="n">
        <x:f>'Controls'!$B$50</x:f>
        <x:v>2.1</x:v>
      </x:c>
      <x:c r="I90" s="20" t="n">
        <x:f>'Controls'!$B$46</x:f>
        <x:v>0.15</x:v>
      </x:c>
      <x:c r="J90" s="20" t="n">
        <x:v>-1</x:v>
      </x:c>
      <x:c r="K90" s="20" t="n">
        <x:f>F90*G90*H90*I90*J90</x:f>
        <x:v>-7.938</x:v>
      </x:c>
      <x:c r="L90" s="7" t="str">
        <x:v>28 doors per floor, OP-02</x:v>
      </x:c>
      <x:c r="M90" s="2"/>
      <x:c r="N90" s="2"/>
      <x:c r="O90" s="2"/>
      <x:c r="P90" s="2"/>
      <x:c r="Q90" s="2"/>
    </x:row>
    <x:row r="91" ht="22" customHeight="1">
      <x:c r="A91" s="2" t="str">
        <x:v>M0084</x:v>
      </x:c>
      <x:c r="B91" s="2" t="str">
        <x:v>AR02</x:v>
      </x:c>
      <x:c r="C91" s="2" t="str">
        <x:v>T1</x:v>
      </x:c>
      <x:c r="D91" s="2" t="str">
        <x:v>L02</x:v>
      </x:c>
      <x:c r="E91" s="2" t="str">
        <x:v>Internal plaster gross</x:v>
      </x:c>
      <x:c r="F91" s="21" t="n">
        <x:v>2</x:v>
      </x:c>
      <x:c r="G91" s="21" t="n">
        <x:f>'Controls'!$B$45</x:f>
        <x:v>220</x:v>
      </x:c>
      <x:c r="H91" s="21" t="n">
        <x:f>'Controls'!$B$12-'Controls'!$B$13</x:f>
        <x:v>2.98</x:v>
      </x:c>
      <x:c r="I91" s="21" t="n">
        <x:v>1</x:v>
      </x:c>
      <x:c r="J91" s="21" t="n">
        <x:v>1</x:v>
      </x:c>
      <x:c r="K91" s="21" t="n">
        <x:f>F91*G91*H91*I91*J91</x:f>
        <x:v>1311.2</x:v>
      </x:c>
      <x:c r="L91" s="2" t="str">
        <x:v>Both faces of partition walls</x:v>
      </x:c>
      <x:c r="M91" s="2"/>
      <x:c r="N91" s="2"/>
      <x:c r="O91" s="2"/>
      <x:c r="P91" s="2"/>
      <x:c r="Q91" s="2"/>
    </x:row>
    <x:row r="92" ht="22" customHeight="1">
      <x:c r="A92" s="7" t="str">
        <x:v>M0085</x:v>
      </x:c>
      <x:c r="B92" s="7" t="str">
        <x:v>AR02</x:v>
      </x:c>
      <x:c r="C92" s="7" t="str">
        <x:v>T1</x:v>
      </x:c>
      <x:c r="D92" s="7" t="str">
        <x:v>L02</x:v>
      </x:c>
      <x:c r="E92" s="7" t="str">
        <x:v>Door area deduction both faces</x:v>
      </x:c>
      <x:c r="F92" s="20" t="n">
        <x:f>2*'Controls'!$B$48</x:f>
        <x:v>56</x:v>
      </x:c>
      <x:c r="G92" s="20" t="n">
        <x:f>'Controls'!$B$49</x:f>
        <x:v>0.9</x:v>
      </x:c>
      <x:c r="H92" s="20" t="n">
        <x:f>'Controls'!$B$50</x:f>
        <x:v>2.1</x:v>
      </x:c>
      <x:c r="I92" s="20" t="n">
        <x:v>1</x:v>
      </x:c>
      <x:c r="J92" s="20" t="n">
        <x:v>-1</x:v>
      </x:c>
      <x:c r="K92" s="20" t="n">
        <x:f>F92*G92*H92*I92*J92</x:f>
        <x:v>-105.84</x:v>
      </x:c>
      <x:c r="L92" s="7" t="str">
        <x:v>No plaster over openings</x:v>
      </x:c>
      <x:c r="M92" s="2"/>
      <x:c r="N92" s="2"/>
      <x:c r="O92" s="2"/>
      <x:c r="P92" s="2"/>
      <x:c r="Q92" s="2"/>
    </x:row>
    <x:row r="93" ht="22" customHeight="1">
      <x:c r="A93" s="2" t="str">
        <x:v>M0086</x:v>
      </x:c>
      <x:c r="B93" s="2" t="str">
        <x:v>AR03</x:v>
      </x:c>
      <x:c r="C93" s="2" t="str">
        <x:v>T1</x:v>
      </x:c>
      <x:c r="D93" s="2" t="str">
        <x:v>L02</x:v>
      </x:c>
      <x:c r="E93" s="2" t="str">
        <x:v>Floor screed net</x:v>
      </x:c>
      <x:c r="F93" s="21" t="n">
        <x:v>1</x:v>
      </x:c>
      <x:c r="G93" s="21" t="n">
        <x:f>'Controls'!$B$10*'Controls'!$B$11-'Controls'!$B$20*'Controls'!$B$21</x:f>
        <x:v>696</x:v>
      </x:c>
      <x:c r="H93" s="21" t="n">
        <x:v>1</x:v>
      </x:c>
      <x:c r="I93" s="21" t="n">
        <x:v>1</x:v>
      </x:c>
      <x:c r="J93" s="21" t="n">
        <x:v>1</x:v>
      </x:c>
      <x:c r="K93" s="21" t="n">
        <x:f>F93*G93*H93*I93*J93</x:f>
        <x:v>696</x:v>
      </x:c>
      <x:c r="L93" s="2" t="str">
        <x:v>Net structural floor area</x:v>
      </x:c>
      <x:c r="M93" s="2"/>
      <x:c r="N93" s="2"/>
      <x:c r="O93" s="2"/>
      <x:c r="P93" s="2"/>
      <x:c r="Q93" s="2"/>
    </x:row>
    <x:row r="94" ht="22" customHeight="1">
      <x:c r="A94" s="7" t="str">
        <x:v>M0087</x:v>
      </x:c>
      <x:c r="B94" s="7" t="str">
        <x:v>AR04</x:v>
      </x:c>
      <x:c r="C94" s="7" t="str">
        <x:v>T1</x:v>
      </x:c>
      <x:c r="D94" s="7" t="str">
        <x:v>L02</x:v>
      </x:c>
      <x:c r="E94" s="7" t="str">
        <x:v>Floor finish net</x:v>
      </x:c>
      <x:c r="F94" s="20" t="n">
        <x:v>1</x:v>
      </x:c>
      <x:c r="G94" s="20" t="n">
        <x:f>'Controls'!$B$10*'Controls'!$B$11-'Controls'!$B$20*'Controls'!$B$21</x:f>
        <x:v>696</x:v>
      </x:c>
      <x:c r="H94" s="20" t="n">
        <x:v>1</x:v>
      </x:c>
      <x:c r="I94" s="20" t="n">
        <x:v>1</x:v>
      </x:c>
      <x:c r="J94" s="20" t="n">
        <x:v>1</x:v>
      </x:c>
      <x:c r="K94" s="20" t="n">
        <x:f>F94*G94*H94*I94*J94</x:f>
        <x:v>696</x:v>
      </x:c>
      <x:c r="L94" s="7" t="str">
        <x:v>Waste excluded from BOQ</x:v>
      </x:c>
      <x:c r="M94" s="2"/>
      <x:c r="N94" s="2"/>
      <x:c r="O94" s="2"/>
      <x:c r="P94" s="2"/>
      <x:c r="Q94" s="2"/>
    </x:row>
    <x:row r="95" ht="22" customHeight="1">
      <x:c r="A95" s="2" t="str">
        <x:v>M0088</x:v>
      </x:c>
      <x:c r="B95" s="2" t="str">
        <x:v>AR05</x:v>
      </x:c>
      <x:c r="C95" s="2" t="str">
        <x:v>T1</x:v>
      </x:c>
      <x:c r="D95" s="2" t="str">
        <x:v>L02</x:v>
      </x:c>
      <x:c r="E95" s="2" t="str">
        <x:v>Internal wall paint net</x:v>
      </x:c>
      <x:c r="F95" s="21" t="n">
        <x:v>2</x:v>
      </x:c>
      <x:c r="G95" s="21" t="n">
        <x:f>'Controls'!$B$45*('Controls'!$B$12-'Controls'!$B$13)-'Controls'!$B$48*'Controls'!$B$49*'Controls'!$B$50</x:f>
        <x:v>602.6800000000001</x:v>
      </x:c>
      <x:c r="H95" s="21" t="n">
        <x:v>1</x:v>
      </x:c>
      <x:c r="I95" s="21" t="n">
        <x:v>1</x:v>
      </x:c>
      <x:c r="J95" s="21" t="n">
        <x:v>1</x:v>
      </x:c>
      <x:c r="K95" s="21" t="n">
        <x:f>F95*G95*H95*I95*J95</x:f>
        <x:v>1205.3600000000001</x:v>
      </x:c>
      <x:c r="L95" s="2" t="str">
        <x:v>Finished area; two coats priced in rate</x:v>
      </x:c>
      <x:c r="M95" s="2"/>
      <x:c r="N95" s="2"/>
      <x:c r="O95" s="2"/>
      <x:c r="P95" s="2"/>
      <x:c r="Q95" s="2"/>
    </x:row>
    <x:row r="96" ht="22" customHeight="1">
      <x:c r="A96" s="7" t="str">
        <x:v>M0089</x:v>
      </x:c>
      <x:c r="B96" s="7" t="str">
        <x:v>AR06</x:v>
      </x:c>
      <x:c r="C96" s="7" t="str">
        <x:v>T1</x:v>
      </x:c>
      <x:c r="D96" s="7" t="str">
        <x:v>L02</x:v>
      </x:c>
      <x:c r="E96" s="7" t="str">
        <x:v>Door sets</x:v>
      </x:c>
      <x:c r="F96" s="20" t="n">
        <x:f>'Controls'!$B$48</x:f>
        <x:v>28</x:v>
      </x:c>
      <x:c r="G96" s="20" t="n">
        <x:v>1</x:v>
      </x:c>
      <x:c r="H96" s="20" t="n">
        <x:v>1</x:v>
      </x:c>
      <x:c r="I96" s="20" t="n">
        <x:v>1</x:v>
      </x:c>
      <x:c r="J96" s="20" t="n">
        <x:v>1</x:v>
      </x:c>
      <x:c r="K96" s="20" t="n">
        <x:f>F96*G96*H96*I96*J96</x:f>
        <x:v>28</x:v>
      </x:c>
      <x:c r="L96" s="7" t="str">
        <x:v>Door count, not double face</x:v>
      </x:c>
      <x:c r="M96" s="2"/>
      <x:c r="N96" s="2"/>
      <x:c r="O96" s="2"/>
      <x:c r="P96" s="2"/>
      <x:c r="Q96" s="2"/>
    </x:row>
    <x:row r="97" ht="22" customHeight="1">
      <x:c r="A97" s="2" t="str">
        <x:v>M0090</x:v>
      </x:c>
      <x:c r="B97" s="2" t="str">
        <x:v>RC03</x:v>
      </x:c>
      <x:c r="C97" s="2" t="str">
        <x:v>T1</x:v>
      </x:c>
      <x:c r="D97" s="2" t="str">
        <x:v>L03</x:v>
      </x:c>
      <x:c r="E97" s="2" t="str">
        <x:v>Floor slab gross</x:v>
      </x:c>
      <x:c r="F97" s="21" t="n">
        <x:v>1</x:v>
      </x:c>
      <x:c r="G97" s="21" t="n">
        <x:f>'Controls'!$B$10</x:f>
        <x:v>30</x:v>
      </x:c>
      <x:c r="H97" s="21" t="n">
        <x:f>'Controls'!$B$11</x:f>
        <x:v>24</x:v>
      </x:c>
      <x:c r="I97" s="21" t="n">
        <x:f>'Controls'!$B$13</x:f>
        <x:v>0.22</x:v>
      </x:c>
      <x:c r="J97" s="21" t="n">
        <x:v>1</x:v>
      </x:c>
      <x:c r="K97" s="21" t="n">
        <x:f>F97*G97*H97*I97*J97</x:f>
        <x:v>158.4</x:v>
      </x:c>
      <x:c r="L97" s="2" t="str">
        <x:v>Slab includes beam top flange; downstand separate</x:v>
      </x:c>
      <x:c r="M97" s="2"/>
      <x:c r="N97" s="2"/>
      <x:c r="O97" s="2"/>
      <x:c r="P97" s="2"/>
      <x:c r="Q97" s="2"/>
    </x:row>
    <x:row r="98" ht="22" customHeight="1">
      <x:c r="A98" s="7" t="str">
        <x:v>M0091</x:v>
      </x:c>
      <x:c r="B98" s="7" t="str">
        <x:v>RC03</x:v>
      </x:c>
      <x:c r="C98" s="7" t="str">
        <x:v>T1</x:v>
      </x:c>
      <x:c r="D98" s="7" t="str">
        <x:v>L03</x:v>
      </x:c>
      <x:c r="E98" s="7" t="str">
        <x:v>Stair opening deduction</x:v>
      </x:c>
      <x:c r="F98" s="20" t="n">
        <x:v>1</x:v>
      </x:c>
      <x:c r="G98" s="20" t="n">
        <x:f>'Controls'!$B$20</x:f>
        <x:v>4</x:v>
      </x:c>
      <x:c r="H98" s="20" t="n">
        <x:f>'Controls'!$B$21</x:f>
        <x:v>6</x:v>
      </x:c>
      <x:c r="I98" s="20" t="n">
        <x:f>'Controls'!$B$13</x:f>
        <x:v>0.22</x:v>
      </x:c>
      <x:c r="J98" s="20" t="n">
        <x:v>-1</x:v>
      </x:c>
      <x:c r="K98" s="20" t="n">
        <x:f>F98*G98*H98*I98*J98</x:f>
        <x:v>-5.28</x:v>
      </x:c>
      <x:c r="L98" s="7" t="str">
        <x:v>Opening OP-01</x:v>
      </x:c>
      <x:c r="M98" s="2"/>
      <x:c r="N98" s="2"/>
      <x:c r="O98" s="2"/>
      <x:c r="P98" s="2"/>
      <x:c r="Q98" s="2"/>
    </x:row>
    <x:row r="99" ht="22" customHeight="1">
      <x:c r="A99" s="2" t="str">
        <x:v>M0092</x:v>
      </x:c>
      <x:c r="B99" s="2" t="str">
        <x:v>RC04</x:v>
      </x:c>
      <x:c r="C99" s="2" t="str">
        <x:v>T1</x:v>
      </x:c>
      <x:c r="D99" s="2" t="str">
        <x:v>L03</x:v>
      </x:c>
      <x:c r="E99" s="2" t="str">
        <x:v>Beam downstands X</x:v>
      </x:c>
      <x:c r="F99" s="21" t="n">
        <x:v>1</x:v>
      </x:c>
      <x:c r="G99" s="21" t="n">
        <x:f>5*5*('Controls'!$B$10/5-'Controls'!$B$14)</x:f>
        <x:v>137.5</x:v>
      </x:c>
      <x:c r="H99" s="21" t="n">
        <x:f>'Controls'!$B$16</x:f>
        <x:v>0.3</x:v>
      </x:c>
      <x:c r="I99" s="21" t="n">
        <x:f>'Controls'!$B$17-'Controls'!$B$13</x:f>
        <x:v>0.38</x:v>
      </x:c>
      <x:c r="J99" s="21" t="n">
        <x:v>1</x:v>
      </x:c>
      <x:c r="K99" s="21" t="n">
        <x:f>F99*G99*H99*I99*J99</x:f>
        <x:v>15.675</x:v>
      </x:c>
      <x:c r="L99" s="2" t="str">
        <x:v>Clear spans between column faces; no joint overlap</x:v>
      </x:c>
      <x:c r="M99" s="2"/>
      <x:c r="N99" s="2"/>
      <x:c r="O99" s="2"/>
      <x:c r="P99" s="2"/>
      <x:c r="Q99" s="2"/>
    </x:row>
    <x:row r="100" ht="22" customHeight="1">
      <x:c r="A100" s="7" t="str">
        <x:v>M0093</x:v>
      </x:c>
      <x:c r="B100" s="7" t="str">
        <x:v>FW02</x:v>
      </x:c>
      <x:c r="C100" s="7" t="str">
        <x:v>T1</x:v>
      </x:c>
      <x:c r="D100" s="7" t="str">
        <x:v>L03</x:v>
      </x:c>
      <x:c r="E100" s="7" t="str">
        <x:v>Beam forms X</x:v>
      </x:c>
      <x:c r="F100" s="20" t="n">
        <x:v>1</x:v>
      </x:c>
      <x:c r="G100" s="20" t="n">
        <x:f>5*5*('Controls'!$B$10/5-'Controls'!$B$14)</x:f>
        <x:v>137.5</x:v>
      </x:c>
      <x:c r="H100" s="20" t="n">
        <x:f>'Controls'!$B$16+2*('Controls'!$B$17-'Controls'!$B$13)</x:f>
        <x:v>1.06</x:v>
      </x:c>
      <x:c r="I100" s="20" t="n">
        <x:v>1</x:v>
      </x:c>
      <x:c r="J100" s="20" t="n">
        <x:v>1</x:v>
      </x:c>
      <x:c r="K100" s="20" t="n">
        <x:f>F100*G100*H100*I100*J100</x:f>
        <x:v>145.75</x:v>
      </x:c>
      <x:c r="L100" s="7" t="str">
        <x:v>Soffit plus two downstand sides</x:v>
      </x:c>
      <x:c r="M100" s="2"/>
      <x:c r="N100" s="2"/>
      <x:c r="O100" s="2"/>
      <x:c r="P100" s="2"/>
      <x:c r="Q100" s="2"/>
    </x:row>
    <x:row r="101" ht="22" customHeight="1">
      <x:c r="A101" s="2" t="str">
        <x:v>M0094</x:v>
      </x:c>
      <x:c r="B101" s="2" t="str">
        <x:v>RC04</x:v>
      </x:c>
      <x:c r="C101" s="2" t="str">
        <x:v>T1</x:v>
      </x:c>
      <x:c r="D101" s="2" t="str">
        <x:v>L03</x:v>
      </x:c>
      <x:c r="E101" s="2" t="str">
        <x:v>Beam downstands Y</x:v>
      </x:c>
      <x:c r="F101" s="21" t="n">
        <x:v>1</x:v>
      </x:c>
      <x:c r="G101" s="21" t="n">
        <x:f>6*4*('Controls'!$B$11/4-'Controls'!$B$15)</x:f>
        <x:v>132</x:v>
      </x:c>
      <x:c r="H101" s="21" t="n">
        <x:f>'Controls'!$B$16</x:f>
        <x:v>0.3</x:v>
      </x:c>
      <x:c r="I101" s="21" t="n">
        <x:f>'Controls'!$B$17-'Controls'!$B$13</x:f>
        <x:v>0.38</x:v>
      </x:c>
      <x:c r="J101" s="21" t="n">
        <x:v>1</x:v>
      </x:c>
      <x:c r="K101" s="21" t="n">
        <x:f>F101*G101*H101*I101*J101</x:f>
        <x:v>15.048</x:v>
      </x:c>
      <x:c r="L101" s="2" t="str">
        <x:v>Clear spans between column faces; no joint overlap</x:v>
      </x:c>
      <x:c r="M101" s="2"/>
      <x:c r="N101" s="2"/>
      <x:c r="O101" s="2"/>
      <x:c r="P101" s="2"/>
      <x:c r="Q101" s="2"/>
    </x:row>
    <x:row r="102" ht="22" customHeight="1">
      <x:c r="A102" s="7" t="str">
        <x:v>M0095</x:v>
      </x:c>
      <x:c r="B102" s="7" t="str">
        <x:v>FW02</x:v>
      </x:c>
      <x:c r="C102" s="7" t="str">
        <x:v>T1</x:v>
      </x:c>
      <x:c r="D102" s="7" t="str">
        <x:v>L03</x:v>
      </x:c>
      <x:c r="E102" s="7" t="str">
        <x:v>Beam forms Y</x:v>
      </x:c>
      <x:c r="F102" s="20" t="n">
        <x:v>1</x:v>
      </x:c>
      <x:c r="G102" s="20" t="n">
        <x:f>6*4*('Controls'!$B$11/4-'Controls'!$B$15)</x:f>
        <x:v>132</x:v>
      </x:c>
      <x:c r="H102" s="20" t="n">
        <x:f>'Controls'!$B$16+2*('Controls'!$B$17-'Controls'!$B$13)</x:f>
        <x:v>1.06</x:v>
      </x:c>
      <x:c r="I102" s="20" t="n">
        <x:v>1</x:v>
      </x:c>
      <x:c r="J102" s="20" t="n">
        <x:v>1</x:v>
      </x:c>
      <x:c r="K102" s="20" t="n">
        <x:f>F102*G102*H102*I102*J102</x:f>
        <x:v>139.92000000000002</x:v>
      </x:c>
      <x:c r="L102" s="7" t="str">
        <x:v>Soffit plus two downstand sides</x:v>
      </x:c>
      <x:c r="M102" s="2"/>
      <x:c r="N102" s="2"/>
      <x:c r="O102" s="2"/>
      <x:c r="P102" s="2"/>
      <x:c r="Q102" s="2"/>
    </x:row>
    <x:row r="103" ht="22" customHeight="1">
      <x:c r="A103" s="2" t="str">
        <x:v>M0096</x:v>
      </x:c>
      <x:c r="B103" s="2" t="str">
        <x:v>RC05</x:v>
      </x:c>
      <x:c r="C103" s="2" t="str">
        <x:v>T1</x:v>
      </x:c>
      <x:c r="D103" s="2" t="str">
        <x:v>L03</x:v>
      </x:c>
      <x:c r="E103" s="2" t="str">
        <x:v>Thirty columns, clear storey</x:v>
      </x:c>
      <x:c r="F103" s="21" t="n">
        <x:v>30</x:v>
      </x:c>
      <x:c r="G103" s="21" t="n">
        <x:f>'Controls'!$B$14</x:f>
        <x:v>0.5</x:v>
      </x:c>
      <x:c r="H103" s="21" t="n">
        <x:f>'Controls'!$B$15</x:f>
        <x:v>0.5</x:v>
      </x:c>
      <x:c r="I103" s="21" t="n">
        <x:f>'Controls'!$B$12-'Controls'!$B$13</x:f>
        <x:v>2.98</x:v>
      </x:c>
      <x:c r="J103" s="21" t="n">
        <x:v>1</x:v>
      </x:c>
      <x:c r="K103" s="21" t="n">
        <x:f>F103*G103*H103*I103*J103</x:f>
        <x:v>22.35</x:v>
      </x:c>
      <x:c r="L103" s="2" t="str">
        <x:v>Slab volume excluded from columns</x:v>
      </x:c>
      <x:c r="M103" s="2"/>
      <x:c r="N103" s="2"/>
      <x:c r="O103" s="2"/>
      <x:c r="P103" s="2"/>
      <x:c r="Q103" s="2"/>
    </x:row>
    <x:row r="104" ht="22" customHeight="1">
      <x:c r="A104" s="7" t="str">
        <x:v>M0097</x:v>
      </x:c>
      <x:c r="B104" s="7" t="str">
        <x:v>RC06</x:v>
      </x:c>
      <x:c r="C104" s="7" t="str">
        <x:v>T1</x:v>
      </x:c>
      <x:c r="D104" s="7" t="str">
        <x:v>L03</x:v>
      </x:c>
      <x:c r="E104" s="7" t="str">
        <x:v>Core walls clear storey</x:v>
      </x:c>
      <x:c r="F104" s="20" t="n">
        <x:v>1</x:v>
      </x:c>
      <x:c r="G104" s="20" t="n">
        <x:f>'Controls'!$B$19</x:f>
        <x:v>24</x:v>
      </x:c>
      <x:c r="H104" s="20" t="n">
        <x:f>'Controls'!$B$18</x:f>
        <x:v>0.25</x:v>
      </x:c>
      <x:c r="I104" s="20" t="n">
        <x:f>'Controls'!$B$12-'Controls'!$B$13</x:f>
        <x:v>2.98</x:v>
      </x:c>
      <x:c r="J104" s="20" t="n">
        <x:v>1</x:v>
      </x:c>
      <x:c r="K104" s="20" t="n">
        <x:f>F104*G104*H104*I104*J104</x:f>
        <x:v>17.88</x:v>
      </x:c>
      <x:c r="L104" s="7" t="str">
        <x:v>Net clear wall length excludes corners</x:v>
      </x:c>
      <x:c r="M104" s="2"/>
      <x:c r="N104" s="2"/>
      <x:c r="O104" s="2"/>
      <x:c r="P104" s="2"/>
      <x:c r="Q104" s="2"/>
    </x:row>
    <x:row r="105" ht="22" customHeight="1">
      <x:c r="A105" s="2" t="str">
        <x:v>M0098</x:v>
      </x:c>
      <x:c r="B105" s="2" t="str">
        <x:v>RC07</x:v>
      </x:c>
      <x:c r="C105" s="2" t="str">
        <x:v>T1</x:v>
      </x:c>
      <x:c r="D105" s="2" t="str">
        <x:v>L03</x:v>
      </x:c>
      <x:c r="E105" s="2" t="str">
        <x:v>Stair flights waist</x:v>
      </x:c>
      <x:c r="F105" s="21" t="n">
        <x:v>2</x:v>
      </x:c>
      <x:c r="G105" s="21" t="n">
        <x:v>4.1</x:v>
      </x:c>
      <x:c r="H105" s="21" t="n">
        <x:v>1.2</x:v>
      </x:c>
      <x:c r="I105" s="21" t="n">
        <x:v>0.18</x:v>
      </x:c>
      <x:c r="J105" s="21" t="n">
        <x:v>1</x:v>
      </x:c>
      <x:c r="K105" s="21" t="n">
        <x:f>F105*G105*H105*I105*J105</x:f>
        <x:v>1.7711999999999997</x:v>
      </x:c>
      <x:c r="L105" s="2" t="str">
        <x:v>Two flights; geometry separate from floor slab</x:v>
      </x:c>
      <x:c r="M105" s="2"/>
      <x:c r="N105" s="2"/>
      <x:c r="O105" s="2"/>
      <x:c r="P105" s="2"/>
      <x:c r="Q105" s="2"/>
    </x:row>
    <x:row r="106" ht="22" customHeight="1">
      <x:c r="A106" s="7" t="str">
        <x:v>M0099</x:v>
      </x:c>
      <x:c r="B106" s="7" t="str">
        <x:v>RC07</x:v>
      </x:c>
      <x:c r="C106" s="7" t="str">
        <x:v>T1</x:v>
      </x:c>
      <x:c r="D106" s="7" t="str">
        <x:v>L03</x:v>
      </x:c>
      <x:c r="E106" s="7" t="str">
        <x:v>Stair landings</x:v>
      </x:c>
      <x:c r="F106" s="20" t="n">
        <x:v>2</x:v>
      </x:c>
      <x:c r="G106" s="20" t="n">
        <x:v>2</x:v>
      </x:c>
      <x:c r="H106" s="20" t="n">
        <x:v>1.2</x:v>
      </x:c>
      <x:c r="I106" s="20" t="n">
        <x:v>0.18</x:v>
      </x:c>
      <x:c r="J106" s="20" t="n">
        <x:v>1</x:v>
      </x:c>
      <x:c r="K106" s="20" t="n">
        <x:f>F106*G106*H106*I106*J106</x:f>
        <x:v>0.864</x:v>
      </x:c>
      <x:c r="L106" s="7" t="str">
        <x:v>Within stair opening</x:v>
      </x:c>
      <x:c r="M106" s="2"/>
      <x:c r="N106" s="2"/>
      <x:c r="O106" s="2"/>
      <x:c r="P106" s="2"/>
      <x:c r="Q106" s="2"/>
    </x:row>
    <x:row r="107" ht="22" customHeight="1">
      <x:c r="A107" s="2" t="str">
        <x:v>M0100</x:v>
      </x:c>
      <x:c r="B107" s="2" t="str">
        <x:v>FW01</x:v>
      </x:c>
      <x:c r="C107" s="2" t="str">
        <x:v>T1</x:v>
      </x:c>
      <x:c r="D107" s="2" t="str">
        <x:v>L03</x:v>
      </x:c>
      <x:c r="E107" s="2" t="str">
        <x:v>Slab soffit gross</x:v>
      </x:c>
      <x:c r="F107" s="21" t="n">
        <x:v>1</x:v>
      </x:c>
      <x:c r="G107" s="21" t="n">
        <x:f>'Controls'!$B$10</x:f>
        <x:v>30</x:v>
      </x:c>
      <x:c r="H107" s="21" t="n">
        <x:f>'Controls'!$B$11</x:f>
        <x:v>24</x:v>
      </x:c>
      <x:c r="I107" s="21" t="n">
        <x:v>1</x:v>
      </x:c>
      <x:c r="J107" s="21" t="n">
        <x:v>1</x:v>
      </x:c>
      <x:c r="K107" s="21" t="n">
        <x:f>F107*G107*H107*I107*J107</x:f>
        <x:v>720</x:v>
      </x:c>
      <x:c r="L107" s="2" t="str">
        <x:v>Beam soffit deducted below</x:v>
      </x:c>
      <x:c r="M107" s="2"/>
      <x:c r="N107" s="2"/>
      <x:c r="O107" s="2"/>
      <x:c r="P107" s="2"/>
      <x:c r="Q107" s="2"/>
    </x:row>
    <x:row r="108" ht="22" customHeight="1">
      <x:c r="A108" s="7" t="str">
        <x:v>M0101</x:v>
      </x:c>
      <x:c r="B108" s="7" t="str">
        <x:v>FW01</x:v>
      </x:c>
      <x:c r="C108" s="7" t="str">
        <x:v>T1</x:v>
      </x:c>
      <x:c r="D108" s="7" t="str">
        <x:v>L03</x:v>
      </x:c>
      <x:c r="E108" s="7" t="str">
        <x:v>Stair opening deduction</x:v>
      </x:c>
      <x:c r="F108" s="20" t="n">
        <x:v>1</x:v>
      </x:c>
      <x:c r="G108" s="20" t="n">
        <x:f>'Controls'!$B$20</x:f>
        <x:v>4</x:v>
      </x:c>
      <x:c r="H108" s="20" t="n">
        <x:f>'Controls'!$B$21</x:f>
        <x:v>6</x:v>
      </x:c>
      <x:c r="I108" s="20" t="n">
        <x:v>1</x:v>
      </x:c>
      <x:c r="J108" s="20" t="n">
        <x:v>-1</x:v>
      </x:c>
      <x:c r="K108" s="20" t="n">
        <x:f>F108*G108*H108*I108*J108</x:f>
        <x:v>-24</x:v>
      </x:c>
      <x:c r="L108" s="7" t="str">
        <x:v>OP-01</x:v>
      </x:c>
      <x:c r="M108" s="2"/>
      <x:c r="N108" s="2"/>
      <x:c r="O108" s="2"/>
      <x:c r="P108" s="2"/>
      <x:c r="Q108" s="2"/>
    </x:row>
    <x:row r="109" ht="22" customHeight="1">
      <x:c r="A109" s="2" t="str">
        <x:v>M0102</x:v>
      </x:c>
      <x:c r="B109" s="2" t="str">
        <x:v>FW01</x:v>
      </x:c>
      <x:c r="C109" s="2" t="str">
        <x:v>T1</x:v>
      </x:c>
      <x:c r="D109" s="2" t="str">
        <x:v>L03</x:v>
      </x:c>
      <x:c r="E109" s="2" t="str">
        <x:v>Beam soffit deduction</x:v>
      </x:c>
      <x:c r="F109" s="21" t="n">
        <x:v>1</x:v>
      </x:c>
      <x:c r="G109" s="21" t="n">
        <x:f>5*5*('Controls'!$B$10/5-'Controls'!$B$14)+6*4*('Controls'!$B$11/4-'Controls'!$B$15)</x:f>
        <x:v>269.5</x:v>
      </x:c>
      <x:c r="H109" s="21" t="n">
        <x:f>'Controls'!$B$16</x:f>
        <x:v>0.3</x:v>
      </x:c>
      <x:c r="I109" s="21" t="n">
        <x:v>1</x:v>
      </x:c>
      <x:c r="J109" s="21" t="n">
        <x:v>-1</x:v>
      </x:c>
      <x:c r="K109" s="21" t="n">
        <x:f>F109*G109*H109*I109*J109</x:f>
        <x:v>-80.85</x:v>
      </x:c>
      <x:c r="L109" s="2" t="str">
        <x:v>Beam forms measured in FW02</x:v>
      </x:c>
      <x:c r="M109" s="2"/>
      <x:c r="N109" s="2"/>
      <x:c r="O109" s="2"/>
      <x:c r="P109" s="2"/>
      <x:c r="Q109" s="2"/>
    </x:row>
    <x:row r="110" ht="22" customHeight="1">
      <x:c r="A110" s="7" t="str">
        <x:v>M0103</x:v>
      </x:c>
      <x:c r="B110" s="7" t="str">
        <x:v>FW03</x:v>
      </x:c>
      <x:c r="C110" s="7" t="str">
        <x:v>T1</x:v>
      </x:c>
      <x:c r="D110" s="7" t="str">
        <x:v>L03</x:v>
      </x:c>
      <x:c r="E110" s="7" t="str">
        <x:v>Column four faces</x:v>
      </x:c>
      <x:c r="F110" s="20" t="n">
        <x:v>30</x:v>
      </x:c>
      <x:c r="G110" s="20" t="n">
        <x:f>2*('Controls'!$B$14+'Controls'!$B$15)</x:f>
        <x:v>2</x:v>
      </x:c>
      <x:c r="H110" s="20" t="n">
        <x:f>'Controls'!$B$12-'Controls'!$B$13</x:f>
        <x:v>2.98</x:v>
      </x:c>
      <x:c r="I110" s="20" t="n">
        <x:v>1</x:v>
      </x:c>
      <x:c r="J110" s="20" t="n">
        <x:v>1</x:v>
      </x:c>
      <x:c r="K110" s="20" t="n">
        <x:f>F110*G110*H110*I110*J110</x:f>
        <x:v>178.8</x:v>
      </x:c>
      <x:c r="L110" s="7" t="str">
        <x:v>Clear floor-to-soffit</x:v>
      </x:c>
      <x:c r="M110" s="2"/>
      <x:c r="N110" s="2"/>
      <x:c r="O110" s="2"/>
      <x:c r="P110" s="2"/>
      <x:c r="Q110" s="2"/>
    </x:row>
    <x:row r="111" ht="22" customHeight="1">
      <x:c r="A111" s="2" t="str">
        <x:v>M0104</x:v>
      </x:c>
      <x:c r="B111" s="2" t="str">
        <x:v>FW04</x:v>
      </x:c>
      <x:c r="C111" s="2" t="str">
        <x:v>T1</x:v>
      </x:c>
      <x:c r="D111" s="2" t="str">
        <x:v>L03</x:v>
      </x:c>
      <x:c r="E111" s="2" t="str">
        <x:v>Core wall two faces</x:v>
      </x:c>
      <x:c r="F111" s="21" t="n">
        <x:v>2</x:v>
      </x:c>
      <x:c r="G111" s="21" t="n">
        <x:f>'Controls'!$B$19</x:f>
        <x:v>24</x:v>
      </x:c>
      <x:c r="H111" s="21" t="n">
        <x:f>'Controls'!$B$12-'Controls'!$B$13</x:f>
        <x:v>2.98</x:v>
      </x:c>
      <x:c r="I111" s="21" t="n">
        <x:v>1</x:v>
      </x:c>
      <x:c r="J111" s="21" t="n">
        <x:v>1</x:v>
      </x:c>
      <x:c r="K111" s="21" t="n">
        <x:f>F111*G111*H111*I111*J111</x:f>
        <x:v>143.04</x:v>
      </x:c>
      <x:c r="L111" s="2" t="str">
        <x:v>Net perimeter, no repeated corners</x:v>
      </x:c>
      <x:c r="M111" s="2"/>
      <x:c r="N111" s="2"/>
      <x:c r="O111" s="2"/>
      <x:c r="P111" s="2"/>
      <x:c r="Q111" s="2"/>
    </x:row>
    <x:row r="112" ht="22" customHeight="1">
      <x:c r="A112" s="7" t="str">
        <x:v>M0105</x:v>
      </x:c>
      <x:c r="B112" s="7" t="str">
        <x:v>AR01</x:v>
      </x:c>
      <x:c r="C112" s="7" t="str">
        <x:v>T1</x:v>
      </x:c>
      <x:c r="D112" s="7" t="str">
        <x:v>L03</x:v>
      </x:c>
      <x:c r="E112" s="7" t="str">
        <x:v>Partition walls gross</x:v>
      </x:c>
      <x:c r="F112" s="20" t="n">
        <x:v>1</x:v>
      </x:c>
      <x:c r="G112" s="20" t="n">
        <x:f>'Controls'!$B$45</x:f>
        <x:v>220</x:v>
      </x:c>
      <x:c r="H112" s="20" t="n">
        <x:f>'Controls'!$B$12-'Controls'!$B$13</x:f>
        <x:v>2.98</x:v>
      </x:c>
      <x:c r="I112" s="20" t="n">
        <x:f>'Controls'!$B$46</x:f>
        <x:v>0.15</x:v>
      </x:c>
      <x:c r="J112" s="20" t="n">
        <x:v>1</x:v>
      </x:c>
      <x:c r="K112" s="20" t="n">
        <x:f>F112*G112*H112*I112*J112</x:f>
        <x:v>98.34</x:v>
      </x:c>
      <x:c r="L112" s="7" t="str">
        <x:v>Net openings deducted below</x:v>
      </x:c>
      <x:c r="M112" s="2"/>
      <x:c r="N112" s="2"/>
      <x:c r="O112" s="2"/>
      <x:c r="P112" s="2"/>
      <x:c r="Q112" s="2"/>
    </x:row>
    <x:row r="113" ht="22" customHeight="1">
      <x:c r="A113" s="2" t="str">
        <x:v>M0106</x:v>
      </x:c>
      <x:c r="B113" s="2" t="str">
        <x:v>AR01</x:v>
      </x:c>
      <x:c r="C113" s="2" t="str">
        <x:v>T1</x:v>
      </x:c>
      <x:c r="D113" s="2" t="str">
        <x:v>L03</x:v>
      </x:c>
      <x:c r="E113" s="2" t="str">
        <x:v>Internal doors deduction</x:v>
      </x:c>
      <x:c r="F113" s="21" t="n">
        <x:f>'Controls'!$B$48</x:f>
        <x:v>28</x:v>
      </x:c>
      <x:c r="G113" s="21" t="n">
        <x:f>'Controls'!$B$49</x:f>
        <x:v>0.9</x:v>
      </x:c>
      <x:c r="H113" s="21" t="n">
        <x:f>'Controls'!$B$50</x:f>
        <x:v>2.1</x:v>
      </x:c>
      <x:c r="I113" s="21" t="n">
        <x:f>'Controls'!$B$46</x:f>
        <x:v>0.15</x:v>
      </x:c>
      <x:c r="J113" s="21" t="n">
        <x:v>-1</x:v>
      </x:c>
      <x:c r="K113" s="21" t="n">
        <x:f>F113*G113*H113*I113*J113</x:f>
        <x:v>-7.938</x:v>
      </x:c>
      <x:c r="L113" s="2" t="str">
        <x:v>28 doors per floor, OP-02</x:v>
      </x:c>
      <x:c r="M113" s="2"/>
      <x:c r="N113" s="2"/>
      <x:c r="O113" s="2"/>
      <x:c r="P113" s="2"/>
      <x:c r="Q113" s="2"/>
    </x:row>
    <x:row r="114" ht="22" customHeight="1">
      <x:c r="A114" s="7" t="str">
        <x:v>M0107</x:v>
      </x:c>
      <x:c r="B114" s="7" t="str">
        <x:v>AR02</x:v>
      </x:c>
      <x:c r="C114" s="7" t="str">
        <x:v>T1</x:v>
      </x:c>
      <x:c r="D114" s="7" t="str">
        <x:v>L03</x:v>
      </x:c>
      <x:c r="E114" s="7" t="str">
        <x:v>Internal plaster gross</x:v>
      </x:c>
      <x:c r="F114" s="20" t="n">
        <x:v>2</x:v>
      </x:c>
      <x:c r="G114" s="20" t="n">
        <x:f>'Controls'!$B$45</x:f>
        <x:v>220</x:v>
      </x:c>
      <x:c r="H114" s="20" t="n">
        <x:f>'Controls'!$B$12-'Controls'!$B$13</x:f>
        <x:v>2.98</x:v>
      </x:c>
      <x:c r="I114" s="20" t="n">
        <x:v>1</x:v>
      </x:c>
      <x:c r="J114" s="20" t="n">
        <x:v>1</x:v>
      </x:c>
      <x:c r="K114" s="20" t="n">
        <x:f>F114*G114*H114*I114*J114</x:f>
        <x:v>1311.2</x:v>
      </x:c>
      <x:c r="L114" s="7" t="str">
        <x:v>Both faces of partition walls</x:v>
      </x:c>
      <x:c r="M114" s="2"/>
      <x:c r="N114" s="2"/>
      <x:c r="O114" s="2"/>
      <x:c r="P114" s="2"/>
      <x:c r="Q114" s="2"/>
    </x:row>
    <x:row r="115" ht="22" customHeight="1">
      <x:c r="A115" s="2" t="str">
        <x:v>M0108</x:v>
      </x:c>
      <x:c r="B115" s="2" t="str">
        <x:v>AR02</x:v>
      </x:c>
      <x:c r="C115" s="2" t="str">
        <x:v>T1</x:v>
      </x:c>
      <x:c r="D115" s="2" t="str">
        <x:v>L03</x:v>
      </x:c>
      <x:c r="E115" s="2" t="str">
        <x:v>Door area deduction both faces</x:v>
      </x:c>
      <x:c r="F115" s="21" t="n">
        <x:f>2*'Controls'!$B$48</x:f>
        <x:v>56</x:v>
      </x:c>
      <x:c r="G115" s="21" t="n">
        <x:f>'Controls'!$B$49</x:f>
        <x:v>0.9</x:v>
      </x:c>
      <x:c r="H115" s="21" t="n">
        <x:f>'Controls'!$B$50</x:f>
        <x:v>2.1</x:v>
      </x:c>
      <x:c r="I115" s="21" t="n">
        <x:v>1</x:v>
      </x:c>
      <x:c r="J115" s="21" t="n">
        <x:v>-1</x:v>
      </x:c>
      <x:c r="K115" s="21" t="n">
        <x:f>F115*G115*H115*I115*J115</x:f>
        <x:v>-105.84</x:v>
      </x:c>
      <x:c r="L115" s="2" t="str">
        <x:v>No plaster over openings</x:v>
      </x:c>
      <x:c r="M115" s="2"/>
      <x:c r="N115" s="2"/>
      <x:c r="O115" s="2"/>
      <x:c r="P115" s="2"/>
      <x:c r="Q115" s="2"/>
    </x:row>
    <x:row r="116" ht="22" customHeight="1">
      <x:c r="A116" s="7" t="str">
        <x:v>M0109</x:v>
      </x:c>
      <x:c r="B116" s="7" t="str">
        <x:v>AR03</x:v>
      </x:c>
      <x:c r="C116" s="7" t="str">
        <x:v>T1</x:v>
      </x:c>
      <x:c r="D116" s="7" t="str">
        <x:v>L03</x:v>
      </x:c>
      <x:c r="E116" s="7" t="str">
        <x:v>Floor screed net</x:v>
      </x:c>
      <x:c r="F116" s="20" t="n">
        <x:v>1</x:v>
      </x:c>
      <x:c r="G116" s="20" t="n">
        <x:f>'Controls'!$B$10*'Controls'!$B$11-'Controls'!$B$20*'Controls'!$B$21</x:f>
        <x:v>696</x:v>
      </x:c>
      <x:c r="H116" s="20" t="n">
        <x:v>1</x:v>
      </x:c>
      <x:c r="I116" s="20" t="n">
        <x:v>1</x:v>
      </x:c>
      <x:c r="J116" s="20" t="n">
        <x:v>1</x:v>
      </x:c>
      <x:c r="K116" s="20" t="n">
        <x:f>F116*G116*H116*I116*J116</x:f>
        <x:v>696</x:v>
      </x:c>
      <x:c r="L116" s="7" t="str">
        <x:v>Net structural floor area</x:v>
      </x:c>
      <x:c r="M116" s="2"/>
      <x:c r="N116" s="2"/>
      <x:c r="O116" s="2"/>
      <x:c r="P116" s="2"/>
      <x:c r="Q116" s="2"/>
    </x:row>
    <x:row r="117" ht="22" customHeight="1">
      <x:c r="A117" s="2" t="str">
        <x:v>M0110</x:v>
      </x:c>
      <x:c r="B117" s="2" t="str">
        <x:v>AR04</x:v>
      </x:c>
      <x:c r="C117" s="2" t="str">
        <x:v>T1</x:v>
      </x:c>
      <x:c r="D117" s="2" t="str">
        <x:v>L03</x:v>
      </x:c>
      <x:c r="E117" s="2" t="str">
        <x:v>Floor finish net</x:v>
      </x:c>
      <x:c r="F117" s="21" t="n">
        <x:v>1</x:v>
      </x:c>
      <x:c r="G117" s="21" t="n">
        <x:f>'Controls'!$B$10*'Controls'!$B$11-'Controls'!$B$20*'Controls'!$B$21</x:f>
        <x:v>696</x:v>
      </x:c>
      <x:c r="H117" s="21" t="n">
        <x:v>1</x:v>
      </x:c>
      <x:c r="I117" s="21" t="n">
        <x:v>1</x:v>
      </x:c>
      <x:c r="J117" s="21" t="n">
        <x:v>1</x:v>
      </x:c>
      <x:c r="K117" s="21" t="n">
        <x:f>F117*G117*H117*I117*J117</x:f>
        <x:v>696</x:v>
      </x:c>
      <x:c r="L117" s="2" t="str">
        <x:v>Waste excluded from BOQ</x:v>
      </x:c>
      <x:c r="M117" s="2"/>
      <x:c r="N117" s="2"/>
      <x:c r="O117" s="2"/>
      <x:c r="P117" s="2"/>
      <x:c r="Q117" s="2"/>
    </x:row>
    <x:row r="118" ht="22" customHeight="1">
      <x:c r="A118" s="7" t="str">
        <x:v>M0111</x:v>
      </x:c>
      <x:c r="B118" s="7" t="str">
        <x:v>AR05</x:v>
      </x:c>
      <x:c r="C118" s="7" t="str">
        <x:v>T1</x:v>
      </x:c>
      <x:c r="D118" s="7" t="str">
        <x:v>L03</x:v>
      </x:c>
      <x:c r="E118" s="7" t="str">
        <x:v>Internal wall paint net</x:v>
      </x:c>
      <x:c r="F118" s="20" t="n">
        <x:v>2</x:v>
      </x:c>
      <x:c r="G118" s="20" t="n">
        <x:f>'Controls'!$B$45*('Controls'!$B$12-'Controls'!$B$13)-'Controls'!$B$48*'Controls'!$B$49*'Controls'!$B$50</x:f>
        <x:v>602.6800000000001</x:v>
      </x:c>
      <x:c r="H118" s="20" t="n">
        <x:v>1</x:v>
      </x:c>
      <x:c r="I118" s="20" t="n">
        <x:v>1</x:v>
      </x:c>
      <x:c r="J118" s="20" t="n">
        <x:v>1</x:v>
      </x:c>
      <x:c r="K118" s="20" t="n">
        <x:f>F118*G118*H118*I118*J118</x:f>
        <x:v>1205.3600000000001</x:v>
      </x:c>
      <x:c r="L118" s="7" t="str">
        <x:v>Finished area; two coats priced in rate</x:v>
      </x:c>
      <x:c r="M118" s="2"/>
      <x:c r="N118" s="2"/>
      <x:c r="O118" s="2"/>
      <x:c r="P118" s="2"/>
      <x:c r="Q118" s="2"/>
    </x:row>
    <x:row r="119" ht="22" customHeight="1">
      <x:c r="A119" s="2" t="str">
        <x:v>M0112</x:v>
      </x:c>
      <x:c r="B119" s="2" t="str">
        <x:v>AR06</x:v>
      </x:c>
      <x:c r="C119" s="2" t="str">
        <x:v>T1</x:v>
      </x:c>
      <x:c r="D119" s="2" t="str">
        <x:v>L03</x:v>
      </x:c>
      <x:c r="E119" s="2" t="str">
        <x:v>Door sets</x:v>
      </x:c>
      <x:c r="F119" s="21" t="n">
        <x:f>'Controls'!$B$48</x:f>
        <x:v>28</x:v>
      </x:c>
      <x:c r="G119" s="21" t="n">
        <x:v>1</x:v>
      </x:c>
      <x:c r="H119" s="21" t="n">
        <x:v>1</x:v>
      </x:c>
      <x:c r="I119" s="21" t="n">
        <x:v>1</x:v>
      </x:c>
      <x:c r="J119" s="21" t="n">
        <x:v>1</x:v>
      </x:c>
      <x:c r="K119" s="21" t="n">
        <x:f>F119*G119*H119*I119*J119</x:f>
        <x:v>28</x:v>
      </x:c>
      <x:c r="L119" s="2" t="str">
        <x:v>Door count, not double face</x:v>
      </x:c>
      <x:c r="M119" s="2"/>
      <x:c r="N119" s="2"/>
      <x:c r="O119" s="2"/>
      <x:c r="P119" s="2"/>
      <x:c r="Q119" s="2"/>
    </x:row>
    <x:row r="120" ht="22" customHeight="1">
      <x:c r="A120" s="7" t="str">
        <x:v>M0113</x:v>
      </x:c>
      <x:c r="B120" s="7" t="str">
        <x:v>RC03</x:v>
      </x:c>
      <x:c r="C120" s="7" t="str">
        <x:v>T1</x:v>
      </x:c>
      <x:c r="D120" s="7" t="str">
        <x:v>L04</x:v>
      </x:c>
      <x:c r="E120" s="7" t="str">
        <x:v>Floor slab gross</x:v>
      </x:c>
      <x:c r="F120" s="20" t="n">
        <x:v>1</x:v>
      </x:c>
      <x:c r="G120" s="20" t="n">
        <x:f>'Controls'!$B$10</x:f>
        <x:v>30</x:v>
      </x:c>
      <x:c r="H120" s="20" t="n">
        <x:f>'Controls'!$B$11</x:f>
        <x:v>24</x:v>
      </x:c>
      <x:c r="I120" s="20" t="n">
        <x:f>'Controls'!$B$13</x:f>
        <x:v>0.22</x:v>
      </x:c>
      <x:c r="J120" s="20" t="n">
        <x:v>1</x:v>
      </x:c>
      <x:c r="K120" s="20" t="n">
        <x:f>F120*G120*H120*I120*J120</x:f>
        <x:v>158.4</x:v>
      </x:c>
      <x:c r="L120" s="7" t="str">
        <x:v>Slab includes beam top flange; downstand separate</x:v>
      </x:c>
      <x:c r="M120" s="2"/>
      <x:c r="N120" s="2"/>
      <x:c r="O120" s="2"/>
      <x:c r="P120" s="2"/>
      <x:c r="Q120" s="2"/>
    </x:row>
    <x:row r="121" ht="22" customHeight="1">
      <x:c r="A121" s="2" t="str">
        <x:v>M0114</x:v>
      </x:c>
      <x:c r="B121" s="2" t="str">
        <x:v>RC03</x:v>
      </x:c>
      <x:c r="C121" s="2" t="str">
        <x:v>T1</x:v>
      </x:c>
      <x:c r="D121" s="2" t="str">
        <x:v>L04</x:v>
      </x:c>
      <x:c r="E121" s="2" t="str">
        <x:v>Stair opening deduction</x:v>
      </x:c>
      <x:c r="F121" s="21" t="n">
        <x:v>1</x:v>
      </x:c>
      <x:c r="G121" s="21" t="n">
        <x:f>'Controls'!$B$20</x:f>
        <x:v>4</x:v>
      </x:c>
      <x:c r="H121" s="21" t="n">
        <x:f>'Controls'!$B$21</x:f>
        <x:v>6</x:v>
      </x:c>
      <x:c r="I121" s="21" t="n">
        <x:f>'Controls'!$B$13</x:f>
        <x:v>0.22</x:v>
      </x:c>
      <x:c r="J121" s="21" t="n">
        <x:v>-1</x:v>
      </x:c>
      <x:c r="K121" s="21" t="n">
        <x:f>F121*G121*H121*I121*J121</x:f>
        <x:v>-5.28</x:v>
      </x:c>
      <x:c r="L121" s="2" t="str">
        <x:v>Opening OP-01</x:v>
      </x:c>
      <x:c r="M121" s="2"/>
      <x:c r="N121" s="2"/>
      <x:c r="O121" s="2"/>
      <x:c r="P121" s="2"/>
      <x:c r="Q121" s="2"/>
    </x:row>
    <x:row r="122" ht="22" customHeight="1">
      <x:c r="A122" s="7" t="str">
        <x:v>M0115</x:v>
      </x:c>
      <x:c r="B122" s="7" t="str">
        <x:v>RC04</x:v>
      </x:c>
      <x:c r="C122" s="7" t="str">
        <x:v>T1</x:v>
      </x:c>
      <x:c r="D122" s="7" t="str">
        <x:v>L04</x:v>
      </x:c>
      <x:c r="E122" s="7" t="str">
        <x:v>Beam downstands X</x:v>
      </x:c>
      <x:c r="F122" s="20" t="n">
        <x:v>1</x:v>
      </x:c>
      <x:c r="G122" s="20" t="n">
        <x:f>5*5*('Controls'!$B$10/5-'Controls'!$B$14)</x:f>
        <x:v>137.5</x:v>
      </x:c>
      <x:c r="H122" s="20" t="n">
        <x:f>'Controls'!$B$16</x:f>
        <x:v>0.3</x:v>
      </x:c>
      <x:c r="I122" s="20" t="n">
        <x:f>'Controls'!$B$17-'Controls'!$B$13</x:f>
        <x:v>0.38</x:v>
      </x:c>
      <x:c r="J122" s="20" t="n">
        <x:v>1</x:v>
      </x:c>
      <x:c r="K122" s="20" t="n">
        <x:f>F122*G122*H122*I122*J122</x:f>
        <x:v>15.675</x:v>
      </x:c>
      <x:c r="L122" s="7" t="str">
        <x:v>Clear spans between column faces; no joint overlap</x:v>
      </x:c>
      <x:c r="M122" s="2"/>
      <x:c r="N122" s="2"/>
      <x:c r="O122" s="2"/>
      <x:c r="P122" s="2"/>
      <x:c r="Q122" s="2"/>
    </x:row>
    <x:row r="123" ht="22" customHeight="1">
      <x:c r="A123" s="2" t="str">
        <x:v>M0116</x:v>
      </x:c>
      <x:c r="B123" s="2" t="str">
        <x:v>FW02</x:v>
      </x:c>
      <x:c r="C123" s="2" t="str">
        <x:v>T1</x:v>
      </x:c>
      <x:c r="D123" s="2" t="str">
        <x:v>L04</x:v>
      </x:c>
      <x:c r="E123" s="2" t="str">
        <x:v>Beam forms X</x:v>
      </x:c>
      <x:c r="F123" s="21" t="n">
        <x:v>1</x:v>
      </x:c>
      <x:c r="G123" s="21" t="n">
        <x:f>5*5*('Controls'!$B$10/5-'Controls'!$B$14)</x:f>
        <x:v>137.5</x:v>
      </x:c>
      <x:c r="H123" s="21" t="n">
        <x:f>'Controls'!$B$16+2*('Controls'!$B$17-'Controls'!$B$13)</x:f>
        <x:v>1.06</x:v>
      </x:c>
      <x:c r="I123" s="21" t="n">
        <x:v>1</x:v>
      </x:c>
      <x:c r="J123" s="21" t="n">
        <x:v>1</x:v>
      </x:c>
      <x:c r="K123" s="21" t="n">
        <x:f>F123*G123*H123*I123*J123</x:f>
        <x:v>145.75</x:v>
      </x:c>
      <x:c r="L123" s="2" t="str">
        <x:v>Soffit plus two downstand sides</x:v>
      </x:c>
      <x:c r="M123" s="2"/>
      <x:c r="N123" s="2"/>
      <x:c r="O123" s="2"/>
      <x:c r="P123" s="2"/>
      <x:c r="Q123" s="2"/>
    </x:row>
    <x:row r="124" ht="22" customHeight="1">
      <x:c r="A124" s="7" t="str">
        <x:v>M0117</x:v>
      </x:c>
      <x:c r="B124" s="7" t="str">
        <x:v>RC04</x:v>
      </x:c>
      <x:c r="C124" s="7" t="str">
        <x:v>T1</x:v>
      </x:c>
      <x:c r="D124" s="7" t="str">
        <x:v>L04</x:v>
      </x:c>
      <x:c r="E124" s="7" t="str">
        <x:v>Beam downstands Y</x:v>
      </x:c>
      <x:c r="F124" s="20" t="n">
        <x:v>1</x:v>
      </x:c>
      <x:c r="G124" s="20" t="n">
        <x:f>6*4*('Controls'!$B$11/4-'Controls'!$B$15)</x:f>
        <x:v>132</x:v>
      </x:c>
      <x:c r="H124" s="20" t="n">
        <x:f>'Controls'!$B$16</x:f>
        <x:v>0.3</x:v>
      </x:c>
      <x:c r="I124" s="20" t="n">
        <x:f>'Controls'!$B$17-'Controls'!$B$13</x:f>
        <x:v>0.38</x:v>
      </x:c>
      <x:c r="J124" s="20" t="n">
        <x:v>1</x:v>
      </x:c>
      <x:c r="K124" s="20" t="n">
        <x:f>F124*G124*H124*I124*J124</x:f>
        <x:v>15.048</x:v>
      </x:c>
      <x:c r="L124" s="7" t="str">
        <x:v>Clear spans between column faces; no joint overlap</x:v>
      </x:c>
      <x:c r="M124" s="2"/>
      <x:c r="N124" s="2"/>
      <x:c r="O124" s="2"/>
      <x:c r="P124" s="2"/>
      <x:c r="Q124" s="2"/>
    </x:row>
    <x:row r="125" ht="22" customHeight="1">
      <x:c r="A125" s="2" t="str">
        <x:v>M0118</x:v>
      </x:c>
      <x:c r="B125" s="2" t="str">
        <x:v>FW02</x:v>
      </x:c>
      <x:c r="C125" s="2" t="str">
        <x:v>T1</x:v>
      </x:c>
      <x:c r="D125" s="2" t="str">
        <x:v>L04</x:v>
      </x:c>
      <x:c r="E125" s="2" t="str">
        <x:v>Beam forms Y</x:v>
      </x:c>
      <x:c r="F125" s="21" t="n">
        <x:v>1</x:v>
      </x:c>
      <x:c r="G125" s="21" t="n">
        <x:f>6*4*('Controls'!$B$11/4-'Controls'!$B$15)</x:f>
        <x:v>132</x:v>
      </x:c>
      <x:c r="H125" s="21" t="n">
        <x:f>'Controls'!$B$16+2*('Controls'!$B$17-'Controls'!$B$13)</x:f>
        <x:v>1.06</x:v>
      </x:c>
      <x:c r="I125" s="21" t="n">
        <x:v>1</x:v>
      </x:c>
      <x:c r="J125" s="21" t="n">
        <x:v>1</x:v>
      </x:c>
      <x:c r="K125" s="21" t="n">
        <x:f>F125*G125*H125*I125*J125</x:f>
        <x:v>139.92000000000002</x:v>
      </x:c>
      <x:c r="L125" s="2" t="str">
        <x:v>Soffit plus two downstand sides</x:v>
      </x:c>
      <x:c r="M125" s="2"/>
      <x:c r="N125" s="2"/>
      <x:c r="O125" s="2"/>
      <x:c r="P125" s="2"/>
      <x:c r="Q125" s="2"/>
    </x:row>
    <x:row r="126" ht="22" customHeight="1">
      <x:c r="A126" s="7" t="str">
        <x:v>M0119</x:v>
      </x:c>
      <x:c r="B126" s="7" t="str">
        <x:v>RC05</x:v>
      </x:c>
      <x:c r="C126" s="7" t="str">
        <x:v>T1</x:v>
      </x:c>
      <x:c r="D126" s="7" t="str">
        <x:v>L04</x:v>
      </x:c>
      <x:c r="E126" s="7" t="str">
        <x:v>Thirty columns, clear storey</x:v>
      </x:c>
      <x:c r="F126" s="20" t="n">
        <x:v>30</x:v>
      </x:c>
      <x:c r="G126" s="20" t="n">
        <x:f>'Controls'!$B$14</x:f>
        <x:v>0.5</x:v>
      </x:c>
      <x:c r="H126" s="20" t="n">
        <x:f>'Controls'!$B$15</x:f>
        <x:v>0.5</x:v>
      </x:c>
      <x:c r="I126" s="20" t="n">
        <x:f>'Controls'!$B$12-'Controls'!$B$13</x:f>
        <x:v>2.98</x:v>
      </x:c>
      <x:c r="J126" s="20" t="n">
        <x:v>1</x:v>
      </x:c>
      <x:c r="K126" s="20" t="n">
        <x:f>F126*G126*H126*I126*J126</x:f>
        <x:v>22.35</x:v>
      </x:c>
      <x:c r="L126" s="7" t="str">
        <x:v>Slab volume excluded from columns</x:v>
      </x:c>
      <x:c r="M126" s="2"/>
      <x:c r="N126" s="2"/>
      <x:c r="O126" s="2"/>
      <x:c r="P126" s="2"/>
      <x:c r="Q126" s="2"/>
    </x:row>
    <x:row r="127" ht="22" customHeight="1">
      <x:c r="A127" s="2" t="str">
        <x:v>M0120</x:v>
      </x:c>
      <x:c r="B127" s="2" t="str">
        <x:v>RC06</x:v>
      </x:c>
      <x:c r="C127" s="2" t="str">
        <x:v>T1</x:v>
      </x:c>
      <x:c r="D127" s="2" t="str">
        <x:v>L04</x:v>
      </x:c>
      <x:c r="E127" s="2" t="str">
        <x:v>Core walls clear storey</x:v>
      </x:c>
      <x:c r="F127" s="21" t="n">
        <x:v>1</x:v>
      </x:c>
      <x:c r="G127" s="21" t="n">
        <x:f>'Controls'!$B$19</x:f>
        <x:v>24</x:v>
      </x:c>
      <x:c r="H127" s="21" t="n">
        <x:f>'Controls'!$B$18</x:f>
        <x:v>0.25</x:v>
      </x:c>
      <x:c r="I127" s="21" t="n">
        <x:f>'Controls'!$B$12-'Controls'!$B$13</x:f>
        <x:v>2.98</x:v>
      </x:c>
      <x:c r="J127" s="21" t="n">
        <x:v>1</x:v>
      </x:c>
      <x:c r="K127" s="21" t="n">
        <x:f>F127*G127*H127*I127*J127</x:f>
        <x:v>17.88</x:v>
      </x:c>
      <x:c r="L127" s="2" t="str">
        <x:v>Net clear wall length excludes corners</x:v>
      </x:c>
      <x:c r="M127" s="2"/>
      <x:c r="N127" s="2"/>
      <x:c r="O127" s="2"/>
      <x:c r="P127" s="2"/>
      <x:c r="Q127" s="2"/>
    </x:row>
    <x:row r="128" ht="22" customHeight="1">
      <x:c r="A128" s="7" t="str">
        <x:v>M0121</x:v>
      </x:c>
      <x:c r="B128" s="7" t="str">
        <x:v>RC07</x:v>
      </x:c>
      <x:c r="C128" s="7" t="str">
        <x:v>T1</x:v>
      </x:c>
      <x:c r="D128" s="7" t="str">
        <x:v>L04</x:v>
      </x:c>
      <x:c r="E128" s="7" t="str">
        <x:v>Stair flights waist</x:v>
      </x:c>
      <x:c r="F128" s="20" t="n">
        <x:v>2</x:v>
      </x:c>
      <x:c r="G128" s="20" t="n">
        <x:v>4.1</x:v>
      </x:c>
      <x:c r="H128" s="20" t="n">
        <x:v>1.2</x:v>
      </x:c>
      <x:c r="I128" s="20" t="n">
        <x:v>0.18</x:v>
      </x:c>
      <x:c r="J128" s="20" t="n">
        <x:v>1</x:v>
      </x:c>
      <x:c r="K128" s="20" t="n">
        <x:f>F128*G128*H128*I128*J128</x:f>
        <x:v>1.7711999999999997</x:v>
      </x:c>
      <x:c r="L128" s="7" t="str">
        <x:v>Two flights; geometry separate from floor slab</x:v>
      </x:c>
      <x:c r="M128" s="2"/>
      <x:c r="N128" s="2"/>
      <x:c r="O128" s="2"/>
      <x:c r="P128" s="2"/>
      <x:c r="Q128" s="2"/>
    </x:row>
    <x:row r="129" ht="22" customHeight="1">
      <x:c r="A129" s="2" t="str">
        <x:v>M0122</x:v>
      </x:c>
      <x:c r="B129" s="2" t="str">
        <x:v>RC07</x:v>
      </x:c>
      <x:c r="C129" s="2" t="str">
        <x:v>T1</x:v>
      </x:c>
      <x:c r="D129" s="2" t="str">
        <x:v>L04</x:v>
      </x:c>
      <x:c r="E129" s="2" t="str">
        <x:v>Stair landings</x:v>
      </x:c>
      <x:c r="F129" s="21" t="n">
        <x:v>2</x:v>
      </x:c>
      <x:c r="G129" s="21" t="n">
        <x:v>2</x:v>
      </x:c>
      <x:c r="H129" s="21" t="n">
        <x:v>1.2</x:v>
      </x:c>
      <x:c r="I129" s="21" t="n">
        <x:v>0.18</x:v>
      </x:c>
      <x:c r="J129" s="21" t="n">
        <x:v>1</x:v>
      </x:c>
      <x:c r="K129" s="21" t="n">
        <x:f>F129*G129*H129*I129*J129</x:f>
        <x:v>0.864</x:v>
      </x:c>
      <x:c r="L129" s="2" t="str">
        <x:v>Within stair opening</x:v>
      </x:c>
      <x:c r="M129" s="2"/>
      <x:c r="N129" s="2"/>
      <x:c r="O129" s="2"/>
      <x:c r="P129" s="2"/>
      <x:c r="Q129" s="2"/>
    </x:row>
    <x:row r="130" ht="22" customHeight="1">
      <x:c r="A130" s="7" t="str">
        <x:v>M0123</x:v>
      </x:c>
      <x:c r="B130" s="7" t="str">
        <x:v>FW01</x:v>
      </x:c>
      <x:c r="C130" s="7" t="str">
        <x:v>T1</x:v>
      </x:c>
      <x:c r="D130" s="7" t="str">
        <x:v>L04</x:v>
      </x:c>
      <x:c r="E130" s="7" t="str">
        <x:v>Slab soffit gross</x:v>
      </x:c>
      <x:c r="F130" s="20" t="n">
        <x:v>1</x:v>
      </x:c>
      <x:c r="G130" s="20" t="n">
        <x:f>'Controls'!$B$10</x:f>
        <x:v>30</x:v>
      </x:c>
      <x:c r="H130" s="20" t="n">
        <x:f>'Controls'!$B$11</x:f>
        <x:v>24</x:v>
      </x:c>
      <x:c r="I130" s="20" t="n">
        <x:v>1</x:v>
      </x:c>
      <x:c r="J130" s="20" t="n">
        <x:v>1</x:v>
      </x:c>
      <x:c r="K130" s="20" t="n">
        <x:f>F130*G130*H130*I130*J130</x:f>
        <x:v>720</x:v>
      </x:c>
      <x:c r="L130" s="7" t="str">
        <x:v>Beam soffit deducted below</x:v>
      </x:c>
      <x:c r="M130" s="2"/>
      <x:c r="N130" s="2"/>
      <x:c r="O130" s="2"/>
      <x:c r="P130" s="2"/>
      <x:c r="Q130" s="2"/>
    </x:row>
    <x:row r="131" ht="22" customHeight="1">
      <x:c r="A131" s="2" t="str">
        <x:v>M0124</x:v>
      </x:c>
      <x:c r="B131" s="2" t="str">
        <x:v>FW01</x:v>
      </x:c>
      <x:c r="C131" s="2" t="str">
        <x:v>T1</x:v>
      </x:c>
      <x:c r="D131" s="2" t="str">
        <x:v>L04</x:v>
      </x:c>
      <x:c r="E131" s="2" t="str">
        <x:v>Stair opening deduction</x:v>
      </x:c>
      <x:c r="F131" s="21" t="n">
        <x:v>1</x:v>
      </x:c>
      <x:c r="G131" s="21" t="n">
        <x:f>'Controls'!$B$20</x:f>
        <x:v>4</x:v>
      </x:c>
      <x:c r="H131" s="21" t="n">
        <x:f>'Controls'!$B$21</x:f>
        <x:v>6</x:v>
      </x:c>
      <x:c r="I131" s="21" t="n">
        <x:v>1</x:v>
      </x:c>
      <x:c r="J131" s="21" t="n">
        <x:v>-1</x:v>
      </x:c>
      <x:c r="K131" s="21" t="n">
        <x:f>F131*G131*H131*I131*J131</x:f>
        <x:v>-24</x:v>
      </x:c>
      <x:c r="L131" s="2" t="str">
        <x:v>OP-01</x:v>
      </x:c>
      <x:c r="M131" s="2"/>
      <x:c r="N131" s="2"/>
      <x:c r="O131" s="2"/>
      <x:c r="P131" s="2"/>
      <x:c r="Q131" s="2"/>
    </x:row>
    <x:row r="132" ht="22" customHeight="1">
      <x:c r="A132" s="7" t="str">
        <x:v>M0125</x:v>
      </x:c>
      <x:c r="B132" s="7" t="str">
        <x:v>FW01</x:v>
      </x:c>
      <x:c r="C132" s="7" t="str">
        <x:v>T1</x:v>
      </x:c>
      <x:c r="D132" s="7" t="str">
        <x:v>L04</x:v>
      </x:c>
      <x:c r="E132" s="7" t="str">
        <x:v>Beam soffit deduction</x:v>
      </x:c>
      <x:c r="F132" s="20" t="n">
        <x:v>1</x:v>
      </x:c>
      <x:c r="G132" s="20" t="n">
        <x:f>5*5*('Controls'!$B$10/5-'Controls'!$B$14)+6*4*('Controls'!$B$11/4-'Controls'!$B$15)</x:f>
        <x:v>269.5</x:v>
      </x:c>
      <x:c r="H132" s="20" t="n">
        <x:f>'Controls'!$B$16</x:f>
        <x:v>0.3</x:v>
      </x:c>
      <x:c r="I132" s="20" t="n">
        <x:v>1</x:v>
      </x:c>
      <x:c r="J132" s="20" t="n">
        <x:v>-1</x:v>
      </x:c>
      <x:c r="K132" s="20" t="n">
        <x:f>F132*G132*H132*I132*J132</x:f>
        <x:v>-80.85</x:v>
      </x:c>
      <x:c r="L132" s="7" t="str">
        <x:v>Beam forms measured in FW02</x:v>
      </x:c>
      <x:c r="M132" s="2"/>
      <x:c r="N132" s="2"/>
      <x:c r="O132" s="2"/>
      <x:c r="P132" s="2"/>
      <x:c r="Q132" s="2"/>
    </x:row>
    <x:row r="133" ht="22" customHeight="1">
      <x:c r="A133" s="2" t="str">
        <x:v>M0126</x:v>
      </x:c>
      <x:c r="B133" s="2" t="str">
        <x:v>FW03</x:v>
      </x:c>
      <x:c r="C133" s="2" t="str">
        <x:v>T1</x:v>
      </x:c>
      <x:c r="D133" s="2" t="str">
        <x:v>L04</x:v>
      </x:c>
      <x:c r="E133" s="2" t="str">
        <x:v>Column four faces</x:v>
      </x:c>
      <x:c r="F133" s="21" t="n">
        <x:v>30</x:v>
      </x:c>
      <x:c r="G133" s="21" t="n">
        <x:f>2*('Controls'!$B$14+'Controls'!$B$15)</x:f>
        <x:v>2</x:v>
      </x:c>
      <x:c r="H133" s="21" t="n">
        <x:f>'Controls'!$B$12-'Controls'!$B$13</x:f>
        <x:v>2.98</x:v>
      </x:c>
      <x:c r="I133" s="21" t="n">
        <x:v>1</x:v>
      </x:c>
      <x:c r="J133" s="21" t="n">
        <x:v>1</x:v>
      </x:c>
      <x:c r="K133" s="21" t="n">
        <x:f>F133*G133*H133*I133*J133</x:f>
        <x:v>178.8</x:v>
      </x:c>
      <x:c r="L133" s="2" t="str">
        <x:v>Clear floor-to-soffit</x:v>
      </x:c>
      <x:c r="M133" s="2"/>
      <x:c r="N133" s="2"/>
      <x:c r="O133" s="2"/>
      <x:c r="P133" s="2"/>
      <x:c r="Q133" s="2"/>
    </x:row>
    <x:row r="134" ht="22" customHeight="1">
      <x:c r="A134" s="7" t="str">
        <x:v>M0127</x:v>
      </x:c>
      <x:c r="B134" s="7" t="str">
        <x:v>FW04</x:v>
      </x:c>
      <x:c r="C134" s="7" t="str">
        <x:v>T1</x:v>
      </x:c>
      <x:c r="D134" s="7" t="str">
        <x:v>L04</x:v>
      </x:c>
      <x:c r="E134" s="7" t="str">
        <x:v>Core wall two faces</x:v>
      </x:c>
      <x:c r="F134" s="20" t="n">
        <x:v>2</x:v>
      </x:c>
      <x:c r="G134" s="20" t="n">
        <x:f>'Controls'!$B$19</x:f>
        <x:v>24</x:v>
      </x:c>
      <x:c r="H134" s="20" t="n">
        <x:f>'Controls'!$B$12-'Controls'!$B$13</x:f>
        <x:v>2.98</x:v>
      </x:c>
      <x:c r="I134" s="20" t="n">
        <x:v>1</x:v>
      </x:c>
      <x:c r="J134" s="20" t="n">
        <x:v>1</x:v>
      </x:c>
      <x:c r="K134" s="20" t="n">
        <x:f>F134*G134*H134*I134*J134</x:f>
        <x:v>143.04</x:v>
      </x:c>
      <x:c r="L134" s="7" t="str">
        <x:v>Net perimeter, no repeated corners</x:v>
      </x:c>
      <x:c r="M134" s="2"/>
      <x:c r="N134" s="2"/>
      <x:c r="O134" s="2"/>
      <x:c r="P134" s="2"/>
      <x:c r="Q134" s="2"/>
    </x:row>
    <x:row r="135" ht="22" customHeight="1">
      <x:c r="A135" s="2" t="str">
        <x:v>M0128</x:v>
      </x:c>
      <x:c r="B135" s="2" t="str">
        <x:v>AR01</x:v>
      </x:c>
      <x:c r="C135" s="2" t="str">
        <x:v>T1</x:v>
      </x:c>
      <x:c r="D135" s="2" t="str">
        <x:v>L04</x:v>
      </x:c>
      <x:c r="E135" s="2" t="str">
        <x:v>Partition walls gross</x:v>
      </x:c>
      <x:c r="F135" s="21" t="n">
        <x:v>1</x:v>
      </x:c>
      <x:c r="G135" s="21" t="n">
        <x:f>'Controls'!$B$45</x:f>
        <x:v>220</x:v>
      </x:c>
      <x:c r="H135" s="21" t="n">
        <x:f>'Controls'!$B$12-'Controls'!$B$13</x:f>
        <x:v>2.98</x:v>
      </x:c>
      <x:c r="I135" s="21" t="n">
        <x:f>'Controls'!$B$46</x:f>
        <x:v>0.15</x:v>
      </x:c>
      <x:c r="J135" s="21" t="n">
        <x:v>1</x:v>
      </x:c>
      <x:c r="K135" s="21" t="n">
        <x:f>F135*G135*H135*I135*J135</x:f>
        <x:v>98.34</x:v>
      </x:c>
      <x:c r="L135" s="2" t="str">
        <x:v>Net openings deducted below</x:v>
      </x:c>
      <x:c r="M135" s="2"/>
      <x:c r="N135" s="2"/>
      <x:c r="O135" s="2"/>
      <x:c r="P135" s="2"/>
      <x:c r="Q135" s="2"/>
    </x:row>
    <x:row r="136" ht="22" customHeight="1">
      <x:c r="A136" s="7" t="str">
        <x:v>M0129</x:v>
      </x:c>
      <x:c r="B136" s="7" t="str">
        <x:v>AR01</x:v>
      </x:c>
      <x:c r="C136" s="7" t="str">
        <x:v>T1</x:v>
      </x:c>
      <x:c r="D136" s="7" t="str">
        <x:v>L04</x:v>
      </x:c>
      <x:c r="E136" s="7" t="str">
        <x:v>Internal doors deduction</x:v>
      </x:c>
      <x:c r="F136" s="20" t="n">
        <x:f>'Controls'!$B$48</x:f>
        <x:v>28</x:v>
      </x:c>
      <x:c r="G136" s="20" t="n">
        <x:f>'Controls'!$B$49</x:f>
        <x:v>0.9</x:v>
      </x:c>
      <x:c r="H136" s="20" t="n">
        <x:f>'Controls'!$B$50</x:f>
        <x:v>2.1</x:v>
      </x:c>
      <x:c r="I136" s="20" t="n">
        <x:f>'Controls'!$B$46</x:f>
        <x:v>0.15</x:v>
      </x:c>
      <x:c r="J136" s="20" t="n">
        <x:v>-1</x:v>
      </x:c>
      <x:c r="K136" s="20" t="n">
        <x:f>F136*G136*H136*I136*J136</x:f>
        <x:v>-7.938</x:v>
      </x:c>
      <x:c r="L136" s="7" t="str">
        <x:v>28 doors per floor, OP-02</x:v>
      </x:c>
      <x:c r="M136" s="2"/>
      <x:c r="N136" s="2"/>
      <x:c r="O136" s="2"/>
      <x:c r="P136" s="2"/>
      <x:c r="Q136" s="2"/>
    </x:row>
    <x:row r="137" ht="22" customHeight="1">
      <x:c r="A137" s="2" t="str">
        <x:v>M0130</x:v>
      </x:c>
      <x:c r="B137" s="2" t="str">
        <x:v>AR02</x:v>
      </x:c>
      <x:c r="C137" s="2" t="str">
        <x:v>T1</x:v>
      </x:c>
      <x:c r="D137" s="2" t="str">
        <x:v>L04</x:v>
      </x:c>
      <x:c r="E137" s="2" t="str">
        <x:v>Internal plaster gross</x:v>
      </x:c>
      <x:c r="F137" s="21" t="n">
        <x:v>2</x:v>
      </x:c>
      <x:c r="G137" s="21" t="n">
        <x:f>'Controls'!$B$45</x:f>
        <x:v>220</x:v>
      </x:c>
      <x:c r="H137" s="21" t="n">
        <x:f>'Controls'!$B$12-'Controls'!$B$13</x:f>
        <x:v>2.98</x:v>
      </x:c>
      <x:c r="I137" s="21" t="n">
        <x:v>1</x:v>
      </x:c>
      <x:c r="J137" s="21" t="n">
        <x:v>1</x:v>
      </x:c>
      <x:c r="K137" s="21" t="n">
        <x:f>F137*G137*H137*I137*J137</x:f>
        <x:v>1311.2</x:v>
      </x:c>
      <x:c r="L137" s="2" t="str">
        <x:v>Both faces of partition walls</x:v>
      </x:c>
      <x:c r="M137" s="2"/>
      <x:c r="N137" s="2"/>
      <x:c r="O137" s="2"/>
      <x:c r="P137" s="2"/>
      <x:c r="Q137" s="2"/>
    </x:row>
    <x:row r="138" ht="22" customHeight="1">
      <x:c r="A138" s="7" t="str">
        <x:v>M0131</x:v>
      </x:c>
      <x:c r="B138" s="7" t="str">
        <x:v>AR02</x:v>
      </x:c>
      <x:c r="C138" s="7" t="str">
        <x:v>T1</x:v>
      </x:c>
      <x:c r="D138" s="7" t="str">
        <x:v>L04</x:v>
      </x:c>
      <x:c r="E138" s="7" t="str">
        <x:v>Door area deduction both faces</x:v>
      </x:c>
      <x:c r="F138" s="20" t="n">
        <x:f>2*'Controls'!$B$48</x:f>
        <x:v>56</x:v>
      </x:c>
      <x:c r="G138" s="20" t="n">
        <x:f>'Controls'!$B$49</x:f>
        <x:v>0.9</x:v>
      </x:c>
      <x:c r="H138" s="20" t="n">
        <x:f>'Controls'!$B$50</x:f>
        <x:v>2.1</x:v>
      </x:c>
      <x:c r="I138" s="20" t="n">
        <x:v>1</x:v>
      </x:c>
      <x:c r="J138" s="20" t="n">
        <x:v>-1</x:v>
      </x:c>
      <x:c r="K138" s="20" t="n">
        <x:f>F138*G138*H138*I138*J138</x:f>
        <x:v>-105.84</x:v>
      </x:c>
      <x:c r="L138" s="7" t="str">
        <x:v>No plaster over openings</x:v>
      </x:c>
      <x:c r="M138" s="2"/>
      <x:c r="N138" s="2"/>
      <x:c r="O138" s="2"/>
      <x:c r="P138" s="2"/>
      <x:c r="Q138" s="2"/>
    </x:row>
    <x:row r="139" ht="22" customHeight="1">
      <x:c r="A139" s="2" t="str">
        <x:v>M0132</x:v>
      </x:c>
      <x:c r="B139" s="2" t="str">
        <x:v>AR03</x:v>
      </x:c>
      <x:c r="C139" s="2" t="str">
        <x:v>T1</x:v>
      </x:c>
      <x:c r="D139" s="2" t="str">
        <x:v>L04</x:v>
      </x:c>
      <x:c r="E139" s="2" t="str">
        <x:v>Floor screed net</x:v>
      </x:c>
      <x:c r="F139" s="21" t="n">
        <x:v>1</x:v>
      </x:c>
      <x:c r="G139" s="21" t="n">
        <x:f>'Controls'!$B$10*'Controls'!$B$11-'Controls'!$B$20*'Controls'!$B$21</x:f>
        <x:v>696</x:v>
      </x:c>
      <x:c r="H139" s="21" t="n">
        <x:v>1</x:v>
      </x:c>
      <x:c r="I139" s="21" t="n">
        <x:v>1</x:v>
      </x:c>
      <x:c r="J139" s="21" t="n">
        <x:v>1</x:v>
      </x:c>
      <x:c r="K139" s="21" t="n">
        <x:f>F139*G139*H139*I139*J139</x:f>
        <x:v>696</x:v>
      </x:c>
      <x:c r="L139" s="2" t="str">
        <x:v>Net structural floor area</x:v>
      </x:c>
      <x:c r="M139" s="2"/>
      <x:c r="N139" s="2"/>
      <x:c r="O139" s="2"/>
      <x:c r="P139" s="2"/>
      <x:c r="Q139" s="2"/>
    </x:row>
    <x:row r="140" ht="22" customHeight="1">
      <x:c r="A140" s="7" t="str">
        <x:v>M0133</x:v>
      </x:c>
      <x:c r="B140" s="7" t="str">
        <x:v>AR04</x:v>
      </x:c>
      <x:c r="C140" s="7" t="str">
        <x:v>T1</x:v>
      </x:c>
      <x:c r="D140" s="7" t="str">
        <x:v>L04</x:v>
      </x:c>
      <x:c r="E140" s="7" t="str">
        <x:v>Floor finish net</x:v>
      </x:c>
      <x:c r="F140" s="20" t="n">
        <x:v>1</x:v>
      </x:c>
      <x:c r="G140" s="20" t="n">
        <x:f>'Controls'!$B$10*'Controls'!$B$11-'Controls'!$B$20*'Controls'!$B$21</x:f>
        <x:v>696</x:v>
      </x:c>
      <x:c r="H140" s="20" t="n">
        <x:v>1</x:v>
      </x:c>
      <x:c r="I140" s="20" t="n">
        <x:v>1</x:v>
      </x:c>
      <x:c r="J140" s="20" t="n">
        <x:v>1</x:v>
      </x:c>
      <x:c r="K140" s="20" t="n">
        <x:f>F140*G140*H140*I140*J140</x:f>
        <x:v>696</x:v>
      </x:c>
      <x:c r="L140" s="7" t="str">
        <x:v>Waste excluded from BOQ</x:v>
      </x:c>
      <x:c r="M140" s="2"/>
      <x:c r="N140" s="2"/>
      <x:c r="O140" s="2"/>
      <x:c r="P140" s="2"/>
      <x:c r="Q140" s="2"/>
    </x:row>
    <x:row r="141" ht="22" customHeight="1">
      <x:c r="A141" s="2" t="str">
        <x:v>M0134</x:v>
      </x:c>
      <x:c r="B141" s="2" t="str">
        <x:v>AR05</x:v>
      </x:c>
      <x:c r="C141" s="2" t="str">
        <x:v>T1</x:v>
      </x:c>
      <x:c r="D141" s="2" t="str">
        <x:v>L04</x:v>
      </x:c>
      <x:c r="E141" s="2" t="str">
        <x:v>Internal wall paint net</x:v>
      </x:c>
      <x:c r="F141" s="21" t="n">
        <x:v>2</x:v>
      </x:c>
      <x:c r="G141" s="21" t="n">
        <x:f>'Controls'!$B$45*('Controls'!$B$12-'Controls'!$B$13)-'Controls'!$B$48*'Controls'!$B$49*'Controls'!$B$50</x:f>
        <x:v>602.6800000000001</x:v>
      </x:c>
      <x:c r="H141" s="21" t="n">
        <x:v>1</x:v>
      </x:c>
      <x:c r="I141" s="21" t="n">
        <x:v>1</x:v>
      </x:c>
      <x:c r="J141" s="21" t="n">
        <x:v>1</x:v>
      </x:c>
      <x:c r="K141" s="21" t="n">
        <x:f>F141*G141*H141*I141*J141</x:f>
        <x:v>1205.3600000000001</x:v>
      </x:c>
      <x:c r="L141" s="2" t="str">
        <x:v>Finished area; two coats priced in rate</x:v>
      </x:c>
      <x:c r="M141" s="2"/>
      <x:c r="N141" s="2"/>
      <x:c r="O141" s="2"/>
      <x:c r="P141" s="2"/>
      <x:c r="Q141" s="2"/>
    </x:row>
    <x:row r="142" ht="22" customHeight="1">
      <x:c r="A142" s="7" t="str">
        <x:v>M0135</x:v>
      </x:c>
      <x:c r="B142" s="7" t="str">
        <x:v>AR06</x:v>
      </x:c>
      <x:c r="C142" s="7" t="str">
        <x:v>T1</x:v>
      </x:c>
      <x:c r="D142" s="7" t="str">
        <x:v>L04</x:v>
      </x:c>
      <x:c r="E142" s="7" t="str">
        <x:v>Door sets</x:v>
      </x:c>
      <x:c r="F142" s="20" t="n">
        <x:f>'Controls'!$B$48</x:f>
        <x:v>28</x:v>
      </x:c>
      <x:c r="G142" s="20" t="n">
        <x:v>1</x:v>
      </x:c>
      <x:c r="H142" s="20" t="n">
        <x:v>1</x:v>
      </x:c>
      <x:c r="I142" s="20" t="n">
        <x:v>1</x:v>
      </x:c>
      <x:c r="J142" s="20" t="n">
        <x:v>1</x:v>
      </x:c>
      <x:c r="K142" s="20" t="n">
        <x:f>F142*G142*H142*I142*J142</x:f>
        <x:v>28</x:v>
      </x:c>
      <x:c r="L142" s="7" t="str">
        <x:v>Door count, not double face</x:v>
      </x:c>
      <x:c r="M142" s="2"/>
      <x:c r="N142" s="2"/>
      <x:c r="O142" s="2"/>
      <x:c r="P142" s="2"/>
      <x:c r="Q142" s="2"/>
    </x:row>
    <x:row r="143" ht="22" customHeight="1">
      <x:c r="A143" s="2" t="str">
        <x:v>M0136</x:v>
      </x:c>
      <x:c r="B143" s="2" t="str">
        <x:v>RC03</x:v>
      </x:c>
      <x:c r="C143" s="2" t="str">
        <x:v>T1</x:v>
      </x:c>
      <x:c r="D143" s="2" t="str">
        <x:v>L05</x:v>
      </x:c>
      <x:c r="E143" s="2" t="str">
        <x:v>Floor slab gross</x:v>
      </x:c>
      <x:c r="F143" s="21" t="n">
        <x:v>1</x:v>
      </x:c>
      <x:c r="G143" s="21" t="n">
        <x:f>'Controls'!$B$10</x:f>
        <x:v>30</x:v>
      </x:c>
      <x:c r="H143" s="21" t="n">
        <x:f>'Controls'!$B$11</x:f>
        <x:v>24</x:v>
      </x:c>
      <x:c r="I143" s="21" t="n">
        <x:f>'Controls'!$B$13</x:f>
        <x:v>0.22</x:v>
      </x:c>
      <x:c r="J143" s="21" t="n">
        <x:v>1</x:v>
      </x:c>
      <x:c r="K143" s="21" t="n">
        <x:f>F143*G143*H143*I143*J143</x:f>
        <x:v>158.4</x:v>
      </x:c>
      <x:c r="L143" s="2" t="str">
        <x:v>Slab includes beam top flange; downstand separate</x:v>
      </x:c>
      <x:c r="M143" s="2"/>
      <x:c r="N143" s="2"/>
      <x:c r="O143" s="2"/>
      <x:c r="P143" s="2"/>
      <x:c r="Q143" s="2"/>
    </x:row>
    <x:row r="144" ht="22" customHeight="1">
      <x:c r="A144" s="7" t="str">
        <x:v>M0137</x:v>
      </x:c>
      <x:c r="B144" s="7" t="str">
        <x:v>RC03</x:v>
      </x:c>
      <x:c r="C144" s="7" t="str">
        <x:v>T1</x:v>
      </x:c>
      <x:c r="D144" s="7" t="str">
        <x:v>L05</x:v>
      </x:c>
      <x:c r="E144" s="7" t="str">
        <x:v>Stair opening deduction</x:v>
      </x:c>
      <x:c r="F144" s="20" t="n">
        <x:v>1</x:v>
      </x:c>
      <x:c r="G144" s="20" t="n">
        <x:f>'Controls'!$B$20</x:f>
        <x:v>4</x:v>
      </x:c>
      <x:c r="H144" s="20" t="n">
        <x:f>'Controls'!$B$21</x:f>
        <x:v>6</x:v>
      </x:c>
      <x:c r="I144" s="20" t="n">
        <x:f>'Controls'!$B$13</x:f>
        <x:v>0.22</x:v>
      </x:c>
      <x:c r="J144" s="20" t="n">
        <x:v>-1</x:v>
      </x:c>
      <x:c r="K144" s="20" t="n">
        <x:f>F144*G144*H144*I144*J144</x:f>
        <x:v>-5.28</x:v>
      </x:c>
      <x:c r="L144" s="7" t="str">
        <x:v>Opening OP-01</x:v>
      </x:c>
      <x:c r="M144" s="2"/>
      <x:c r="N144" s="2"/>
      <x:c r="O144" s="2"/>
      <x:c r="P144" s="2"/>
      <x:c r="Q144" s="2"/>
    </x:row>
    <x:row r="145" ht="22" customHeight="1">
      <x:c r="A145" s="2" t="str">
        <x:v>M0138</x:v>
      </x:c>
      <x:c r="B145" s="2" t="str">
        <x:v>RC04</x:v>
      </x:c>
      <x:c r="C145" s="2" t="str">
        <x:v>T1</x:v>
      </x:c>
      <x:c r="D145" s="2" t="str">
        <x:v>L05</x:v>
      </x:c>
      <x:c r="E145" s="2" t="str">
        <x:v>Beam downstands X</x:v>
      </x:c>
      <x:c r="F145" s="21" t="n">
        <x:v>1</x:v>
      </x:c>
      <x:c r="G145" s="21" t="n">
        <x:f>5*5*('Controls'!$B$10/5-'Controls'!$B$14)</x:f>
        <x:v>137.5</x:v>
      </x:c>
      <x:c r="H145" s="21" t="n">
        <x:f>'Controls'!$B$16</x:f>
        <x:v>0.3</x:v>
      </x:c>
      <x:c r="I145" s="21" t="n">
        <x:f>'Controls'!$B$17-'Controls'!$B$13</x:f>
        <x:v>0.38</x:v>
      </x:c>
      <x:c r="J145" s="21" t="n">
        <x:v>1</x:v>
      </x:c>
      <x:c r="K145" s="21" t="n">
        <x:f>F145*G145*H145*I145*J145</x:f>
        <x:v>15.675</x:v>
      </x:c>
      <x:c r="L145" s="2" t="str">
        <x:v>Clear spans between column faces; no joint overlap</x:v>
      </x:c>
      <x:c r="M145" s="2"/>
      <x:c r="N145" s="2"/>
      <x:c r="O145" s="2"/>
      <x:c r="P145" s="2"/>
      <x:c r="Q145" s="2"/>
    </x:row>
    <x:row r="146" ht="22" customHeight="1">
      <x:c r="A146" s="7" t="str">
        <x:v>M0139</x:v>
      </x:c>
      <x:c r="B146" s="7" t="str">
        <x:v>FW02</x:v>
      </x:c>
      <x:c r="C146" s="7" t="str">
        <x:v>T1</x:v>
      </x:c>
      <x:c r="D146" s="7" t="str">
        <x:v>L05</x:v>
      </x:c>
      <x:c r="E146" s="7" t="str">
        <x:v>Beam forms X</x:v>
      </x:c>
      <x:c r="F146" s="20" t="n">
        <x:v>1</x:v>
      </x:c>
      <x:c r="G146" s="20" t="n">
        <x:f>5*5*('Controls'!$B$10/5-'Controls'!$B$14)</x:f>
        <x:v>137.5</x:v>
      </x:c>
      <x:c r="H146" s="20" t="n">
        <x:f>'Controls'!$B$16+2*('Controls'!$B$17-'Controls'!$B$13)</x:f>
        <x:v>1.06</x:v>
      </x:c>
      <x:c r="I146" s="20" t="n">
        <x:v>1</x:v>
      </x:c>
      <x:c r="J146" s="20" t="n">
        <x:v>1</x:v>
      </x:c>
      <x:c r="K146" s="20" t="n">
        <x:f>F146*G146*H146*I146*J146</x:f>
        <x:v>145.75</x:v>
      </x:c>
      <x:c r="L146" s="7" t="str">
        <x:v>Soffit plus two downstand sides</x:v>
      </x:c>
      <x:c r="M146" s="2"/>
      <x:c r="N146" s="2"/>
      <x:c r="O146" s="2"/>
      <x:c r="P146" s="2"/>
      <x:c r="Q146" s="2"/>
    </x:row>
    <x:row r="147" ht="22" customHeight="1">
      <x:c r="A147" s="2" t="str">
        <x:v>M0140</x:v>
      </x:c>
      <x:c r="B147" s="2" t="str">
        <x:v>RC04</x:v>
      </x:c>
      <x:c r="C147" s="2" t="str">
        <x:v>T1</x:v>
      </x:c>
      <x:c r="D147" s="2" t="str">
        <x:v>L05</x:v>
      </x:c>
      <x:c r="E147" s="2" t="str">
        <x:v>Beam downstands Y</x:v>
      </x:c>
      <x:c r="F147" s="21" t="n">
        <x:v>1</x:v>
      </x:c>
      <x:c r="G147" s="21" t="n">
        <x:f>6*4*('Controls'!$B$11/4-'Controls'!$B$15)</x:f>
        <x:v>132</x:v>
      </x:c>
      <x:c r="H147" s="21" t="n">
        <x:f>'Controls'!$B$16</x:f>
        <x:v>0.3</x:v>
      </x:c>
      <x:c r="I147" s="21" t="n">
        <x:f>'Controls'!$B$17-'Controls'!$B$13</x:f>
        <x:v>0.38</x:v>
      </x:c>
      <x:c r="J147" s="21" t="n">
        <x:v>1</x:v>
      </x:c>
      <x:c r="K147" s="21" t="n">
        <x:f>F147*G147*H147*I147*J147</x:f>
        <x:v>15.048</x:v>
      </x:c>
      <x:c r="L147" s="2" t="str">
        <x:v>Clear spans between column faces; no joint overlap</x:v>
      </x:c>
      <x:c r="M147" s="2"/>
      <x:c r="N147" s="2"/>
      <x:c r="O147" s="2"/>
      <x:c r="P147" s="2"/>
      <x:c r="Q147" s="2"/>
    </x:row>
    <x:row r="148" ht="22" customHeight="1">
      <x:c r="A148" s="7" t="str">
        <x:v>M0141</x:v>
      </x:c>
      <x:c r="B148" s="7" t="str">
        <x:v>FW02</x:v>
      </x:c>
      <x:c r="C148" s="7" t="str">
        <x:v>T1</x:v>
      </x:c>
      <x:c r="D148" s="7" t="str">
        <x:v>L05</x:v>
      </x:c>
      <x:c r="E148" s="7" t="str">
        <x:v>Beam forms Y</x:v>
      </x:c>
      <x:c r="F148" s="20" t="n">
        <x:v>1</x:v>
      </x:c>
      <x:c r="G148" s="20" t="n">
        <x:f>6*4*('Controls'!$B$11/4-'Controls'!$B$15)</x:f>
        <x:v>132</x:v>
      </x:c>
      <x:c r="H148" s="20" t="n">
        <x:f>'Controls'!$B$16+2*('Controls'!$B$17-'Controls'!$B$13)</x:f>
        <x:v>1.06</x:v>
      </x:c>
      <x:c r="I148" s="20" t="n">
        <x:v>1</x:v>
      </x:c>
      <x:c r="J148" s="20" t="n">
        <x:v>1</x:v>
      </x:c>
      <x:c r="K148" s="20" t="n">
        <x:f>F148*G148*H148*I148*J148</x:f>
        <x:v>139.92000000000002</x:v>
      </x:c>
      <x:c r="L148" s="7" t="str">
        <x:v>Soffit plus two downstand sides</x:v>
      </x:c>
      <x:c r="M148" s="2"/>
      <x:c r="N148" s="2"/>
      <x:c r="O148" s="2"/>
      <x:c r="P148" s="2"/>
      <x:c r="Q148" s="2"/>
    </x:row>
    <x:row r="149" ht="22" customHeight="1">
      <x:c r="A149" s="2" t="str">
        <x:v>M0142</x:v>
      </x:c>
      <x:c r="B149" s="2" t="str">
        <x:v>RC05</x:v>
      </x:c>
      <x:c r="C149" s="2" t="str">
        <x:v>T1</x:v>
      </x:c>
      <x:c r="D149" s="2" t="str">
        <x:v>L05</x:v>
      </x:c>
      <x:c r="E149" s="2" t="str">
        <x:v>Thirty columns, clear storey</x:v>
      </x:c>
      <x:c r="F149" s="21" t="n">
        <x:v>30</x:v>
      </x:c>
      <x:c r="G149" s="21" t="n">
        <x:f>'Controls'!$B$14</x:f>
        <x:v>0.5</x:v>
      </x:c>
      <x:c r="H149" s="21" t="n">
        <x:f>'Controls'!$B$15</x:f>
        <x:v>0.5</x:v>
      </x:c>
      <x:c r="I149" s="21" t="n">
        <x:f>'Controls'!$B$12-'Controls'!$B$13</x:f>
        <x:v>2.98</x:v>
      </x:c>
      <x:c r="J149" s="21" t="n">
        <x:v>1</x:v>
      </x:c>
      <x:c r="K149" s="21" t="n">
        <x:f>F149*G149*H149*I149*J149</x:f>
        <x:v>22.35</x:v>
      </x:c>
      <x:c r="L149" s="2" t="str">
        <x:v>Slab volume excluded from columns</x:v>
      </x:c>
      <x:c r="M149" s="2"/>
      <x:c r="N149" s="2"/>
      <x:c r="O149" s="2"/>
      <x:c r="P149" s="2"/>
      <x:c r="Q149" s="2"/>
    </x:row>
    <x:row r="150" ht="22" customHeight="1">
      <x:c r="A150" s="7" t="str">
        <x:v>M0143</x:v>
      </x:c>
      <x:c r="B150" s="7" t="str">
        <x:v>RC06</x:v>
      </x:c>
      <x:c r="C150" s="7" t="str">
        <x:v>T1</x:v>
      </x:c>
      <x:c r="D150" s="7" t="str">
        <x:v>L05</x:v>
      </x:c>
      <x:c r="E150" s="7" t="str">
        <x:v>Core walls clear storey</x:v>
      </x:c>
      <x:c r="F150" s="20" t="n">
        <x:v>1</x:v>
      </x:c>
      <x:c r="G150" s="20" t="n">
        <x:f>'Controls'!$B$19</x:f>
        <x:v>24</x:v>
      </x:c>
      <x:c r="H150" s="20" t="n">
        <x:f>'Controls'!$B$18</x:f>
        <x:v>0.25</x:v>
      </x:c>
      <x:c r="I150" s="20" t="n">
        <x:f>'Controls'!$B$12-'Controls'!$B$13</x:f>
        <x:v>2.98</x:v>
      </x:c>
      <x:c r="J150" s="20" t="n">
        <x:v>1</x:v>
      </x:c>
      <x:c r="K150" s="20" t="n">
        <x:f>F150*G150*H150*I150*J150</x:f>
        <x:v>17.88</x:v>
      </x:c>
      <x:c r="L150" s="7" t="str">
        <x:v>Net clear wall length excludes corners</x:v>
      </x:c>
      <x:c r="M150" s="2"/>
      <x:c r="N150" s="2"/>
      <x:c r="O150" s="2"/>
      <x:c r="P150" s="2"/>
      <x:c r="Q150" s="2"/>
    </x:row>
    <x:row r="151" ht="22" customHeight="1">
      <x:c r="A151" s="2" t="str">
        <x:v>M0144</x:v>
      </x:c>
      <x:c r="B151" s="2" t="str">
        <x:v>RC07</x:v>
      </x:c>
      <x:c r="C151" s="2" t="str">
        <x:v>T1</x:v>
      </x:c>
      <x:c r="D151" s="2" t="str">
        <x:v>L05</x:v>
      </x:c>
      <x:c r="E151" s="2" t="str">
        <x:v>Stair flights waist</x:v>
      </x:c>
      <x:c r="F151" s="21" t="n">
        <x:v>2</x:v>
      </x:c>
      <x:c r="G151" s="21" t="n">
        <x:v>4.1</x:v>
      </x:c>
      <x:c r="H151" s="21" t="n">
        <x:v>1.2</x:v>
      </x:c>
      <x:c r="I151" s="21" t="n">
        <x:v>0.18</x:v>
      </x:c>
      <x:c r="J151" s="21" t="n">
        <x:v>1</x:v>
      </x:c>
      <x:c r="K151" s="21" t="n">
        <x:f>F151*G151*H151*I151*J151</x:f>
        <x:v>1.7711999999999997</x:v>
      </x:c>
      <x:c r="L151" s="2" t="str">
        <x:v>Two flights; geometry separate from floor slab</x:v>
      </x:c>
      <x:c r="M151" s="2"/>
      <x:c r="N151" s="2"/>
      <x:c r="O151" s="2"/>
      <x:c r="P151" s="2"/>
      <x:c r="Q151" s="2"/>
    </x:row>
    <x:row r="152" ht="22" customHeight="1">
      <x:c r="A152" s="7" t="str">
        <x:v>M0145</x:v>
      </x:c>
      <x:c r="B152" s="7" t="str">
        <x:v>RC07</x:v>
      </x:c>
      <x:c r="C152" s="7" t="str">
        <x:v>T1</x:v>
      </x:c>
      <x:c r="D152" s="7" t="str">
        <x:v>L05</x:v>
      </x:c>
      <x:c r="E152" s="7" t="str">
        <x:v>Stair landings</x:v>
      </x:c>
      <x:c r="F152" s="20" t="n">
        <x:v>2</x:v>
      </x:c>
      <x:c r="G152" s="20" t="n">
        <x:v>2</x:v>
      </x:c>
      <x:c r="H152" s="20" t="n">
        <x:v>1.2</x:v>
      </x:c>
      <x:c r="I152" s="20" t="n">
        <x:v>0.18</x:v>
      </x:c>
      <x:c r="J152" s="20" t="n">
        <x:v>1</x:v>
      </x:c>
      <x:c r="K152" s="20" t="n">
        <x:f>F152*G152*H152*I152*J152</x:f>
        <x:v>0.864</x:v>
      </x:c>
      <x:c r="L152" s="7" t="str">
        <x:v>Within stair opening</x:v>
      </x:c>
      <x:c r="M152" s="2"/>
      <x:c r="N152" s="2"/>
      <x:c r="O152" s="2"/>
      <x:c r="P152" s="2"/>
      <x:c r="Q152" s="2"/>
    </x:row>
    <x:row r="153" ht="22" customHeight="1">
      <x:c r="A153" s="2" t="str">
        <x:v>M0146</x:v>
      </x:c>
      <x:c r="B153" s="2" t="str">
        <x:v>FW01</x:v>
      </x:c>
      <x:c r="C153" s="2" t="str">
        <x:v>T1</x:v>
      </x:c>
      <x:c r="D153" s="2" t="str">
        <x:v>L05</x:v>
      </x:c>
      <x:c r="E153" s="2" t="str">
        <x:v>Slab soffit gross</x:v>
      </x:c>
      <x:c r="F153" s="21" t="n">
        <x:v>1</x:v>
      </x:c>
      <x:c r="G153" s="21" t="n">
        <x:f>'Controls'!$B$10</x:f>
        <x:v>30</x:v>
      </x:c>
      <x:c r="H153" s="21" t="n">
        <x:f>'Controls'!$B$11</x:f>
        <x:v>24</x:v>
      </x:c>
      <x:c r="I153" s="21" t="n">
        <x:v>1</x:v>
      </x:c>
      <x:c r="J153" s="21" t="n">
        <x:v>1</x:v>
      </x:c>
      <x:c r="K153" s="21" t="n">
        <x:f>F153*G153*H153*I153*J153</x:f>
        <x:v>720</x:v>
      </x:c>
      <x:c r="L153" s="2" t="str">
        <x:v>Beam soffit deducted below</x:v>
      </x:c>
      <x:c r="M153" s="2"/>
      <x:c r="N153" s="2"/>
      <x:c r="O153" s="2"/>
      <x:c r="P153" s="2"/>
      <x:c r="Q153" s="2"/>
    </x:row>
    <x:row r="154" ht="22" customHeight="1">
      <x:c r="A154" s="7" t="str">
        <x:v>M0147</x:v>
      </x:c>
      <x:c r="B154" s="7" t="str">
        <x:v>FW01</x:v>
      </x:c>
      <x:c r="C154" s="7" t="str">
        <x:v>T1</x:v>
      </x:c>
      <x:c r="D154" s="7" t="str">
        <x:v>L05</x:v>
      </x:c>
      <x:c r="E154" s="7" t="str">
        <x:v>Stair opening deduction</x:v>
      </x:c>
      <x:c r="F154" s="20" t="n">
        <x:v>1</x:v>
      </x:c>
      <x:c r="G154" s="20" t="n">
        <x:f>'Controls'!$B$20</x:f>
        <x:v>4</x:v>
      </x:c>
      <x:c r="H154" s="20" t="n">
        <x:f>'Controls'!$B$21</x:f>
        <x:v>6</x:v>
      </x:c>
      <x:c r="I154" s="20" t="n">
        <x:v>1</x:v>
      </x:c>
      <x:c r="J154" s="20" t="n">
        <x:v>-1</x:v>
      </x:c>
      <x:c r="K154" s="20" t="n">
        <x:f>F154*G154*H154*I154*J154</x:f>
        <x:v>-24</x:v>
      </x:c>
      <x:c r="L154" s="7" t="str">
        <x:v>OP-01</x:v>
      </x:c>
      <x:c r="M154" s="2"/>
      <x:c r="N154" s="2"/>
      <x:c r="O154" s="2"/>
      <x:c r="P154" s="2"/>
      <x:c r="Q154" s="2"/>
    </x:row>
    <x:row r="155" ht="22" customHeight="1">
      <x:c r="A155" s="2" t="str">
        <x:v>M0148</x:v>
      </x:c>
      <x:c r="B155" s="2" t="str">
        <x:v>FW01</x:v>
      </x:c>
      <x:c r="C155" s="2" t="str">
        <x:v>T1</x:v>
      </x:c>
      <x:c r="D155" s="2" t="str">
        <x:v>L05</x:v>
      </x:c>
      <x:c r="E155" s="2" t="str">
        <x:v>Beam soffit deduction</x:v>
      </x:c>
      <x:c r="F155" s="21" t="n">
        <x:v>1</x:v>
      </x:c>
      <x:c r="G155" s="21" t="n">
        <x:f>5*5*('Controls'!$B$10/5-'Controls'!$B$14)+6*4*('Controls'!$B$11/4-'Controls'!$B$15)</x:f>
        <x:v>269.5</x:v>
      </x:c>
      <x:c r="H155" s="21" t="n">
        <x:f>'Controls'!$B$16</x:f>
        <x:v>0.3</x:v>
      </x:c>
      <x:c r="I155" s="21" t="n">
        <x:v>1</x:v>
      </x:c>
      <x:c r="J155" s="21" t="n">
        <x:v>-1</x:v>
      </x:c>
      <x:c r="K155" s="21" t="n">
        <x:f>F155*G155*H155*I155*J155</x:f>
        <x:v>-80.85</x:v>
      </x:c>
      <x:c r="L155" s="2" t="str">
        <x:v>Beam forms measured in FW02</x:v>
      </x:c>
      <x:c r="M155" s="2"/>
      <x:c r="N155" s="2"/>
      <x:c r="O155" s="2"/>
      <x:c r="P155" s="2"/>
      <x:c r="Q155" s="2"/>
    </x:row>
    <x:row r="156" ht="22" customHeight="1">
      <x:c r="A156" s="7" t="str">
        <x:v>M0149</x:v>
      </x:c>
      <x:c r="B156" s="7" t="str">
        <x:v>FW03</x:v>
      </x:c>
      <x:c r="C156" s="7" t="str">
        <x:v>T1</x:v>
      </x:c>
      <x:c r="D156" s="7" t="str">
        <x:v>L05</x:v>
      </x:c>
      <x:c r="E156" s="7" t="str">
        <x:v>Column four faces</x:v>
      </x:c>
      <x:c r="F156" s="20" t="n">
        <x:v>30</x:v>
      </x:c>
      <x:c r="G156" s="20" t="n">
        <x:f>2*('Controls'!$B$14+'Controls'!$B$15)</x:f>
        <x:v>2</x:v>
      </x:c>
      <x:c r="H156" s="20" t="n">
        <x:f>'Controls'!$B$12-'Controls'!$B$13</x:f>
        <x:v>2.98</x:v>
      </x:c>
      <x:c r="I156" s="20" t="n">
        <x:v>1</x:v>
      </x:c>
      <x:c r="J156" s="20" t="n">
        <x:v>1</x:v>
      </x:c>
      <x:c r="K156" s="20" t="n">
        <x:f>F156*G156*H156*I156*J156</x:f>
        <x:v>178.8</x:v>
      </x:c>
      <x:c r="L156" s="7" t="str">
        <x:v>Clear floor-to-soffit</x:v>
      </x:c>
      <x:c r="M156" s="2"/>
      <x:c r="N156" s="2"/>
      <x:c r="O156" s="2"/>
      <x:c r="P156" s="2"/>
      <x:c r="Q156" s="2"/>
    </x:row>
    <x:row r="157" ht="22" customHeight="1">
      <x:c r="A157" s="2" t="str">
        <x:v>M0150</x:v>
      </x:c>
      <x:c r="B157" s="2" t="str">
        <x:v>FW04</x:v>
      </x:c>
      <x:c r="C157" s="2" t="str">
        <x:v>T1</x:v>
      </x:c>
      <x:c r="D157" s="2" t="str">
        <x:v>L05</x:v>
      </x:c>
      <x:c r="E157" s="2" t="str">
        <x:v>Core wall two faces</x:v>
      </x:c>
      <x:c r="F157" s="21" t="n">
        <x:v>2</x:v>
      </x:c>
      <x:c r="G157" s="21" t="n">
        <x:f>'Controls'!$B$19</x:f>
        <x:v>24</x:v>
      </x:c>
      <x:c r="H157" s="21" t="n">
        <x:f>'Controls'!$B$12-'Controls'!$B$13</x:f>
        <x:v>2.98</x:v>
      </x:c>
      <x:c r="I157" s="21" t="n">
        <x:v>1</x:v>
      </x:c>
      <x:c r="J157" s="21" t="n">
        <x:v>1</x:v>
      </x:c>
      <x:c r="K157" s="21" t="n">
        <x:f>F157*G157*H157*I157*J157</x:f>
        <x:v>143.04</x:v>
      </x:c>
      <x:c r="L157" s="2" t="str">
        <x:v>Net perimeter, no repeated corners</x:v>
      </x:c>
      <x:c r="M157" s="2"/>
      <x:c r="N157" s="2"/>
      <x:c r="O157" s="2"/>
      <x:c r="P157" s="2"/>
      <x:c r="Q157" s="2"/>
    </x:row>
    <x:row r="158" ht="22" customHeight="1">
      <x:c r="A158" s="7" t="str">
        <x:v>M0151</x:v>
      </x:c>
      <x:c r="B158" s="7" t="str">
        <x:v>AR01</x:v>
      </x:c>
      <x:c r="C158" s="7" t="str">
        <x:v>T1</x:v>
      </x:c>
      <x:c r="D158" s="7" t="str">
        <x:v>L05</x:v>
      </x:c>
      <x:c r="E158" s="7" t="str">
        <x:v>Partition walls gross</x:v>
      </x:c>
      <x:c r="F158" s="20" t="n">
        <x:v>1</x:v>
      </x:c>
      <x:c r="G158" s="20" t="n">
        <x:f>'Controls'!$B$45</x:f>
        <x:v>220</x:v>
      </x:c>
      <x:c r="H158" s="20" t="n">
        <x:f>'Controls'!$B$12-'Controls'!$B$13</x:f>
        <x:v>2.98</x:v>
      </x:c>
      <x:c r="I158" s="20" t="n">
        <x:f>'Controls'!$B$46</x:f>
        <x:v>0.15</x:v>
      </x:c>
      <x:c r="J158" s="20" t="n">
        <x:v>1</x:v>
      </x:c>
      <x:c r="K158" s="20" t="n">
        <x:f>F158*G158*H158*I158*J158</x:f>
        <x:v>98.34</x:v>
      </x:c>
      <x:c r="L158" s="7" t="str">
        <x:v>Net openings deducted below</x:v>
      </x:c>
      <x:c r="M158" s="2"/>
      <x:c r="N158" s="2"/>
      <x:c r="O158" s="2"/>
      <x:c r="P158" s="2"/>
      <x:c r="Q158" s="2"/>
    </x:row>
    <x:row r="159" ht="22" customHeight="1">
      <x:c r="A159" s="2" t="str">
        <x:v>M0152</x:v>
      </x:c>
      <x:c r="B159" s="2" t="str">
        <x:v>AR01</x:v>
      </x:c>
      <x:c r="C159" s="2" t="str">
        <x:v>T1</x:v>
      </x:c>
      <x:c r="D159" s="2" t="str">
        <x:v>L05</x:v>
      </x:c>
      <x:c r="E159" s="2" t="str">
        <x:v>Internal doors deduction</x:v>
      </x:c>
      <x:c r="F159" s="21" t="n">
        <x:f>'Controls'!$B$48</x:f>
        <x:v>28</x:v>
      </x:c>
      <x:c r="G159" s="21" t="n">
        <x:f>'Controls'!$B$49</x:f>
        <x:v>0.9</x:v>
      </x:c>
      <x:c r="H159" s="21" t="n">
        <x:f>'Controls'!$B$50</x:f>
        <x:v>2.1</x:v>
      </x:c>
      <x:c r="I159" s="21" t="n">
        <x:f>'Controls'!$B$46</x:f>
        <x:v>0.15</x:v>
      </x:c>
      <x:c r="J159" s="21" t="n">
        <x:v>-1</x:v>
      </x:c>
      <x:c r="K159" s="21" t="n">
        <x:f>F159*G159*H159*I159*J159</x:f>
        <x:v>-7.938</x:v>
      </x:c>
      <x:c r="L159" s="2" t="str">
        <x:v>28 doors per floor, OP-02</x:v>
      </x:c>
      <x:c r="M159" s="2"/>
      <x:c r="N159" s="2"/>
      <x:c r="O159" s="2"/>
      <x:c r="P159" s="2"/>
      <x:c r="Q159" s="2"/>
    </x:row>
    <x:row r="160" ht="22" customHeight="1">
      <x:c r="A160" s="7" t="str">
        <x:v>M0153</x:v>
      </x:c>
      <x:c r="B160" s="7" t="str">
        <x:v>AR02</x:v>
      </x:c>
      <x:c r="C160" s="7" t="str">
        <x:v>T1</x:v>
      </x:c>
      <x:c r="D160" s="7" t="str">
        <x:v>L05</x:v>
      </x:c>
      <x:c r="E160" s="7" t="str">
        <x:v>Internal plaster gross</x:v>
      </x:c>
      <x:c r="F160" s="20" t="n">
        <x:v>2</x:v>
      </x:c>
      <x:c r="G160" s="20" t="n">
        <x:f>'Controls'!$B$45</x:f>
        <x:v>220</x:v>
      </x:c>
      <x:c r="H160" s="20" t="n">
        <x:f>'Controls'!$B$12-'Controls'!$B$13</x:f>
        <x:v>2.98</x:v>
      </x:c>
      <x:c r="I160" s="20" t="n">
        <x:v>1</x:v>
      </x:c>
      <x:c r="J160" s="20" t="n">
        <x:v>1</x:v>
      </x:c>
      <x:c r="K160" s="20" t="n">
        <x:f>F160*G160*H160*I160*J160</x:f>
        <x:v>1311.2</x:v>
      </x:c>
      <x:c r="L160" s="7" t="str">
        <x:v>Both faces of partition walls</x:v>
      </x:c>
      <x:c r="M160" s="2"/>
      <x:c r="N160" s="2"/>
      <x:c r="O160" s="2"/>
      <x:c r="P160" s="2"/>
      <x:c r="Q160" s="2"/>
    </x:row>
    <x:row r="161" ht="22" customHeight="1">
      <x:c r="A161" s="2" t="str">
        <x:v>M0154</x:v>
      </x:c>
      <x:c r="B161" s="2" t="str">
        <x:v>AR02</x:v>
      </x:c>
      <x:c r="C161" s="2" t="str">
        <x:v>T1</x:v>
      </x:c>
      <x:c r="D161" s="2" t="str">
        <x:v>L05</x:v>
      </x:c>
      <x:c r="E161" s="2" t="str">
        <x:v>Door area deduction both faces</x:v>
      </x:c>
      <x:c r="F161" s="21" t="n">
        <x:f>2*'Controls'!$B$48</x:f>
        <x:v>56</x:v>
      </x:c>
      <x:c r="G161" s="21" t="n">
        <x:f>'Controls'!$B$49</x:f>
        <x:v>0.9</x:v>
      </x:c>
      <x:c r="H161" s="21" t="n">
        <x:f>'Controls'!$B$50</x:f>
        <x:v>2.1</x:v>
      </x:c>
      <x:c r="I161" s="21" t="n">
        <x:v>1</x:v>
      </x:c>
      <x:c r="J161" s="21" t="n">
        <x:v>-1</x:v>
      </x:c>
      <x:c r="K161" s="21" t="n">
        <x:f>F161*G161*H161*I161*J161</x:f>
        <x:v>-105.84</x:v>
      </x:c>
      <x:c r="L161" s="2" t="str">
        <x:v>No plaster over openings</x:v>
      </x:c>
      <x:c r="M161" s="2"/>
      <x:c r="N161" s="2"/>
      <x:c r="O161" s="2"/>
      <x:c r="P161" s="2"/>
      <x:c r="Q161" s="2"/>
    </x:row>
    <x:row r="162" ht="22" customHeight="1">
      <x:c r="A162" s="7" t="str">
        <x:v>M0155</x:v>
      </x:c>
      <x:c r="B162" s="7" t="str">
        <x:v>AR03</x:v>
      </x:c>
      <x:c r="C162" s="7" t="str">
        <x:v>T1</x:v>
      </x:c>
      <x:c r="D162" s="7" t="str">
        <x:v>L05</x:v>
      </x:c>
      <x:c r="E162" s="7" t="str">
        <x:v>Floor screed net</x:v>
      </x:c>
      <x:c r="F162" s="20" t="n">
        <x:v>1</x:v>
      </x:c>
      <x:c r="G162" s="20" t="n">
        <x:f>'Controls'!$B$10*'Controls'!$B$11-'Controls'!$B$20*'Controls'!$B$21</x:f>
        <x:v>696</x:v>
      </x:c>
      <x:c r="H162" s="20" t="n">
        <x:v>1</x:v>
      </x:c>
      <x:c r="I162" s="20" t="n">
        <x:v>1</x:v>
      </x:c>
      <x:c r="J162" s="20" t="n">
        <x:v>1</x:v>
      </x:c>
      <x:c r="K162" s="20" t="n">
        <x:f>F162*G162*H162*I162*J162</x:f>
        <x:v>696</x:v>
      </x:c>
      <x:c r="L162" s="7" t="str">
        <x:v>Net structural floor area</x:v>
      </x:c>
      <x:c r="M162" s="2"/>
      <x:c r="N162" s="2"/>
      <x:c r="O162" s="2"/>
      <x:c r="P162" s="2"/>
      <x:c r="Q162" s="2"/>
    </x:row>
    <x:row r="163" ht="22" customHeight="1">
      <x:c r="A163" s="2" t="str">
        <x:v>M0156</x:v>
      </x:c>
      <x:c r="B163" s="2" t="str">
        <x:v>AR04</x:v>
      </x:c>
      <x:c r="C163" s="2" t="str">
        <x:v>T1</x:v>
      </x:c>
      <x:c r="D163" s="2" t="str">
        <x:v>L05</x:v>
      </x:c>
      <x:c r="E163" s="2" t="str">
        <x:v>Floor finish net</x:v>
      </x:c>
      <x:c r="F163" s="21" t="n">
        <x:v>1</x:v>
      </x:c>
      <x:c r="G163" s="21" t="n">
        <x:f>'Controls'!$B$10*'Controls'!$B$11-'Controls'!$B$20*'Controls'!$B$21</x:f>
        <x:v>696</x:v>
      </x:c>
      <x:c r="H163" s="21" t="n">
        <x:v>1</x:v>
      </x:c>
      <x:c r="I163" s="21" t="n">
        <x:v>1</x:v>
      </x:c>
      <x:c r="J163" s="21" t="n">
        <x:v>1</x:v>
      </x:c>
      <x:c r="K163" s="21" t="n">
        <x:f>F163*G163*H163*I163*J163</x:f>
        <x:v>696</x:v>
      </x:c>
      <x:c r="L163" s="2" t="str">
        <x:v>Waste excluded from BOQ</x:v>
      </x:c>
      <x:c r="M163" s="2"/>
      <x:c r="N163" s="2"/>
      <x:c r="O163" s="2"/>
      <x:c r="P163" s="2"/>
      <x:c r="Q163" s="2"/>
    </x:row>
    <x:row r="164" ht="22" customHeight="1">
      <x:c r="A164" s="7" t="str">
        <x:v>M0157</x:v>
      </x:c>
      <x:c r="B164" s="7" t="str">
        <x:v>AR05</x:v>
      </x:c>
      <x:c r="C164" s="7" t="str">
        <x:v>T1</x:v>
      </x:c>
      <x:c r="D164" s="7" t="str">
        <x:v>L05</x:v>
      </x:c>
      <x:c r="E164" s="7" t="str">
        <x:v>Internal wall paint net</x:v>
      </x:c>
      <x:c r="F164" s="20" t="n">
        <x:v>2</x:v>
      </x:c>
      <x:c r="G164" s="20" t="n">
        <x:f>'Controls'!$B$45*('Controls'!$B$12-'Controls'!$B$13)-'Controls'!$B$48*'Controls'!$B$49*'Controls'!$B$50</x:f>
        <x:v>602.6800000000001</x:v>
      </x:c>
      <x:c r="H164" s="20" t="n">
        <x:v>1</x:v>
      </x:c>
      <x:c r="I164" s="20" t="n">
        <x:v>1</x:v>
      </x:c>
      <x:c r="J164" s="20" t="n">
        <x:v>1</x:v>
      </x:c>
      <x:c r="K164" s="20" t="n">
        <x:f>F164*G164*H164*I164*J164</x:f>
        <x:v>1205.3600000000001</x:v>
      </x:c>
      <x:c r="L164" s="7" t="str">
        <x:v>Finished area; two coats priced in rate</x:v>
      </x:c>
      <x:c r="M164" s="2"/>
      <x:c r="N164" s="2"/>
      <x:c r="O164" s="2"/>
      <x:c r="P164" s="2"/>
      <x:c r="Q164" s="2"/>
    </x:row>
    <x:row r="165" ht="22" customHeight="1">
      <x:c r="A165" s="2" t="str">
        <x:v>M0158</x:v>
      </x:c>
      <x:c r="B165" s="2" t="str">
        <x:v>AR06</x:v>
      </x:c>
      <x:c r="C165" s="2" t="str">
        <x:v>T1</x:v>
      </x:c>
      <x:c r="D165" s="2" t="str">
        <x:v>L05</x:v>
      </x:c>
      <x:c r="E165" s="2" t="str">
        <x:v>Door sets</x:v>
      </x:c>
      <x:c r="F165" s="21" t="n">
        <x:f>'Controls'!$B$48</x:f>
        <x:v>28</x:v>
      </x:c>
      <x:c r="G165" s="21" t="n">
        <x:v>1</x:v>
      </x:c>
      <x:c r="H165" s="21" t="n">
        <x:v>1</x:v>
      </x:c>
      <x:c r="I165" s="21" t="n">
        <x:v>1</x:v>
      </x:c>
      <x:c r="J165" s="21" t="n">
        <x:v>1</x:v>
      </x:c>
      <x:c r="K165" s="21" t="n">
        <x:f>F165*G165*H165*I165*J165</x:f>
        <x:v>28</x:v>
      </x:c>
      <x:c r="L165" s="2" t="str">
        <x:v>Door count, not double face</x:v>
      </x:c>
      <x:c r="M165" s="2"/>
      <x:c r="N165" s="2"/>
      <x:c r="O165" s="2"/>
      <x:c r="P165" s="2"/>
      <x:c r="Q165" s="2"/>
    </x:row>
    <x:row r="166" ht="22" customHeight="1">
      <x:c r="A166" s="7" t="str">
        <x:v>M0159</x:v>
      </x:c>
      <x:c r="B166" s="7" t="str">
        <x:v>RC03</x:v>
      </x:c>
      <x:c r="C166" s="7" t="str">
        <x:v>T1</x:v>
      </x:c>
      <x:c r="D166" s="7" t="str">
        <x:v>L06</x:v>
      </x:c>
      <x:c r="E166" s="7" t="str">
        <x:v>Floor slab gross</x:v>
      </x:c>
      <x:c r="F166" s="20" t="n">
        <x:v>1</x:v>
      </x:c>
      <x:c r="G166" s="20" t="n">
        <x:f>'Controls'!$B$10</x:f>
        <x:v>30</x:v>
      </x:c>
      <x:c r="H166" s="20" t="n">
        <x:f>'Controls'!$B$11</x:f>
        <x:v>24</x:v>
      </x:c>
      <x:c r="I166" s="20" t="n">
        <x:f>'Controls'!$B$13</x:f>
        <x:v>0.22</x:v>
      </x:c>
      <x:c r="J166" s="20" t="n">
        <x:v>1</x:v>
      </x:c>
      <x:c r="K166" s="20" t="n">
        <x:f>F166*G166*H166*I166*J166</x:f>
        <x:v>158.4</x:v>
      </x:c>
      <x:c r="L166" s="7" t="str">
        <x:v>Slab includes beam top flange; downstand separate</x:v>
      </x:c>
      <x:c r="M166" s="2"/>
      <x:c r="N166" s="2"/>
      <x:c r="O166" s="2"/>
      <x:c r="P166" s="2"/>
      <x:c r="Q166" s="2"/>
    </x:row>
    <x:row r="167" ht="22" customHeight="1">
      <x:c r="A167" s="2" t="str">
        <x:v>M0160</x:v>
      </x:c>
      <x:c r="B167" s="2" t="str">
        <x:v>RC03</x:v>
      </x:c>
      <x:c r="C167" s="2" t="str">
        <x:v>T1</x:v>
      </x:c>
      <x:c r="D167" s="2" t="str">
        <x:v>L06</x:v>
      </x:c>
      <x:c r="E167" s="2" t="str">
        <x:v>Stair opening deduction</x:v>
      </x:c>
      <x:c r="F167" s="21" t="n">
        <x:v>1</x:v>
      </x:c>
      <x:c r="G167" s="21" t="n">
        <x:f>'Controls'!$B$20</x:f>
        <x:v>4</x:v>
      </x:c>
      <x:c r="H167" s="21" t="n">
        <x:f>'Controls'!$B$21</x:f>
        <x:v>6</x:v>
      </x:c>
      <x:c r="I167" s="21" t="n">
        <x:f>'Controls'!$B$13</x:f>
        <x:v>0.22</x:v>
      </x:c>
      <x:c r="J167" s="21" t="n">
        <x:v>-1</x:v>
      </x:c>
      <x:c r="K167" s="21" t="n">
        <x:f>F167*G167*H167*I167*J167</x:f>
        <x:v>-5.28</x:v>
      </x:c>
      <x:c r="L167" s="2" t="str">
        <x:v>Opening OP-01</x:v>
      </x:c>
      <x:c r="M167" s="2"/>
      <x:c r="N167" s="2"/>
      <x:c r="O167" s="2"/>
      <x:c r="P167" s="2"/>
      <x:c r="Q167" s="2"/>
    </x:row>
    <x:row r="168" ht="22" customHeight="1">
      <x:c r="A168" s="7" t="str">
        <x:v>M0161</x:v>
      </x:c>
      <x:c r="B168" s="7" t="str">
        <x:v>RC04</x:v>
      </x:c>
      <x:c r="C168" s="7" t="str">
        <x:v>T1</x:v>
      </x:c>
      <x:c r="D168" s="7" t="str">
        <x:v>L06</x:v>
      </x:c>
      <x:c r="E168" s="7" t="str">
        <x:v>Beam downstands X</x:v>
      </x:c>
      <x:c r="F168" s="20" t="n">
        <x:v>1</x:v>
      </x:c>
      <x:c r="G168" s="20" t="n">
        <x:f>5*5*('Controls'!$B$10/5-'Controls'!$B$14)</x:f>
        <x:v>137.5</x:v>
      </x:c>
      <x:c r="H168" s="20" t="n">
        <x:f>'Controls'!$B$16</x:f>
        <x:v>0.3</x:v>
      </x:c>
      <x:c r="I168" s="20" t="n">
        <x:f>'Controls'!$B$17-'Controls'!$B$13</x:f>
        <x:v>0.38</x:v>
      </x:c>
      <x:c r="J168" s="20" t="n">
        <x:v>1</x:v>
      </x:c>
      <x:c r="K168" s="20" t="n">
        <x:f>F168*G168*H168*I168*J168</x:f>
        <x:v>15.675</x:v>
      </x:c>
      <x:c r="L168" s="7" t="str">
        <x:v>Clear spans between column faces; no joint overlap</x:v>
      </x:c>
      <x:c r="M168" s="2"/>
      <x:c r="N168" s="2"/>
      <x:c r="O168" s="2"/>
      <x:c r="P168" s="2"/>
      <x:c r="Q168" s="2"/>
    </x:row>
    <x:row r="169" ht="22" customHeight="1">
      <x:c r="A169" s="2" t="str">
        <x:v>M0162</x:v>
      </x:c>
      <x:c r="B169" s="2" t="str">
        <x:v>FW02</x:v>
      </x:c>
      <x:c r="C169" s="2" t="str">
        <x:v>T1</x:v>
      </x:c>
      <x:c r="D169" s="2" t="str">
        <x:v>L06</x:v>
      </x:c>
      <x:c r="E169" s="2" t="str">
        <x:v>Beam forms X</x:v>
      </x:c>
      <x:c r="F169" s="21" t="n">
        <x:v>1</x:v>
      </x:c>
      <x:c r="G169" s="21" t="n">
        <x:f>5*5*('Controls'!$B$10/5-'Controls'!$B$14)</x:f>
        <x:v>137.5</x:v>
      </x:c>
      <x:c r="H169" s="21" t="n">
        <x:f>'Controls'!$B$16+2*('Controls'!$B$17-'Controls'!$B$13)</x:f>
        <x:v>1.06</x:v>
      </x:c>
      <x:c r="I169" s="21" t="n">
        <x:v>1</x:v>
      </x:c>
      <x:c r="J169" s="21" t="n">
        <x:v>1</x:v>
      </x:c>
      <x:c r="K169" s="21" t="n">
        <x:f>F169*G169*H169*I169*J169</x:f>
        <x:v>145.75</x:v>
      </x:c>
      <x:c r="L169" s="2" t="str">
        <x:v>Soffit plus two downstand sides</x:v>
      </x:c>
      <x:c r="M169" s="2"/>
      <x:c r="N169" s="2"/>
      <x:c r="O169" s="2"/>
      <x:c r="P169" s="2"/>
      <x:c r="Q169" s="2"/>
    </x:row>
    <x:row r="170" ht="22" customHeight="1">
      <x:c r="A170" s="7" t="str">
        <x:v>M0163</x:v>
      </x:c>
      <x:c r="B170" s="7" t="str">
        <x:v>RC04</x:v>
      </x:c>
      <x:c r="C170" s="7" t="str">
        <x:v>T1</x:v>
      </x:c>
      <x:c r="D170" s="7" t="str">
        <x:v>L06</x:v>
      </x:c>
      <x:c r="E170" s="7" t="str">
        <x:v>Beam downstands Y</x:v>
      </x:c>
      <x:c r="F170" s="20" t="n">
        <x:v>1</x:v>
      </x:c>
      <x:c r="G170" s="20" t="n">
        <x:f>6*4*('Controls'!$B$11/4-'Controls'!$B$15)</x:f>
        <x:v>132</x:v>
      </x:c>
      <x:c r="H170" s="20" t="n">
        <x:f>'Controls'!$B$16</x:f>
        <x:v>0.3</x:v>
      </x:c>
      <x:c r="I170" s="20" t="n">
        <x:f>'Controls'!$B$17-'Controls'!$B$13</x:f>
        <x:v>0.38</x:v>
      </x:c>
      <x:c r="J170" s="20" t="n">
        <x:v>1</x:v>
      </x:c>
      <x:c r="K170" s="20" t="n">
        <x:f>F170*G170*H170*I170*J170</x:f>
        <x:v>15.048</x:v>
      </x:c>
      <x:c r="L170" s="7" t="str">
        <x:v>Clear spans between column faces; no joint overlap</x:v>
      </x:c>
      <x:c r="M170" s="2"/>
      <x:c r="N170" s="2"/>
      <x:c r="O170" s="2"/>
      <x:c r="P170" s="2"/>
      <x:c r="Q170" s="2"/>
    </x:row>
    <x:row r="171" ht="22" customHeight="1">
      <x:c r="A171" s="2" t="str">
        <x:v>M0164</x:v>
      </x:c>
      <x:c r="B171" s="2" t="str">
        <x:v>FW02</x:v>
      </x:c>
      <x:c r="C171" s="2" t="str">
        <x:v>T1</x:v>
      </x:c>
      <x:c r="D171" s="2" t="str">
        <x:v>L06</x:v>
      </x:c>
      <x:c r="E171" s="2" t="str">
        <x:v>Beam forms Y</x:v>
      </x:c>
      <x:c r="F171" s="21" t="n">
        <x:v>1</x:v>
      </x:c>
      <x:c r="G171" s="21" t="n">
        <x:f>6*4*('Controls'!$B$11/4-'Controls'!$B$15)</x:f>
        <x:v>132</x:v>
      </x:c>
      <x:c r="H171" s="21" t="n">
        <x:f>'Controls'!$B$16+2*('Controls'!$B$17-'Controls'!$B$13)</x:f>
        <x:v>1.06</x:v>
      </x:c>
      <x:c r="I171" s="21" t="n">
        <x:v>1</x:v>
      </x:c>
      <x:c r="J171" s="21" t="n">
        <x:v>1</x:v>
      </x:c>
      <x:c r="K171" s="21" t="n">
        <x:f>F171*G171*H171*I171*J171</x:f>
        <x:v>139.92000000000002</x:v>
      </x:c>
      <x:c r="L171" s="2" t="str">
        <x:v>Soffit plus two downstand sides</x:v>
      </x:c>
      <x:c r="M171" s="2"/>
      <x:c r="N171" s="2"/>
      <x:c r="O171" s="2"/>
      <x:c r="P171" s="2"/>
      <x:c r="Q171" s="2"/>
    </x:row>
    <x:row r="172" ht="22" customHeight="1">
      <x:c r="A172" s="7" t="str">
        <x:v>M0165</x:v>
      </x:c>
      <x:c r="B172" s="7" t="str">
        <x:v>RC05</x:v>
      </x:c>
      <x:c r="C172" s="7" t="str">
        <x:v>T1</x:v>
      </x:c>
      <x:c r="D172" s="7" t="str">
        <x:v>L06</x:v>
      </x:c>
      <x:c r="E172" s="7" t="str">
        <x:v>Thirty columns, clear storey</x:v>
      </x:c>
      <x:c r="F172" s="20" t="n">
        <x:v>30</x:v>
      </x:c>
      <x:c r="G172" s="20" t="n">
        <x:f>'Controls'!$B$14</x:f>
        <x:v>0.5</x:v>
      </x:c>
      <x:c r="H172" s="20" t="n">
        <x:f>'Controls'!$B$15</x:f>
        <x:v>0.5</x:v>
      </x:c>
      <x:c r="I172" s="20" t="n">
        <x:f>'Controls'!$B$12-'Controls'!$B$13</x:f>
        <x:v>2.98</x:v>
      </x:c>
      <x:c r="J172" s="20" t="n">
        <x:v>1</x:v>
      </x:c>
      <x:c r="K172" s="20" t="n">
        <x:f>F172*G172*H172*I172*J172</x:f>
        <x:v>22.35</x:v>
      </x:c>
      <x:c r="L172" s="7" t="str">
        <x:v>Slab volume excluded from columns</x:v>
      </x:c>
      <x:c r="M172" s="2"/>
      <x:c r="N172" s="2"/>
      <x:c r="O172" s="2"/>
      <x:c r="P172" s="2"/>
      <x:c r="Q172" s="2"/>
    </x:row>
    <x:row r="173" ht="22" customHeight="1">
      <x:c r="A173" s="2" t="str">
        <x:v>M0166</x:v>
      </x:c>
      <x:c r="B173" s="2" t="str">
        <x:v>RC06</x:v>
      </x:c>
      <x:c r="C173" s="2" t="str">
        <x:v>T1</x:v>
      </x:c>
      <x:c r="D173" s="2" t="str">
        <x:v>L06</x:v>
      </x:c>
      <x:c r="E173" s="2" t="str">
        <x:v>Core walls clear storey</x:v>
      </x:c>
      <x:c r="F173" s="21" t="n">
        <x:v>1</x:v>
      </x:c>
      <x:c r="G173" s="21" t="n">
        <x:f>'Controls'!$B$19</x:f>
        <x:v>24</x:v>
      </x:c>
      <x:c r="H173" s="21" t="n">
        <x:f>'Controls'!$B$18</x:f>
        <x:v>0.25</x:v>
      </x:c>
      <x:c r="I173" s="21" t="n">
        <x:f>'Controls'!$B$12-'Controls'!$B$13</x:f>
        <x:v>2.98</x:v>
      </x:c>
      <x:c r="J173" s="21" t="n">
        <x:v>1</x:v>
      </x:c>
      <x:c r="K173" s="21" t="n">
        <x:f>F173*G173*H173*I173*J173</x:f>
        <x:v>17.88</x:v>
      </x:c>
      <x:c r="L173" s="2" t="str">
        <x:v>Net clear wall length excludes corners</x:v>
      </x:c>
      <x:c r="M173" s="2"/>
      <x:c r="N173" s="2"/>
      <x:c r="O173" s="2"/>
      <x:c r="P173" s="2"/>
      <x:c r="Q173" s="2"/>
    </x:row>
    <x:row r="174" ht="22" customHeight="1">
      <x:c r="A174" s="7" t="str">
        <x:v>M0167</x:v>
      </x:c>
      <x:c r="B174" s="7" t="str">
        <x:v>RC07</x:v>
      </x:c>
      <x:c r="C174" s="7" t="str">
        <x:v>T1</x:v>
      </x:c>
      <x:c r="D174" s="7" t="str">
        <x:v>L06</x:v>
      </x:c>
      <x:c r="E174" s="7" t="str">
        <x:v>Stair flights waist</x:v>
      </x:c>
      <x:c r="F174" s="20" t="n">
        <x:v>2</x:v>
      </x:c>
      <x:c r="G174" s="20" t="n">
        <x:v>4.1</x:v>
      </x:c>
      <x:c r="H174" s="20" t="n">
        <x:v>1.2</x:v>
      </x:c>
      <x:c r="I174" s="20" t="n">
        <x:v>0.18</x:v>
      </x:c>
      <x:c r="J174" s="20" t="n">
        <x:v>1</x:v>
      </x:c>
      <x:c r="K174" s="20" t="n">
        <x:f>F174*G174*H174*I174*J174</x:f>
        <x:v>1.7711999999999997</x:v>
      </x:c>
      <x:c r="L174" s="7" t="str">
        <x:v>Two flights; geometry separate from floor slab</x:v>
      </x:c>
      <x:c r="M174" s="2"/>
      <x:c r="N174" s="2"/>
      <x:c r="O174" s="2"/>
      <x:c r="P174" s="2"/>
      <x:c r="Q174" s="2"/>
    </x:row>
    <x:row r="175" ht="22" customHeight="1">
      <x:c r="A175" s="2" t="str">
        <x:v>M0168</x:v>
      </x:c>
      <x:c r="B175" s="2" t="str">
        <x:v>RC07</x:v>
      </x:c>
      <x:c r="C175" s="2" t="str">
        <x:v>T1</x:v>
      </x:c>
      <x:c r="D175" s="2" t="str">
        <x:v>L06</x:v>
      </x:c>
      <x:c r="E175" s="2" t="str">
        <x:v>Stair landings</x:v>
      </x:c>
      <x:c r="F175" s="21" t="n">
        <x:v>2</x:v>
      </x:c>
      <x:c r="G175" s="21" t="n">
        <x:v>2</x:v>
      </x:c>
      <x:c r="H175" s="21" t="n">
        <x:v>1.2</x:v>
      </x:c>
      <x:c r="I175" s="21" t="n">
        <x:v>0.18</x:v>
      </x:c>
      <x:c r="J175" s="21" t="n">
        <x:v>1</x:v>
      </x:c>
      <x:c r="K175" s="21" t="n">
        <x:f>F175*G175*H175*I175*J175</x:f>
        <x:v>0.864</x:v>
      </x:c>
      <x:c r="L175" s="2" t="str">
        <x:v>Within stair opening</x:v>
      </x:c>
      <x:c r="M175" s="2"/>
      <x:c r="N175" s="2"/>
      <x:c r="O175" s="2"/>
      <x:c r="P175" s="2"/>
      <x:c r="Q175" s="2"/>
    </x:row>
    <x:row r="176" ht="22" customHeight="1">
      <x:c r="A176" s="7" t="str">
        <x:v>M0169</x:v>
      </x:c>
      <x:c r="B176" s="7" t="str">
        <x:v>FW01</x:v>
      </x:c>
      <x:c r="C176" s="7" t="str">
        <x:v>T1</x:v>
      </x:c>
      <x:c r="D176" s="7" t="str">
        <x:v>L06</x:v>
      </x:c>
      <x:c r="E176" s="7" t="str">
        <x:v>Slab soffit gross</x:v>
      </x:c>
      <x:c r="F176" s="20" t="n">
        <x:v>1</x:v>
      </x:c>
      <x:c r="G176" s="20" t="n">
        <x:f>'Controls'!$B$10</x:f>
        <x:v>30</x:v>
      </x:c>
      <x:c r="H176" s="20" t="n">
        <x:f>'Controls'!$B$11</x:f>
        <x:v>24</x:v>
      </x:c>
      <x:c r="I176" s="20" t="n">
        <x:v>1</x:v>
      </x:c>
      <x:c r="J176" s="20" t="n">
        <x:v>1</x:v>
      </x:c>
      <x:c r="K176" s="20" t="n">
        <x:f>F176*G176*H176*I176*J176</x:f>
        <x:v>720</x:v>
      </x:c>
      <x:c r="L176" s="7" t="str">
        <x:v>Beam soffit deducted below</x:v>
      </x:c>
      <x:c r="M176" s="2"/>
      <x:c r="N176" s="2"/>
      <x:c r="O176" s="2"/>
      <x:c r="P176" s="2"/>
      <x:c r="Q176" s="2"/>
    </x:row>
    <x:row r="177" ht="22" customHeight="1">
      <x:c r="A177" s="2" t="str">
        <x:v>M0170</x:v>
      </x:c>
      <x:c r="B177" s="2" t="str">
        <x:v>FW01</x:v>
      </x:c>
      <x:c r="C177" s="2" t="str">
        <x:v>T1</x:v>
      </x:c>
      <x:c r="D177" s="2" t="str">
        <x:v>L06</x:v>
      </x:c>
      <x:c r="E177" s="2" t="str">
        <x:v>Stair opening deduction</x:v>
      </x:c>
      <x:c r="F177" s="21" t="n">
        <x:v>1</x:v>
      </x:c>
      <x:c r="G177" s="21" t="n">
        <x:f>'Controls'!$B$20</x:f>
        <x:v>4</x:v>
      </x:c>
      <x:c r="H177" s="21" t="n">
        <x:f>'Controls'!$B$21</x:f>
        <x:v>6</x:v>
      </x:c>
      <x:c r="I177" s="21" t="n">
        <x:v>1</x:v>
      </x:c>
      <x:c r="J177" s="21" t="n">
        <x:v>-1</x:v>
      </x:c>
      <x:c r="K177" s="21" t="n">
        <x:f>F177*G177*H177*I177*J177</x:f>
        <x:v>-24</x:v>
      </x:c>
      <x:c r="L177" s="2" t="str">
        <x:v>OP-01</x:v>
      </x:c>
      <x:c r="M177" s="2"/>
      <x:c r="N177" s="2"/>
      <x:c r="O177" s="2"/>
      <x:c r="P177" s="2"/>
      <x:c r="Q177" s="2"/>
    </x:row>
    <x:row r="178" ht="22" customHeight="1">
      <x:c r="A178" s="7" t="str">
        <x:v>M0171</x:v>
      </x:c>
      <x:c r="B178" s="7" t="str">
        <x:v>FW01</x:v>
      </x:c>
      <x:c r="C178" s="7" t="str">
        <x:v>T1</x:v>
      </x:c>
      <x:c r="D178" s="7" t="str">
        <x:v>L06</x:v>
      </x:c>
      <x:c r="E178" s="7" t="str">
        <x:v>Beam soffit deduction</x:v>
      </x:c>
      <x:c r="F178" s="20" t="n">
        <x:v>1</x:v>
      </x:c>
      <x:c r="G178" s="20" t="n">
        <x:f>5*5*('Controls'!$B$10/5-'Controls'!$B$14)+6*4*('Controls'!$B$11/4-'Controls'!$B$15)</x:f>
        <x:v>269.5</x:v>
      </x:c>
      <x:c r="H178" s="20" t="n">
        <x:f>'Controls'!$B$16</x:f>
        <x:v>0.3</x:v>
      </x:c>
      <x:c r="I178" s="20" t="n">
        <x:v>1</x:v>
      </x:c>
      <x:c r="J178" s="20" t="n">
        <x:v>-1</x:v>
      </x:c>
      <x:c r="K178" s="20" t="n">
        <x:f>F178*G178*H178*I178*J178</x:f>
        <x:v>-80.85</x:v>
      </x:c>
      <x:c r="L178" s="7" t="str">
        <x:v>Beam forms measured in FW02</x:v>
      </x:c>
      <x:c r="M178" s="2"/>
      <x:c r="N178" s="2"/>
      <x:c r="O178" s="2"/>
      <x:c r="P178" s="2"/>
      <x:c r="Q178" s="2"/>
    </x:row>
    <x:row r="179" ht="22" customHeight="1">
      <x:c r="A179" s="2" t="str">
        <x:v>M0172</x:v>
      </x:c>
      <x:c r="B179" s="2" t="str">
        <x:v>FW03</x:v>
      </x:c>
      <x:c r="C179" s="2" t="str">
        <x:v>T1</x:v>
      </x:c>
      <x:c r="D179" s="2" t="str">
        <x:v>L06</x:v>
      </x:c>
      <x:c r="E179" s="2" t="str">
        <x:v>Column four faces</x:v>
      </x:c>
      <x:c r="F179" s="21" t="n">
        <x:v>30</x:v>
      </x:c>
      <x:c r="G179" s="21" t="n">
        <x:f>2*('Controls'!$B$14+'Controls'!$B$15)</x:f>
        <x:v>2</x:v>
      </x:c>
      <x:c r="H179" s="21" t="n">
        <x:f>'Controls'!$B$12-'Controls'!$B$13</x:f>
        <x:v>2.98</x:v>
      </x:c>
      <x:c r="I179" s="21" t="n">
        <x:v>1</x:v>
      </x:c>
      <x:c r="J179" s="21" t="n">
        <x:v>1</x:v>
      </x:c>
      <x:c r="K179" s="21" t="n">
        <x:f>F179*G179*H179*I179*J179</x:f>
        <x:v>178.8</x:v>
      </x:c>
      <x:c r="L179" s="2" t="str">
        <x:v>Clear floor-to-soffit</x:v>
      </x:c>
      <x:c r="M179" s="2"/>
      <x:c r="N179" s="2"/>
      <x:c r="O179" s="2"/>
      <x:c r="P179" s="2"/>
      <x:c r="Q179" s="2"/>
    </x:row>
    <x:row r="180" ht="22" customHeight="1">
      <x:c r="A180" s="7" t="str">
        <x:v>M0173</x:v>
      </x:c>
      <x:c r="B180" s="7" t="str">
        <x:v>FW04</x:v>
      </x:c>
      <x:c r="C180" s="7" t="str">
        <x:v>T1</x:v>
      </x:c>
      <x:c r="D180" s="7" t="str">
        <x:v>L06</x:v>
      </x:c>
      <x:c r="E180" s="7" t="str">
        <x:v>Core wall two faces</x:v>
      </x:c>
      <x:c r="F180" s="20" t="n">
        <x:v>2</x:v>
      </x:c>
      <x:c r="G180" s="20" t="n">
        <x:f>'Controls'!$B$19</x:f>
        <x:v>24</x:v>
      </x:c>
      <x:c r="H180" s="20" t="n">
        <x:f>'Controls'!$B$12-'Controls'!$B$13</x:f>
        <x:v>2.98</x:v>
      </x:c>
      <x:c r="I180" s="20" t="n">
        <x:v>1</x:v>
      </x:c>
      <x:c r="J180" s="20" t="n">
        <x:v>1</x:v>
      </x:c>
      <x:c r="K180" s="20" t="n">
        <x:f>F180*G180*H180*I180*J180</x:f>
        <x:v>143.04</x:v>
      </x:c>
      <x:c r="L180" s="7" t="str">
        <x:v>Net perimeter, no repeated corners</x:v>
      </x:c>
      <x:c r="M180" s="2"/>
      <x:c r="N180" s="2"/>
      <x:c r="O180" s="2"/>
      <x:c r="P180" s="2"/>
      <x:c r="Q180" s="2"/>
    </x:row>
    <x:row r="181" ht="22" customHeight="1">
      <x:c r="A181" s="2" t="str">
        <x:v>M0174</x:v>
      </x:c>
      <x:c r="B181" s="2" t="str">
        <x:v>AR01</x:v>
      </x:c>
      <x:c r="C181" s="2" t="str">
        <x:v>T1</x:v>
      </x:c>
      <x:c r="D181" s="2" t="str">
        <x:v>L06</x:v>
      </x:c>
      <x:c r="E181" s="2" t="str">
        <x:v>Partition walls gross</x:v>
      </x:c>
      <x:c r="F181" s="21" t="n">
        <x:v>1</x:v>
      </x:c>
      <x:c r="G181" s="21" t="n">
        <x:f>'Controls'!$B$45</x:f>
        <x:v>220</x:v>
      </x:c>
      <x:c r="H181" s="21" t="n">
        <x:f>'Controls'!$B$12-'Controls'!$B$13</x:f>
        <x:v>2.98</x:v>
      </x:c>
      <x:c r="I181" s="21" t="n">
        <x:f>'Controls'!$B$46</x:f>
        <x:v>0.15</x:v>
      </x:c>
      <x:c r="J181" s="21" t="n">
        <x:v>1</x:v>
      </x:c>
      <x:c r="K181" s="21" t="n">
        <x:f>F181*G181*H181*I181*J181</x:f>
        <x:v>98.34</x:v>
      </x:c>
      <x:c r="L181" s="2" t="str">
        <x:v>Net openings deducted below</x:v>
      </x:c>
      <x:c r="M181" s="2"/>
      <x:c r="N181" s="2"/>
      <x:c r="O181" s="2"/>
      <x:c r="P181" s="2"/>
      <x:c r="Q181" s="2"/>
    </x:row>
    <x:row r="182" ht="22" customHeight="1">
      <x:c r="A182" s="7" t="str">
        <x:v>M0175</x:v>
      </x:c>
      <x:c r="B182" s="7" t="str">
        <x:v>AR01</x:v>
      </x:c>
      <x:c r="C182" s="7" t="str">
        <x:v>T1</x:v>
      </x:c>
      <x:c r="D182" s="7" t="str">
        <x:v>L06</x:v>
      </x:c>
      <x:c r="E182" s="7" t="str">
        <x:v>Internal doors deduction</x:v>
      </x:c>
      <x:c r="F182" s="20" t="n">
        <x:f>'Controls'!$B$48</x:f>
        <x:v>28</x:v>
      </x:c>
      <x:c r="G182" s="20" t="n">
        <x:f>'Controls'!$B$49</x:f>
        <x:v>0.9</x:v>
      </x:c>
      <x:c r="H182" s="20" t="n">
        <x:f>'Controls'!$B$50</x:f>
        <x:v>2.1</x:v>
      </x:c>
      <x:c r="I182" s="20" t="n">
        <x:f>'Controls'!$B$46</x:f>
        <x:v>0.15</x:v>
      </x:c>
      <x:c r="J182" s="20" t="n">
        <x:v>-1</x:v>
      </x:c>
      <x:c r="K182" s="20" t="n">
        <x:f>F182*G182*H182*I182*J182</x:f>
        <x:v>-7.938</x:v>
      </x:c>
      <x:c r="L182" s="7" t="str">
        <x:v>28 doors per floor, OP-02</x:v>
      </x:c>
      <x:c r="M182" s="2"/>
      <x:c r="N182" s="2"/>
      <x:c r="O182" s="2"/>
      <x:c r="P182" s="2"/>
      <x:c r="Q182" s="2"/>
    </x:row>
    <x:row r="183" ht="22" customHeight="1">
      <x:c r="A183" s="2" t="str">
        <x:v>M0176</x:v>
      </x:c>
      <x:c r="B183" s="2" t="str">
        <x:v>AR02</x:v>
      </x:c>
      <x:c r="C183" s="2" t="str">
        <x:v>T1</x:v>
      </x:c>
      <x:c r="D183" s="2" t="str">
        <x:v>L06</x:v>
      </x:c>
      <x:c r="E183" s="2" t="str">
        <x:v>Internal plaster gross</x:v>
      </x:c>
      <x:c r="F183" s="21" t="n">
        <x:v>2</x:v>
      </x:c>
      <x:c r="G183" s="21" t="n">
        <x:f>'Controls'!$B$45</x:f>
        <x:v>220</x:v>
      </x:c>
      <x:c r="H183" s="21" t="n">
        <x:f>'Controls'!$B$12-'Controls'!$B$13</x:f>
        <x:v>2.98</x:v>
      </x:c>
      <x:c r="I183" s="21" t="n">
        <x:v>1</x:v>
      </x:c>
      <x:c r="J183" s="21" t="n">
        <x:v>1</x:v>
      </x:c>
      <x:c r="K183" s="21" t="n">
        <x:f>F183*G183*H183*I183*J183</x:f>
        <x:v>1311.2</x:v>
      </x:c>
      <x:c r="L183" s="2" t="str">
        <x:v>Both faces of partition walls</x:v>
      </x:c>
      <x:c r="M183" s="2"/>
      <x:c r="N183" s="2"/>
      <x:c r="O183" s="2"/>
      <x:c r="P183" s="2"/>
      <x:c r="Q183" s="2"/>
    </x:row>
    <x:row r="184" ht="22" customHeight="1">
      <x:c r="A184" s="7" t="str">
        <x:v>M0177</x:v>
      </x:c>
      <x:c r="B184" s="7" t="str">
        <x:v>AR02</x:v>
      </x:c>
      <x:c r="C184" s="7" t="str">
        <x:v>T1</x:v>
      </x:c>
      <x:c r="D184" s="7" t="str">
        <x:v>L06</x:v>
      </x:c>
      <x:c r="E184" s="7" t="str">
        <x:v>Door area deduction both faces</x:v>
      </x:c>
      <x:c r="F184" s="20" t="n">
        <x:f>2*'Controls'!$B$48</x:f>
        <x:v>56</x:v>
      </x:c>
      <x:c r="G184" s="20" t="n">
        <x:f>'Controls'!$B$49</x:f>
        <x:v>0.9</x:v>
      </x:c>
      <x:c r="H184" s="20" t="n">
        <x:f>'Controls'!$B$50</x:f>
        <x:v>2.1</x:v>
      </x:c>
      <x:c r="I184" s="20" t="n">
        <x:v>1</x:v>
      </x:c>
      <x:c r="J184" s="20" t="n">
        <x:v>-1</x:v>
      </x:c>
      <x:c r="K184" s="20" t="n">
        <x:f>F184*G184*H184*I184*J184</x:f>
        <x:v>-105.84</x:v>
      </x:c>
      <x:c r="L184" s="7" t="str">
        <x:v>No plaster over openings</x:v>
      </x:c>
      <x:c r="M184" s="2"/>
      <x:c r="N184" s="2"/>
      <x:c r="O184" s="2"/>
      <x:c r="P184" s="2"/>
      <x:c r="Q184" s="2"/>
    </x:row>
    <x:row r="185" ht="22" customHeight="1">
      <x:c r="A185" s="2" t="str">
        <x:v>M0178</x:v>
      </x:c>
      <x:c r="B185" s="2" t="str">
        <x:v>AR03</x:v>
      </x:c>
      <x:c r="C185" s="2" t="str">
        <x:v>T1</x:v>
      </x:c>
      <x:c r="D185" s="2" t="str">
        <x:v>L06</x:v>
      </x:c>
      <x:c r="E185" s="2" t="str">
        <x:v>Floor screed net</x:v>
      </x:c>
      <x:c r="F185" s="21" t="n">
        <x:v>1</x:v>
      </x:c>
      <x:c r="G185" s="21" t="n">
        <x:f>'Controls'!$B$10*'Controls'!$B$11-'Controls'!$B$20*'Controls'!$B$21</x:f>
        <x:v>696</x:v>
      </x:c>
      <x:c r="H185" s="21" t="n">
        <x:v>1</x:v>
      </x:c>
      <x:c r="I185" s="21" t="n">
        <x:v>1</x:v>
      </x:c>
      <x:c r="J185" s="21" t="n">
        <x:v>1</x:v>
      </x:c>
      <x:c r="K185" s="21" t="n">
        <x:f>F185*G185*H185*I185*J185</x:f>
        <x:v>696</x:v>
      </x:c>
      <x:c r="L185" s="2" t="str">
        <x:v>Net structural floor area</x:v>
      </x:c>
      <x:c r="M185" s="2"/>
      <x:c r="N185" s="2"/>
      <x:c r="O185" s="2"/>
      <x:c r="P185" s="2"/>
      <x:c r="Q185" s="2"/>
    </x:row>
    <x:row r="186" ht="22" customHeight="1">
      <x:c r="A186" s="7" t="str">
        <x:v>M0179</x:v>
      </x:c>
      <x:c r="B186" s="7" t="str">
        <x:v>AR04</x:v>
      </x:c>
      <x:c r="C186" s="7" t="str">
        <x:v>T1</x:v>
      </x:c>
      <x:c r="D186" s="7" t="str">
        <x:v>L06</x:v>
      </x:c>
      <x:c r="E186" s="7" t="str">
        <x:v>Floor finish net</x:v>
      </x:c>
      <x:c r="F186" s="20" t="n">
        <x:v>1</x:v>
      </x:c>
      <x:c r="G186" s="20" t="n">
        <x:f>'Controls'!$B$10*'Controls'!$B$11-'Controls'!$B$20*'Controls'!$B$21</x:f>
        <x:v>696</x:v>
      </x:c>
      <x:c r="H186" s="20" t="n">
        <x:v>1</x:v>
      </x:c>
      <x:c r="I186" s="20" t="n">
        <x:v>1</x:v>
      </x:c>
      <x:c r="J186" s="20" t="n">
        <x:v>1</x:v>
      </x:c>
      <x:c r="K186" s="20" t="n">
        <x:f>F186*G186*H186*I186*J186</x:f>
        <x:v>696</x:v>
      </x:c>
      <x:c r="L186" s="7" t="str">
        <x:v>Waste excluded from BOQ</x:v>
      </x:c>
      <x:c r="M186" s="2"/>
      <x:c r="N186" s="2"/>
      <x:c r="O186" s="2"/>
      <x:c r="P186" s="2"/>
      <x:c r="Q186" s="2"/>
    </x:row>
    <x:row r="187" ht="22" customHeight="1">
      <x:c r="A187" s="2" t="str">
        <x:v>M0180</x:v>
      </x:c>
      <x:c r="B187" s="2" t="str">
        <x:v>AR05</x:v>
      </x:c>
      <x:c r="C187" s="2" t="str">
        <x:v>T1</x:v>
      </x:c>
      <x:c r="D187" s="2" t="str">
        <x:v>L06</x:v>
      </x:c>
      <x:c r="E187" s="2" t="str">
        <x:v>Internal wall paint net</x:v>
      </x:c>
      <x:c r="F187" s="21" t="n">
        <x:v>2</x:v>
      </x:c>
      <x:c r="G187" s="21" t="n">
        <x:f>'Controls'!$B$45*('Controls'!$B$12-'Controls'!$B$13)-'Controls'!$B$48*'Controls'!$B$49*'Controls'!$B$50</x:f>
        <x:v>602.6800000000001</x:v>
      </x:c>
      <x:c r="H187" s="21" t="n">
        <x:v>1</x:v>
      </x:c>
      <x:c r="I187" s="21" t="n">
        <x:v>1</x:v>
      </x:c>
      <x:c r="J187" s="21" t="n">
        <x:v>1</x:v>
      </x:c>
      <x:c r="K187" s="21" t="n">
        <x:f>F187*G187*H187*I187*J187</x:f>
        <x:v>1205.3600000000001</x:v>
      </x:c>
      <x:c r="L187" s="2" t="str">
        <x:v>Finished area; two coats priced in rate</x:v>
      </x:c>
      <x:c r="M187" s="2"/>
      <x:c r="N187" s="2"/>
      <x:c r="O187" s="2"/>
      <x:c r="P187" s="2"/>
      <x:c r="Q187" s="2"/>
    </x:row>
    <x:row r="188" ht="22" customHeight="1">
      <x:c r="A188" s="7" t="str">
        <x:v>M0181</x:v>
      </x:c>
      <x:c r="B188" s="7" t="str">
        <x:v>AR06</x:v>
      </x:c>
      <x:c r="C188" s="7" t="str">
        <x:v>T1</x:v>
      </x:c>
      <x:c r="D188" s="7" t="str">
        <x:v>L06</x:v>
      </x:c>
      <x:c r="E188" s="7" t="str">
        <x:v>Door sets</x:v>
      </x:c>
      <x:c r="F188" s="20" t="n">
        <x:f>'Controls'!$B$48</x:f>
        <x:v>28</x:v>
      </x:c>
      <x:c r="G188" s="20" t="n">
        <x:v>1</x:v>
      </x:c>
      <x:c r="H188" s="20" t="n">
        <x:v>1</x:v>
      </x:c>
      <x:c r="I188" s="20" t="n">
        <x:v>1</x:v>
      </x:c>
      <x:c r="J188" s="20" t="n">
        <x:v>1</x:v>
      </x:c>
      <x:c r="K188" s="20" t="n">
        <x:f>F188*G188*H188*I188*J188</x:f>
        <x:v>28</x:v>
      </x:c>
      <x:c r="L188" s="7" t="str">
        <x:v>Door count, not double face</x:v>
      </x:c>
      <x:c r="M188" s="2"/>
      <x:c r="N188" s="2"/>
      <x:c r="O188" s="2"/>
      <x:c r="P188" s="2"/>
      <x:c r="Q188" s="2"/>
    </x:row>
    <x:row r="189" ht="22" customHeight="1">
      <x:c r="A189" s="2" t="str">
        <x:v>M0182</x:v>
      </x:c>
      <x:c r="B189" s="2" t="str">
        <x:v>RC03</x:v>
      </x:c>
      <x:c r="C189" s="2" t="str">
        <x:v>T1</x:v>
      </x:c>
      <x:c r="D189" s="2" t="str">
        <x:v>L07</x:v>
      </x:c>
      <x:c r="E189" s="2" t="str">
        <x:v>Floor slab gross</x:v>
      </x:c>
      <x:c r="F189" s="21" t="n">
        <x:v>1</x:v>
      </x:c>
      <x:c r="G189" s="21" t="n">
        <x:f>'Controls'!$B$10</x:f>
        <x:v>30</x:v>
      </x:c>
      <x:c r="H189" s="21" t="n">
        <x:f>'Controls'!$B$11</x:f>
        <x:v>24</x:v>
      </x:c>
      <x:c r="I189" s="21" t="n">
        <x:f>'Controls'!$B$13</x:f>
        <x:v>0.22</x:v>
      </x:c>
      <x:c r="J189" s="21" t="n">
        <x:v>1</x:v>
      </x:c>
      <x:c r="K189" s="21" t="n">
        <x:f>F189*G189*H189*I189*J189</x:f>
        <x:v>158.4</x:v>
      </x:c>
      <x:c r="L189" s="2" t="str">
        <x:v>Slab includes beam top flange; downstand separate</x:v>
      </x:c>
      <x:c r="M189" s="2"/>
      <x:c r="N189" s="2"/>
      <x:c r="O189" s="2"/>
      <x:c r="P189" s="2"/>
      <x:c r="Q189" s="2"/>
    </x:row>
    <x:row r="190" ht="22" customHeight="1">
      <x:c r="A190" s="7" t="str">
        <x:v>M0183</x:v>
      </x:c>
      <x:c r="B190" s="7" t="str">
        <x:v>RC03</x:v>
      </x:c>
      <x:c r="C190" s="7" t="str">
        <x:v>T1</x:v>
      </x:c>
      <x:c r="D190" s="7" t="str">
        <x:v>L07</x:v>
      </x:c>
      <x:c r="E190" s="7" t="str">
        <x:v>Stair opening deduction</x:v>
      </x:c>
      <x:c r="F190" s="20" t="n">
        <x:v>1</x:v>
      </x:c>
      <x:c r="G190" s="20" t="n">
        <x:f>'Controls'!$B$20</x:f>
        <x:v>4</x:v>
      </x:c>
      <x:c r="H190" s="20" t="n">
        <x:f>'Controls'!$B$21</x:f>
        <x:v>6</x:v>
      </x:c>
      <x:c r="I190" s="20" t="n">
        <x:f>'Controls'!$B$13</x:f>
        <x:v>0.22</x:v>
      </x:c>
      <x:c r="J190" s="20" t="n">
        <x:v>-1</x:v>
      </x:c>
      <x:c r="K190" s="20" t="n">
        <x:f>F190*G190*H190*I190*J190</x:f>
        <x:v>-5.28</x:v>
      </x:c>
      <x:c r="L190" s="7" t="str">
        <x:v>Opening OP-01</x:v>
      </x:c>
      <x:c r="M190" s="2"/>
      <x:c r="N190" s="2"/>
      <x:c r="O190" s="2"/>
      <x:c r="P190" s="2"/>
      <x:c r="Q190" s="2"/>
    </x:row>
    <x:row r="191" ht="22" customHeight="1">
      <x:c r="A191" s="2" t="str">
        <x:v>M0184</x:v>
      </x:c>
      <x:c r="B191" s="2" t="str">
        <x:v>RC04</x:v>
      </x:c>
      <x:c r="C191" s="2" t="str">
        <x:v>T1</x:v>
      </x:c>
      <x:c r="D191" s="2" t="str">
        <x:v>L07</x:v>
      </x:c>
      <x:c r="E191" s="2" t="str">
        <x:v>Beam downstands X</x:v>
      </x:c>
      <x:c r="F191" s="21" t="n">
        <x:v>1</x:v>
      </x:c>
      <x:c r="G191" s="21" t="n">
        <x:f>5*5*('Controls'!$B$10/5-'Controls'!$B$14)</x:f>
        <x:v>137.5</x:v>
      </x:c>
      <x:c r="H191" s="21" t="n">
        <x:f>'Controls'!$B$16</x:f>
        <x:v>0.3</x:v>
      </x:c>
      <x:c r="I191" s="21" t="n">
        <x:f>'Controls'!$B$17-'Controls'!$B$13</x:f>
        <x:v>0.38</x:v>
      </x:c>
      <x:c r="J191" s="21" t="n">
        <x:v>1</x:v>
      </x:c>
      <x:c r="K191" s="21" t="n">
        <x:f>F191*G191*H191*I191*J191</x:f>
        <x:v>15.675</x:v>
      </x:c>
      <x:c r="L191" s="2" t="str">
        <x:v>Clear spans between column faces; no joint overlap</x:v>
      </x:c>
      <x:c r="M191" s="2"/>
      <x:c r="N191" s="2"/>
      <x:c r="O191" s="2"/>
      <x:c r="P191" s="2"/>
      <x:c r="Q191" s="2"/>
    </x:row>
    <x:row r="192" ht="22" customHeight="1">
      <x:c r="A192" s="7" t="str">
        <x:v>M0185</x:v>
      </x:c>
      <x:c r="B192" s="7" t="str">
        <x:v>FW02</x:v>
      </x:c>
      <x:c r="C192" s="7" t="str">
        <x:v>T1</x:v>
      </x:c>
      <x:c r="D192" s="7" t="str">
        <x:v>L07</x:v>
      </x:c>
      <x:c r="E192" s="7" t="str">
        <x:v>Beam forms X</x:v>
      </x:c>
      <x:c r="F192" s="20" t="n">
        <x:v>1</x:v>
      </x:c>
      <x:c r="G192" s="20" t="n">
        <x:f>5*5*('Controls'!$B$10/5-'Controls'!$B$14)</x:f>
        <x:v>137.5</x:v>
      </x:c>
      <x:c r="H192" s="20" t="n">
        <x:f>'Controls'!$B$16+2*('Controls'!$B$17-'Controls'!$B$13)</x:f>
        <x:v>1.06</x:v>
      </x:c>
      <x:c r="I192" s="20" t="n">
        <x:v>1</x:v>
      </x:c>
      <x:c r="J192" s="20" t="n">
        <x:v>1</x:v>
      </x:c>
      <x:c r="K192" s="20" t="n">
        <x:f>F192*G192*H192*I192*J192</x:f>
        <x:v>145.75</x:v>
      </x:c>
      <x:c r="L192" s="7" t="str">
        <x:v>Soffit plus two downstand sides</x:v>
      </x:c>
      <x:c r="M192" s="2"/>
      <x:c r="N192" s="2"/>
      <x:c r="O192" s="2"/>
      <x:c r="P192" s="2"/>
      <x:c r="Q192" s="2"/>
    </x:row>
    <x:row r="193" ht="22" customHeight="1">
      <x:c r="A193" s="2" t="str">
        <x:v>M0186</x:v>
      </x:c>
      <x:c r="B193" s="2" t="str">
        <x:v>RC04</x:v>
      </x:c>
      <x:c r="C193" s="2" t="str">
        <x:v>T1</x:v>
      </x:c>
      <x:c r="D193" s="2" t="str">
        <x:v>L07</x:v>
      </x:c>
      <x:c r="E193" s="2" t="str">
        <x:v>Beam downstands Y</x:v>
      </x:c>
      <x:c r="F193" s="21" t="n">
        <x:v>1</x:v>
      </x:c>
      <x:c r="G193" s="21" t="n">
        <x:f>6*4*('Controls'!$B$11/4-'Controls'!$B$15)</x:f>
        <x:v>132</x:v>
      </x:c>
      <x:c r="H193" s="21" t="n">
        <x:f>'Controls'!$B$16</x:f>
        <x:v>0.3</x:v>
      </x:c>
      <x:c r="I193" s="21" t="n">
        <x:f>'Controls'!$B$17-'Controls'!$B$13</x:f>
        <x:v>0.38</x:v>
      </x:c>
      <x:c r="J193" s="21" t="n">
        <x:v>1</x:v>
      </x:c>
      <x:c r="K193" s="21" t="n">
        <x:f>F193*G193*H193*I193*J193</x:f>
        <x:v>15.048</x:v>
      </x:c>
      <x:c r="L193" s="2" t="str">
        <x:v>Clear spans between column faces; no joint overlap</x:v>
      </x:c>
      <x:c r="M193" s="2"/>
      <x:c r="N193" s="2"/>
      <x:c r="O193" s="2"/>
      <x:c r="P193" s="2"/>
      <x:c r="Q193" s="2"/>
    </x:row>
    <x:row r="194" ht="22" customHeight="1">
      <x:c r="A194" s="7" t="str">
        <x:v>M0187</x:v>
      </x:c>
      <x:c r="B194" s="7" t="str">
        <x:v>FW02</x:v>
      </x:c>
      <x:c r="C194" s="7" t="str">
        <x:v>T1</x:v>
      </x:c>
      <x:c r="D194" s="7" t="str">
        <x:v>L07</x:v>
      </x:c>
      <x:c r="E194" s="7" t="str">
        <x:v>Beam forms Y</x:v>
      </x:c>
      <x:c r="F194" s="20" t="n">
        <x:v>1</x:v>
      </x:c>
      <x:c r="G194" s="20" t="n">
        <x:f>6*4*('Controls'!$B$11/4-'Controls'!$B$15)</x:f>
        <x:v>132</x:v>
      </x:c>
      <x:c r="H194" s="20" t="n">
        <x:f>'Controls'!$B$16+2*('Controls'!$B$17-'Controls'!$B$13)</x:f>
        <x:v>1.06</x:v>
      </x:c>
      <x:c r="I194" s="20" t="n">
        <x:v>1</x:v>
      </x:c>
      <x:c r="J194" s="20" t="n">
        <x:v>1</x:v>
      </x:c>
      <x:c r="K194" s="20" t="n">
        <x:f>F194*G194*H194*I194*J194</x:f>
        <x:v>139.92000000000002</x:v>
      </x:c>
      <x:c r="L194" s="7" t="str">
        <x:v>Soffit plus two downstand sides</x:v>
      </x:c>
      <x:c r="M194" s="2"/>
      <x:c r="N194" s="2"/>
      <x:c r="O194" s="2"/>
      <x:c r="P194" s="2"/>
      <x:c r="Q194" s="2"/>
    </x:row>
    <x:row r="195" ht="22" customHeight="1">
      <x:c r="A195" s="2" t="str">
        <x:v>M0188</x:v>
      </x:c>
      <x:c r="B195" s="2" t="str">
        <x:v>RC05</x:v>
      </x:c>
      <x:c r="C195" s="2" t="str">
        <x:v>T1</x:v>
      </x:c>
      <x:c r="D195" s="2" t="str">
        <x:v>L07</x:v>
      </x:c>
      <x:c r="E195" s="2" t="str">
        <x:v>Thirty columns, clear storey</x:v>
      </x:c>
      <x:c r="F195" s="21" t="n">
        <x:v>30</x:v>
      </x:c>
      <x:c r="G195" s="21" t="n">
        <x:f>'Controls'!$B$14</x:f>
        <x:v>0.5</x:v>
      </x:c>
      <x:c r="H195" s="21" t="n">
        <x:f>'Controls'!$B$15</x:f>
        <x:v>0.5</x:v>
      </x:c>
      <x:c r="I195" s="21" t="n">
        <x:f>'Controls'!$B$12-'Controls'!$B$13</x:f>
        <x:v>2.98</x:v>
      </x:c>
      <x:c r="J195" s="21" t="n">
        <x:v>1</x:v>
      </x:c>
      <x:c r="K195" s="21" t="n">
        <x:f>F195*G195*H195*I195*J195</x:f>
        <x:v>22.35</x:v>
      </x:c>
      <x:c r="L195" s="2" t="str">
        <x:v>Slab volume excluded from columns</x:v>
      </x:c>
      <x:c r="M195" s="2"/>
      <x:c r="N195" s="2"/>
      <x:c r="O195" s="2"/>
      <x:c r="P195" s="2"/>
      <x:c r="Q195" s="2"/>
    </x:row>
    <x:row r="196" ht="22" customHeight="1">
      <x:c r="A196" s="7" t="str">
        <x:v>M0189</x:v>
      </x:c>
      <x:c r="B196" s="7" t="str">
        <x:v>RC06</x:v>
      </x:c>
      <x:c r="C196" s="7" t="str">
        <x:v>T1</x:v>
      </x:c>
      <x:c r="D196" s="7" t="str">
        <x:v>L07</x:v>
      </x:c>
      <x:c r="E196" s="7" t="str">
        <x:v>Core walls clear storey</x:v>
      </x:c>
      <x:c r="F196" s="20" t="n">
        <x:v>1</x:v>
      </x:c>
      <x:c r="G196" s="20" t="n">
        <x:f>'Controls'!$B$19</x:f>
        <x:v>24</x:v>
      </x:c>
      <x:c r="H196" s="20" t="n">
        <x:f>'Controls'!$B$18</x:f>
        <x:v>0.25</x:v>
      </x:c>
      <x:c r="I196" s="20" t="n">
        <x:f>'Controls'!$B$12-'Controls'!$B$13</x:f>
        <x:v>2.98</x:v>
      </x:c>
      <x:c r="J196" s="20" t="n">
        <x:v>1</x:v>
      </x:c>
      <x:c r="K196" s="20" t="n">
        <x:f>F196*G196*H196*I196*J196</x:f>
        <x:v>17.88</x:v>
      </x:c>
      <x:c r="L196" s="7" t="str">
        <x:v>Net clear wall length excludes corners</x:v>
      </x:c>
      <x:c r="M196" s="2"/>
      <x:c r="N196" s="2"/>
      <x:c r="O196" s="2"/>
      <x:c r="P196" s="2"/>
      <x:c r="Q196" s="2"/>
    </x:row>
    <x:row r="197" ht="22" customHeight="1">
      <x:c r="A197" s="2" t="str">
        <x:v>M0190</x:v>
      </x:c>
      <x:c r="B197" s="2" t="str">
        <x:v>RC07</x:v>
      </x:c>
      <x:c r="C197" s="2" t="str">
        <x:v>T1</x:v>
      </x:c>
      <x:c r="D197" s="2" t="str">
        <x:v>L07</x:v>
      </x:c>
      <x:c r="E197" s="2" t="str">
        <x:v>Stair flights waist</x:v>
      </x:c>
      <x:c r="F197" s="21" t="n">
        <x:v>2</x:v>
      </x:c>
      <x:c r="G197" s="21" t="n">
        <x:v>4.1</x:v>
      </x:c>
      <x:c r="H197" s="21" t="n">
        <x:v>1.2</x:v>
      </x:c>
      <x:c r="I197" s="21" t="n">
        <x:v>0.18</x:v>
      </x:c>
      <x:c r="J197" s="21" t="n">
        <x:v>1</x:v>
      </x:c>
      <x:c r="K197" s="21" t="n">
        <x:f>F197*G197*H197*I197*J197</x:f>
        <x:v>1.7711999999999997</x:v>
      </x:c>
      <x:c r="L197" s="2" t="str">
        <x:v>Two flights; geometry separate from floor slab</x:v>
      </x:c>
      <x:c r="M197" s="2"/>
      <x:c r="N197" s="2"/>
      <x:c r="O197" s="2"/>
      <x:c r="P197" s="2"/>
      <x:c r="Q197" s="2"/>
    </x:row>
    <x:row r="198" ht="22" customHeight="1">
      <x:c r="A198" s="7" t="str">
        <x:v>M0191</x:v>
      </x:c>
      <x:c r="B198" s="7" t="str">
        <x:v>RC07</x:v>
      </x:c>
      <x:c r="C198" s="7" t="str">
        <x:v>T1</x:v>
      </x:c>
      <x:c r="D198" s="7" t="str">
        <x:v>L07</x:v>
      </x:c>
      <x:c r="E198" s="7" t="str">
        <x:v>Stair landings</x:v>
      </x:c>
      <x:c r="F198" s="20" t="n">
        <x:v>2</x:v>
      </x:c>
      <x:c r="G198" s="20" t="n">
        <x:v>2</x:v>
      </x:c>
      <x:c r="H198" s="20" t="n">
        <x:v>1.2</x:v>
      </x:c>
      <x:c r="I198" s="20" t="n">
        <x:v>0.18</x:v>
      </x:c>
      <x:c r="J198" s="20" t="n">
        <x:v>1</x:v>
      </x:c>
      <x:c r="K198" s="20" t="n">
        <x:f>F198*G198*H198*I198*J198</x:f>
        <x:v>0.864</x:v>
      </x:c>
      <x:c r="L198" s="7" t="str">
        <x:v>Within stair opening</x:v>
      </x:c>
      <x:c r="M198" s="2"/>
      <x:c r="N198" s="2"/>
      <x:c r="O198" s="2"/>
      <x:c r="P198" s="2"/>
      <x:c r="Q198" s="2"/>
    </x:row>
    <x:row r="199" ht="22" customHeight="1">
      <x:c r="A199" s="2" t="str">
        <x:v>M0192</x:v>
      </x:c>
      <x:c r="B199" s="2" t="str">
        <x:v>FW01</x:v>
      </x:c>
      <x:c r="C199" s="2" t="str">
        <x:v>T1</x:v>
      </x:c>
      <x:c r="D199" s="2" t="str">
        <x:v>L07</x:v>
      </x:c>
      <x:c r="E199" s="2" t="str">
        <x:v>Slab soffit gross</x:v>
      </x:c>
      <x:c r="F199" s="21" t="n">
        <x:v>1</x:v>
      </x:c>
      <x:c r="G199" s="21" t="n">
        <x:f>'Controls'!$B$10</x:f>
        <x:v>30</x:v>
      </x:c>
      <x:c r="H199" s="21" t="n">
        <x:f>'Controls'!$B$11</x:f>
        <x:v>24</x:v>
      </x:c>
      <x:c r="I199" s="21" t="n">
        <x:v>1</x:v>
      </x:c>
      <x:c r="J199" s="21" t="n">
        <x:v>1</x:v>
      </x:c>
      <x:c r="K199" s="21" t="n">
        <x:f>F199*G199*H199*I199*J199</x:f>
        <x:v>720</x:v>
      </x:c>
      <x:c r="L199" s="2" t="str">
        <x:v>Beam soffit deducted below</x:v>
      </x:c>
      <x:c r="M199" s="2"/>
      <x:c r="N199" s="2"/>
      <x:c r="O199" s="2"/>
      <x:c r="P199" s="2"/>
      <x:c r="Q199" s="2"/>
    </x:row>
    <x:row r="200" ht="22" customHeight="1">
      <x:c r="A200" s="7" t="str">
        <x:v>M0193</x:v>
      </x:c>
      <x:c r="B200" s="7" t="str">
        <x:v>FW01</x:v>
      </x:c>
      <x:c r="C200" s="7" t="str">
        <x:v>T1</x:v>
      </x:c>
      <x:c r="D200" s="7" t="str">
        <x:v>L07</x:v>
      </x:c>
      <x:c r="E200" s="7" t="str">
        <x:v>Stair opening deduction</x:v>
      </x:c>
      <x:c r="F200" s="20" t="n">
        <x:v>1</x:v>
      </x:c>
      <x:c r="G200" s="20" t="n">
        <x:f>'Controls'!$B$20</x:f>
        <x:v>4</x:v>
      </x:c>
      <x:c r="H200" s="20" t="n">
        <x:f>'Controls'!$B$21</x:f>
        <x:v>6</x:v>
      </x:c>
      <x:c r="I200" s="20" t="n">
        <x:v>1</x:v>
      </x:c>
      <x:c r="J200" s="20" t="n">
        <x:v>-1</x:v>
      </x:c>
      <x:c r="K200" s="20" t="n">
        <x:f>F200*G200*H200*I200*J200</x:f>
        <x:v>-24</x:v>
      </x:c>
      <x:c r="L200" s="7" t="str">
        <x:v>OP-01</x:v>
      </x:c>
      <x:c r="M200" s="2"/>
      <x:c r="N200" s="2"/>
      <x:c r="O200" s="2"/>
      <x:c r="P200" s="2"/>
      <x:c r="Q200" s="2"/>
    </x:row>
    <x:row r="201" ht="22" customHeight="1">
      <x:c r="A201" s="2" t="str">
        <x:v>M0194</x:v>
      </x:c>
      <x:c r="B201" s="2" t="str">
        <x:v>FW01</x:v>
      </x:c>
      <x:c r="C201" s="2" t="str">
        <x:v>T1</x:v>
      </x:c>
      <x:c r="D201" s="2" t="str">
        <x:v>L07</x:v>
      </x:c>
      <x:c r="E201" s="2" t="str">
        <x:v>Beam soffit deduction</x:v>
      </x:c>
      <x:c r="F201" s="21" t="n">
        <x:v>1</x:v>
      </x:c>
      <x:c r="G201" s="21" t="n">
        <x:f>5*5*('Controls'!$B$10/5-'Controls'!$B$14)+6*4*('Controls'!$B$11/4-'Controls'!$B$15)</x:f>
        <x:v>269.5</x:v>
      </x:c>
      <x:c r="H201" s="21" t="n">
        <x:f>'Controls'!$B$16</x:f>
        <x:v>0.3</x:v>
      </x:c>
      <x:c r="I201" s="21" t="n">
        <x:v>1</x:v>
      </x:c>
      <x:c r="J201" s="21" t="n">
        <x:v>-1</x:v>
      </x:c>
      <x:c r="K201" s="21" t="n">
        <x:f>F201*G201*H201*I201*J201</x:f>
        <x:v>-80.85</x:v>
      </x:c>
      <x:c r="L201" s="2" t="str">
        <x:v>Beam forms measured in FW02</x:v>
      </x:c>
      <x:c r="M201" s="2"/>
      <x:c r="N201" s="2"/>
      <x:c r="O201" s="2"/>
      <x:c r="P201" s="2"/>
      <x:c r="Q201" s="2"/>
    </x:row>
    <x:row r="202" ht="22" customHeight="1">
      <x:c r="A202" s="7" t="str">
        <x:v>M0195</x:v>
      </x:c>
      <x:c r="B202" s="7" t="str">
        <x:v>FW03</x:v>
      </x:c>
      <x:c r="C202" s="7" t="str">
        <x:v>T1</x:v>
      </x:c>
      <x:c r="D202" s="7" t="str">
        <x:v>L07</x:v>
      </x:c>
      <x:c r="E202" s="7" t="str">
        <x:v>Column four faces</x:v>
      </x:c>
      <x:c r="F202" s="20" t="n">
        <x:v>30</x:v>
      </x:c>
      <x:c r="G202" s="20" t="n">
        <x:f>2*('Controls'!$B$14+'Controls'!$B$15)</x:f>
        <x:v>2</x:v>
      </x:c>
      <x:c r="H202" s="20" t="n">
        <x:f>'Controls'!$B$12-'Controls'!$B$13</x:f>
        <x:v>2.98</x:v>
      </x:c>
      <x:c r="I202" s="20" t="n">
        <x:v>1</x:v>
      </x:c>
      <x:c r="J202" s="20" t="n">
        <x:v>1</x:v>
      </x:c>
      <x:c r="K202" s="20" t="n">
        <x:f>F202*G202*H202*I202*J202</x:f>
        <x:v>178.8</x:v>
      </x:c>
      <x:c r="L202" s="7" t="str">
        <x:v>Clear floor-to-soffit</x:v>
      </x:c>
      <x:c r="M202" s="2"/>
      <x:c r="N202" s="2"/>
      <x:c r="O202" s="2"/>
      <x:c r="P202" s="2"/>
      <x:c r="Q202" s="2"/>
    </x:row>
    <x:row r="203" ht="22" customHeight="1">
      <x:c r="A203" s="2" t="str">
        <x:v>M0196</x:v>
      </x:c>
      <x:c r="B203" s="2" t="str">
        <x:v>FW04</x:v>
      </x:c>
      <x:c r="C203" s="2" t="str">
        <x:v>T1</x:v>
      </x:c>
      <x:c r="D203" s="2" t="str">
        <x:v>L07</x:v>
      </x:c>
      <x:c r="E203" s="2" t="str">
        <x:v>Core wall two faces</x:v>
      </x:c>
      <x:c r="F203" s="21" t="n">
        <x:v>2</x:v>
      </x:c>
      <x:c r="G203" s="21" t="n">
        <x:f>'Controls'!$B$19</x:f>
        <x:v>24</x:v>
      </x:c>
      <x:c r="H203" s="21" t="n">
        <x:f>'Controls'!$B$12-'Controls'!$B$13</x:f>
        <x:v>2.98</x:v>
      </x:c>
      <x:c r="I203" s="21" t="n">
        <x:v>1</x:v>
      </x:c>
      <x:c r="J203" s="21" t="n">
        <x:v>1</x:v>
      </x:c>
      <x:c r="K203" s="21" t="n">
        <x:f>F203*G203*H203*I203*J203</x:f>
        <x:v>143.04</x:v>
      </x:c>
      <x:c r="L203" s="2" t="str">
        <x:v>Net perimeter, no repeated corners</x:v>
      </x:c>
      <x:c r="M203" s="2"/>
      <x:c r="N203" s="2"/>
      <x:c r="O203" s="2"/>
      <x:c r="P203" s="2"/>
      <x:c r="Q203" s="2"/>
    </x:row>
    <x:row r="204" ht="22" customHeight="1">
      <x:c r="A204" s="7" t="str">
        <x:v>M0197</x:v>
      </x:c>
      <x:c r="B204" s="7" t="str">
        <x:v>AR01</x:v>
      </x:c>
      <x:c r="C204" s="7" t="str">
        <x:v>T1</x:v>
      </x:c>
      <x:c r="D204" s="7" t="str">
        <x:v>L07</x:v>
      </x:c>
      <x:c r="E204" s="7" t="str">
        <x:v>Partition walls gross</x:v>
      </x:c>
      <x:c r="F204" s="20" t="n">
        <x:v>1</x:v>
      </x:c>
      <x:c r="G204" s="20" t="n">
        <x:f>'Controls'!$B$45</x:f>
        <x:v>220</x:v>
      </x:c>
      <x:c r="H204" s="20" t="n">
        <x:f>'Controls'!$B$12-'Controls'!$B$13</x:f>
        <x:v>2.98</x:v>
      </x:c>
      <x:c r="I204" s="20" t="n">
        <x:f>'Controls'!$B$46</x:f>
        <x:v>0.15</x:v>
      </x:c>
      <x:c r="J204" s="20" t="n">
        <x:v>1</x:v>
      </x:c>
      <x:c r="K204" s="20" t="n">
        <x:f>F204*G204*H204*I204*J204</x:f>
        <x:v>98.34</x:v>
      </x:c>
      <x:c r="L204" s="7" t="str">
        <x:v>Net openings deducted below</x:v>
      </x:c>
      <x:c r="M204" s="2"/>
      <x:c r="N204" s="2"/>
      <x:c r="O204" s="2"/>
      <x:c r="P204" s="2"/>
      <x:c r="Q204" s="2"/>
    </x:row>
    <x:row r="205" ht="22" customHeight="1">
      <x:c r="A205" s="2" t="str">
        <x:v>M0198</x:v>
      </x:c>
      <x:c r="B205" s="2" t="str">
        <x:v>AR01</x:v>
      </x:c>
      <x:c r="C205" s="2" t="str">
        <x:v>T1</x:v>
      </x:c>
      <x:c r="D205" s="2" t="str">
        <x:v>L07</x:v>
      </x:c>
      <x:c r="E205" s="2" t="str">
        <x:v>Internal doors deduction</x:v>
      </x:c>
      <x:c r="F205" s="21" t="n">
        <x:f>'Controls'!$B$48</x:f>
        <x:v>28</x:v>
      </x:c>
      <x:c r="G205" s="21" t="n">
        <x:f>'Controls'!$B$49</x:f>
        <x:v>0.9</x:v>
      </x:c>
      <x:c r="H205" s="21" t="n">
        <x:f>'Controls'!$B$50</x:f>
        <x:v>2.1</x:v>
      </x:c>
      <x:c r="I205" s="21" t="n">
        <x:f>'Controls'!$B$46</x:f>
        <x:v>0.15</x:v>
      </x:c>
      <x:c r="J205" s="21" t="n">
        <x:v>-1</x:v>
      </x:c>
      <x:c r="K205" s="21" t="n">
        <x:f>F205*G205*H205*I205*J205</x:f>
        <x:v>-7.938</x:v>
      </x:c>
      <x:c r="L205" s="2" t="str">
        <x:v>28 doors per floor, OP-02</x:v>
      </x:c>
      <x:c r="M205" s="2"/>
      <x:c r="N205" s="2"/>
      <x:c r="O205" s="2"/>
      <x:c r="P205" s="2"/>
      <x:c r="Q205" s="2"/>
    </x:row>
    <x:row r="206" ht="22" customHeight="1">
      <x:c r="A206" s="7" t="str">
        <x:v>M0199</x:v>
      </x:c>
      <x:c r="B206" s="7" t="str">
        <x:v>AR02</x:v>
      </x:c>
      <x:c r="C206" s="7" t="str">
        <x:v>T1</x:v>
      </x:c>
      <x:c r="D206" s="7" t="str">
        <x:v>L07</x:v>
      </x:c>
      <x:c r="E206" s="7" t="str">
        <x:v>Internal plaster gross</x:v>
      </x:c>
      <x:c r="F206" s="20" t="n">
        <x:v>2</x:v>
      </x:c>
      <x:c r="G206" s="20" t="n">
        <x:f>'Controls'!$B$45</x:f>
        <x:v>220</x:v>
      </x:c>
      <x:c r="H206" s="20" t="n">
        <x:f>'Controls'!$B$12-'Controls'!$B$13</x:f>
        <x:v>2.98</x:v>
      </x:c>
      <x:c r="I206" s="20" t="n">
        <x:v>1</x:v>
      </x:c>
      <x:c r="J206" s="20" t="n">
        <x:v>1</x:v>
      </x:c>
      <x:c r="K206" s="20" t="n">
        <x:f>F206*G206*H206*I206*J206</x:f>
        <x:v>1311.2</x:v>
      </x:c>
      <x:c r="L206" s="7" t="str">
        <x:v>Both faces of partition walls</x:v>
      </x:c>
      <x:c r="M206" s="2"/>
      <x:c r="N206" s="2"/>
      <x:c r="O206" s="2"/>
      <x:c r="P206" s="2"/>
      <x:c r="Q206" s="2"/>
    </x:row>
    <x:row r="207" ht="22" customHeight="1">
      <x:c r="A207" s="2" t="str">
        <x:v>M0200</x:v>
      </x:c>
      <x:c r="B207" s="2" t="str">
        <x:v>AR02</x:v>
      </x:c>
      <x:c r="C207" s="2" t="str">
        <x:v>T1</x:v>
      </x:c>
      <x:c r="D207" s="2" t="str">
        <x:v>L07</x:v>
      </x:c>
      <x:c r="E207" s="2" t="str">
        <x:v>Door area deduction both faces</x:v>
      </x:c>
      <x:c r="F207" s="21" t="n">
        <x:f>2*'Controls'!$B$48</x:f>
        <x:v>56</x:v>
      </x:c>
      <x:c r="G207" s="21" t="n">
        <x:f>'Controls'!$B$49</x:f>
        <x:v>0.9</x:v>
      </x:c>
      <x:c r="H207" s="21" t="n">
        <x:f>'Controls'!$B$50</x:f>
        <x:v>2.1</x:v>
      </x:c>
      <x:c r="I207" s="21" t="n">
        <x:v>1</x:v>
      </x:c>
      <x:c r="J207" s="21" t="n">
        <x:v>-1</x:v>
      </x:c>
      <x:c r="K207" s="21" t="n">
        <x:f>F207*G207*H207*I207*J207</x:f>
        <x:v>-105.84</x:v>
      </x:c>
      <x:c r="L207" s="2" t="str">
        <x:v>No plaster over openings</x:v>
      </x:c>
      <x:c r="M207" s="2"/>
      <x:c r="N207" s="2"/>
      <x:c r="O207" s="2"/>
      <x:c r="P207" s="2"/>
      <x:c r="Q207" s="2"/>
    </x:row>
    <x:row r="208" ht="22" customHeight="1">
      <x:c r="A208" s="7" t="str">
        <x:v>M0201</x:v>
      </x:c>
      <x:c r="B208" s="7" t="str">
        <x:v>AR03</x:v>
      </x:c>
      <x:c r="C208" s="7" t="str">
        <x:v>T1</x:v>
      </x:c>
      <x:c r="D208" s="7" t="str">
        <x:v>L07</x:v>
      </x:c>
      <x:c r="E208" s="7" t="str">
        <x:v>Floor screed net</x:v>
      </x:c>
      <x:c r="F208" s="20" t="n">
        <x:v>1</x:v>
      </x:c>
      <x:c r="G208" s="20" t="n">
        <x:f>'Controls'!$B$10*'Controls'!$B$11-'Controls'!$B$20*'Controls'!$B$21</x:f>
        <x:v>696</x:v>
      </x:c>
      <x:c r="H208" s="20" t="n">
        <x:v>1</x:v>
      </x:c>
      <x:c r="I208" s="20" t="n">
        <x:v>1</x:v>
      </x:c>
      <x:c r="J208" s="20" t="n">
        <x:v>1</x:v>
      </x:c>
      <x:c r="K208" s="20" t="n">
        <x:f>F208*G208*H208*I208*J208</x:f>
        <x:v>696</x:v>
      </x:c>
      <x:c r="L208" s="7" t="str">
        <x:v>Net structural floor area</x:v>
      </x:c>
      <x:c r="M208" s="2"/>
      <x:c r="N208" s="2"/>
      <x:c r="O208" s="2"/>
      <x:c r="P208" s="2"/>
      <x:c r="Q208" s="2"/>
    </x:row>
    <x:row r="209" ht="22" customHeight="1">
      <x:c r="A209" s="2" t="str">
        <x:v>M0202</x:v>
      </x:c>
      <x:c r="B209" s="2" t="str">
        <x:v>AR04</x:v>
      </x:c>
      <x:c r="C209" s="2" t="str">
        <x:v>T1</x:v>
      </x:c>
      <x:c r="D209" s="2" t="str">
        <x:v>L07</x:v>
      </x:c>
      <x:c r="E209" s="2" t="str">
        <x:v>Floor finish net</x:v>
      </x:c>
      <x:c r="F209" s="21" t="n">
        <x:v>1</x:v>
      </x:c>
      <x:c r="G209" s="21" t="n">
        <x:f>'Controls'!$B$10*'Controls'!$B$11-'Controls'!$B$20*'Controls'!$B$21</x:f>
        <x:v>696</x:v>
      </x:c>
      <x:c r="H209" s="21" t="n">
        <x:v>1</x:v>
      </x:c>
      <x:c r="I209" s="21" t="n">
        <x:v>1</x:v>
      </x:c>
      <x:c r="J209" s="21" t="n">
        <x:v>1</x:v>
      </x:c>
      <x:c r="K209" s="21" t="n">
        <x:f>F209*G209*H209*I209*J209</x:f>
        <x:v>696</x:v>
      </x:c>
      <x:c r="L209" s="2" t="str">
        <x:v>Waste excluded from BOQ</x:v>
      </x:c>
      <x:c r="M209" s="2"/>
      <x:c r="N209" s="2"/>
      <x:c r="O209" s="2"/>
      <x:c r="P209" s="2"/>
      <x:c r="Q209" s="2"/>
    </x:row>
    <x:row r="210" ht="22" customHeight="1">
      <x:c r="A210" s="7" t="str">
        <x:v>M0203</x:v>
      </x:c>
      <x:c r="B210" s="7" t="str">
        <x:v>AR05</x:v>
      </x:c>
      <x:c r="C210" s="7" t="str">
        <x:v>T1</x:v>
      </x:c>
      <x:c r="D210" s="7" t="str">
        <x:v>L07</x:v>
      </x:c>
      <x:c r="E210" s="7" t="str">
        <x:v>Internal wall paint net</x:v>
      </x:c>
      <x:c r="F210" s="20" t="n">
        <x:v>2</x:v>
      </x:c>
      <x:c r="G210" s="20" t="n">
        <x:f>'Controls'!$B$45*('Controls'!$B$12-'Controls'!$B$13)-'Controls'!$B$48*'Controls'!$B$49*'Controls'!$B$50</x:f>
        <x:v>602.6800000000001</x:v>
      </x:c>
      <x:c r="H210" s="20" t="n">
        <x:v>1</x:v>
      </x:c>
      <x:c r="I210" s="20" t="n">
        <x:v>1</x:v>
      </x:c>
      <x:c r="J210" s="20" t="n">
        <x:v>1</x:v>
      </x:c>
      <x:c r="K210" s="20" t="n">
        <x:f>F210*G210*H210*I210*J210</x:f>
        <x:v>1205.3600000000001</x:v>
      </x:c>
      <x:c r="L210" s="7" t="str">
        <x:v>Finished area; two coats priced in rate</x:v>
      </x:c>
      <x:c r="M210" s="2"/>
      <x:c r="N210" s="2"/>
      <x:c r="O210" s="2"/>
      <x:c r="P210" s="2"/>
      <x:c r="Q210" s="2"/>
    </x:row>
    <x:row r="211" ht="22" customHeight="1">
      <x:c r="A211" s="2" t="str">
        <x:v>M0204</x:v>
      </x:c>
      <x:c r="B211" s="2" t="str">
        <x:v>AR06</x:v>
      </x:c>
      <x:c r="C211" s="2" t="str">
        <x:v>T1</x:v>
      </x:c>
      <x:c r="D211" s="2" t="str">
        <x:v>L07</x:v>
      </x:c>
      <x:c r="E211" s="2" t="str">
        <x:v>Door sets</x:v>
      </x:c>
      <x:c r="F211" s="21" t="n">
        <x:f>'Controls'!$B$48</x:f>
        <x:v>28</x:v>
      </x:c>
      <x:c r="G211" s="21" t="n">
        <x:v>1</x:v>
      </x:c>
      <x:c r="H211" s="21" t="n">
        <x:v>1</x:v>
      </x:c>
      <x:c r="I211" s="21" t="n">
        <x:v>1</x:v>
      </x:c>
      <x:c r="J211" s="21" t="n">
        <x:v>1</x:v>
      </x:c>
      <x:c r="K211" s="21" t="n">
        <x:f>F211*G211*H211*I211*J211</x:f>
        <x:v>28</x:v>
      </x:c>
      <x:c r="L211" s="2" t="str">
        <x:v>Door count, not double face</x:v>
      </x:c>
      <x:c r="M211" s="2"/>
      <x:c r="N211" s="2"/>
      <x:c r="O211" s="2"/>
      <x:c r="P211" s="2"/>
      <x:c r="Q211" s="2"/>
    </x:row>
    <x:row r="212" ht="22" customHeight="1">
      <x:c r="A212" s="7" t="str">
        <x:v>M0205</x:v>
      </x:c>
      <x:c r="B212" s="7" t="str">
        <x:v>RC03</x:v>
      </x:c>
      <x:c r="C212" s="7" t="str">
        <x:v>T1</x:v>
      </x:c>
      <x:c r="D212" s="7" t="str">
        <x:v>L08</x:v>
      </x:c>
      <x:c r="E212" s="7" t="str">
        <x:v>Floor slab gross</x:v>
      </x:c>
      <x:c r="F212" s="20" t="n">
        <x:v>1</x:v>
      </x:c>
      <x:c r="G212" s="20" t="n">
        <x:f>'Controls'!$B$10</x:f>
        <x:v>30</x:v>
      </x:c>
      <x:c r="H212" s="20" t="n">
        <x:f>'Controls'!$B$11</x:f>
        <x:v>24</x:v>
      </x:c>
      <x:c r="I212" s="20" t="n">
        <x:f>'Controls'!$B$13</x:f>
        <x:v>0.22</x:v>
      </x:c>
      <x:c r="J212" s="20" t="n">
        <x:v>1</x:v>
      </x:c>
      <x:c r="K212" s="20" t="n">
        <x:f>F212*G212*H212*I212*J212</x:f>
        <x:v>158.4</x:v>
      </x:c>
      <x:c r="L212" s="7" t="str">
        <x:v>Slab includes beam top flange; downstand separate</x:v>
      </x:c>
      <x:c r="M212" s="2"/>
      <x:c r="N212" s="2"/>
      <x:c r="O212" s="2"/>
      <x:c r="P212" s="2"/>
      <x:c r="Q212" s="2"/>
    </x:row>
    <x:row r="213" ht="22" customHeight="1">
      <x:c r="A213" s="2" t="str">
        <x:v>M0206</x:v>
      </x:c>
      <x:c r="B213" s="2" t="str">
        <x:v>RC03</x:v>
      </x:c>
      <x:c r="C213" s="2" t="str">
        <x:v>T1</x:v>
      </x:c>
      <x:c r="D213" s="2" t="str">
        <x:v>L08</x:v>
      </x:c>
      <x:c r="E213" s="2" t="str">
        <x:v>Stair opening deduction</x:v>
      </x:c>
      <x:c r="F213" s="21" t="n">
        <x:v>1</x:v>
      </x:c>
      <x:c r="G213" s="21" t="n">
        <x:f>'Controls'!$B$20</x:f>
        <x:v>4</x:v>
      </x:c>
      <x:c r="H213" s="21" t="n">
        <x:f>'Controls'!$B$21</x:f>
        <x:v>6</x:v>
      </x:c>
      <x:c r="I213" s="21" t="n">
        <x:f>'Controls'!$B$13</x:f>
        <x:v>0.22</x:v>
      </x:c>
      <x:c r="J213" s="21" t="n">
        <x:v>-1</x:v>
      </x:c>
      <x:c r="K213" s="21" t="n">
        <x:f>F213*G213*H213*I213*J213</x:f>
        <x:v>-5.28</x:v>
      </x:c>
      <x:c r="L213" s="2" t="str">
        <x:v>Opening OP-01</x:v>
      </x:c>
      <x:c r="M213" s="2"/>
      <x:c r="N213" s="2"/>
      <x:c r="O213" s="2"/>
      <x:c r="P213" s="2"/>
      <x:c r="Q213" s="2"/>
    </x:row>
    <x:row r="214" ht="22" customHeight="1">
      <x:c r="A214" s="7" t="str">
        <x:v>M0207</x:v>
      </x:c>
      <x:c r="B214" s="7" t="str">
        <x:v>RC04</x:v>
      </x:c>
      <x:c r="C214" s="7" t="str">
        <x:v>T1</x:v>
      </x:c>
      <x:c r="D214" s="7" t="str">
        <x:v>L08</x:v>
      </x:c>
      <x:c r="E214" s="7" t="str">
        <x:v>Beam downstands X</x:v>
      </x:c>
      <x:c r="F214" s="20" t="n">
        <x:v>1</x:v>
      </x:c>
      <x:c r="G214" s="20" t="n">
        <x:f>5*5*('Controls'!$B$10/5-'Controls'!$B$14)</x:f>
        <x:v>137.5</x:v>
      </x:c>
      <x:c r="H214" s="20" t="n">
        <x:f>'Controls'!$B$16</x:f>
        <x:v>0.3</x:v>
      </x:c>
      <x:c r="I214" s="20" t="n">
        <x:f>'Controls'!$B$17-'Controls'!$B$13</x:f>
        <x:v>0.38</x:v>
      </x:c>
      <x:c r="J214" s="20" t="n">
        <x:v>1</x:v>
      </x:c>
      <x:c r="K214" s="20" t="n">
        <x:f>F214*G214*H214*I214*J214</x:f>
        <x:v>15.675</x:v>
      </x:c>
      <x:c r="L214" s="7" t="str">
        <x:v>Clear spans between column faces; no joint overlap</x:v>
      </x:c>
      <x:c r="M214" s="2"/>
      <x:c r="N214" s="2"/>
      <x:c r="O214" s="2"/>
      <x:c r="P214" s="2"/>
      <x:c r="Q214" s="2"/>
    </x:row>
    <x:row r="215" ht="22" customHeight="1">
      <x:c r="A215" s="2" t="str">
        <x:v>M0208</x:v>
      </x:c>
      <x:c r="B215" s="2" t="str">
        <x:v>FW02</x:v>
      </x:c>
      <x:c r="C215" s="2" t="str">
        <x:v>T1</x:v>
      </x:c>
      <x:c r="D215" s="2" t="str">
        <x:v>L08</x:v>
      </x:c>
      <x:c r="E215" s="2" t="str">
        <x:v>Beam forms X</x:v>
      </x:c>
      <x:c r="F215" s="21" t="n">
        <x:v>1</x:v>
      </x:c>
      <x:c r="G215" s="21" t="n">
        <x:f>5*5*('Controls'!$B$10/5-'Controls'!$B$14)</x:f>
        <x:v>137.5</x:v>
      </x:c>
      <x:c r="H215" s="21" t="n">
        <x:f>'Controls'!$B$16+2*('Controls'!$B$17-'Controls'!$B$13)</x:f>
        <x:v>1.06</x:v>
      </x:c>
      <x:c r="I215" s="21" t="n">
        <x:v>1</x:v>
      </x:c>
      <x:c r="J215" s="21" t="n">
        <x:v>1</x:v>
      </x:c>
      <x:c r="K215" s="21" t="n">
        <x:f>F215*G215*H215*I215*J215</x:f>
        <x:v>145.75</x:v>
      </x:c>
      <x:c r="L215" s="2" t="str">
        <x:v>Soffit plus two downstand sides</x:v>
      </x:c>
      <x:c r="M215" s="2"/>
      <x:c r="N215" s="2"/>
      <x:c r="O215" s="2"/>
      <x:c r="P215" s="2"/>
      <x:c r="Q215" s="2"/>
    </x:row>
    <x:row r="216" ht="22" customHeight="1">
      <x:c r="A216" s="7" t="str">
        <x:v>M0209</x:v>
      </x:c>
      <x:c r="B216" s="7" t="str">
        <x:v>RC04</x:v>
      </x:c>
      <x:c r="C216" s="7" t="str">
        <x:v>T1</x:v>
      </x:c>
      <x:c r="D216" s="7" t="str">
        <x:v>L08</x:v>
      </x:c>
      <x:c r="E216" s="7" t="str">
        <x:v>Beam downstands Y</x:v>
      </x:c>
      <x:c r="F216" s="20" t="n">
        <x:v>1</x:v>
      </x:c>
      <x:c r="G216" s="20" t="n">
        <x:f>6*4*('Controls'!$B$11/4-'Controls'!$B$15)</x:f>
        <x:v>132</x:v>
      </x:c>
      <x:c r="H216" s="20" t="n">
        <x:f>'Controls'!$B$16</x:f>
        <x:v>0.3</x:v>
      </x:c>
      <x:c r="I216" s="20" t="n">
        <x:f>'Controls'!$B$17-'Controls'!$B$13</x:f>
        <x:v>0.38</x:v>
      </x:c>
      <x:c r="J216" s="20" t="n">
        <x:v>1</x:v>
      </x:c>
      <x:c r="K216" s="20" t="n">
        <x:f>F216*G216*H216*I216*J216</x:f>
        <x:v>15.048</x:v>
      </x:c>
      <x:c r="L216" s="7" t="str">
        <x:v>Clear spans between column faces; no joint overlap</x:v>
      </x:c>
      <x:c r="M216" s="2"/>
      <x:c r="N216" s="2"/>
      <x:c r="O216" s="2"/>
      <x:c r="P216" s="2"/>
      <x:c r="Q216" s="2"/>
    </x:row>
    <x:row r="217" ht="22" customHeight="1">
      <x:c r="A217" s="2" t="str">
        <x:v>M0210</x:v>
      </x:c>
      <x:c r="B217" s="2" t="str">
        <x:v>FW02</x:v>
      </x:c>
      <x:c r="C217" s="2" t="str">
        <x:v>T1</x:v>
      </x:c>
      <x:c r="D217" s="2" t="str">
        <x:v>L08</x:v>
      </x:c>
      <x:c r="E217" s="2" t="str">
        <x:v>Beam forms Y</x:v>
      </x:c>
      <x:c r="F217" s="21" t="n">
        <x:v>1</x:v>
      </x:c>
      <x:c r="G217" s="21" t="n">
        <x:f>6*4*('Controls'!$B$11/4-'Controls'!$B$15)</x:f>
        <x:v>132</x:v>
      </x:c>
      <x:c r="H217" s="21" t="n">
        <x:f>'Controls'!$B$16+2*('Controls'!$B$17-'Controls'!$B$13)</x:f>
        <x:v>1.06</x:v>
      </x:c>
      <x:c r="I217" s="21" t="n">
        <x:v>1</x:v>
      </x:c>
      <x:c r="J217" s="21" t="n">
        <x:v>1</x:v>
      </x:c>
      <x:c r="K217" s="21" t="n">
        <x:f>F217*G217*H217*I217*J217</x:f>
        <x:v>139.92000000000002</x:v>
      </x:c>
      <x:c r="L217" s="2" t="str">
        <x:v>Soffit plus two downstand sides</x:v>
      </x:c>
      <x:c r="M217" s="2"/>
      <x:c r="N217" s="2"/>
      <x:c r="O217" s="2"/>
      <x:c r="P217" s="2"/>
      <x:c r="Q217" s="2"/>
    </x:row>
    <x:row r="218" ht="22" customHeight="1">
      <x:c r="A218" s="7" t="str">
        <x:v>M0211</x:v>
      </x:c>
      <x:c r="B218" s="7" t="str">
        <x:v>RC05</x:v>
      </x:c>
      <x:c r="C218" s="7" t="str">
        <x:v>T1</x:v>
      </x:c>
      <x:c r="D218" s="7" t="str">
        <x:v>L08</x:v>
      </x:c>
      <x:c r="E218" s="7" t="str">
        <x:v>Thirty columns, clear storey</x:v>
      </x:c>
      <x:c r="F218" s="20" t="n">
        <x:v>30</x:v>
      </x:c>
      <x:c r="G218" s="20" t="n">
        <x:f>'Controls'!$B$14</x:f>
        <x:v>0.5</x:v>
      </x:c>
      <x:c r="H218" s="20" t="n">
        <x:f>'Controls'!$B$15</x:f>
        <x:v>0.5</x:v>
      </x:c>
      <x:c r="I218" s="20" t="n">
        <x:f>'Controls'!$B$12-'Controls'!$B$13</x:f>
        <x:v>2.98</x:v>
      </x:c>
      <x:c r="J218" s="20" t="n">
        <x:v>1</x:v>
      </x:c>
      <x:c r="K218" s="20" t="n">
        <x:f>F218*G218*H218*I218*J218</x:f>
        <x:v>22.35</x:v>
      </x:c>
      <x:c r="L218" s="7" t="str">
        <x:v>Slab volume excluded from columns</x:v>
      </x:c>
      <x:c r="M218" s="2"/>
      <x:c r="N218" s="2"/>
      <x:c r="O218" s="2"/>
      <x:c r="P218" s="2"/>
      <x:c r="Q218" s="2"/>
    </x:row>
    <x:row r="219" ht="22" customHeight="1">
      <x:c r="A219" s="2" t="str">
        <x:v>M0212</x:v>
      </x:c>
      <x:c r="B219" s="2" t="str">
        <x:v>RC06</x:v>
      </x:c>
      <x:c r="C219" s="2" t="str">
        <x:v>T1</x:v>
      </x:c>
      <x:c r="D219" s="2" t="str">
        <x:v>L08</x:v>
      </x:c>
      <x:c r="E219" s="2" t="str">
        <x:v>Core walls clear storey</x:v>
      </x:c>
      <x:c r="F219" s="21" t="n">
        <x:v>1</x:v>
      </x:c>
      <x:c r="G219" s="21" t="n">
        <x:f>'Controls'!$B$19</x:f>
        <x:v>24</x:v>
      </x:c>
      <x:c r="H219" s="21" t="n">
        <x:f>'Controls'!$B$18</x:f>
        <x:v>0.25</x:v>
      </x:c>
      <x:c r="I219" s="21" t="n">
        <x:f>'Controls'!$B$12-'Controls'!$B$13</x:f>
        <x:v>2.98</x:v>
      </x:c>
      <x:c r="J219" s="21" t="n">
        <x:v>1</x:v>
      </x:c>
      <x:c r="K219" s="21" t="n">
        <x:f>F219*G219*H219*I219*J219</x:f>
        <x:v>17.88</x:v>
      </x:c>
      <x:c r="L219" s="2" t="str">
        <x:v>Net clear wall length excludes corners</x:v>
      </x:c>
      <x:c r="M219" s="2"/>
      <x:c r="N219" s="2"/>
      <x:c r="O219" s="2"/>
      <x:c r="P219" s="2"/>
      <x:c r="Q219" s="2"/>
    </x:row>
    <x:row r="220" ht="22" customHeight="1">
      <x:c r="A220" s="7" t="str">
        <x:v>M0213</x:v>
      </x:c>
      <x:c r="B220" s="7" t="str">
        <x:v>RC07</x:v>
      </x:c>
      <x:c r="C220" s="7" t="str">
        <x:v>T1</x:v>
      </x:c>
      <x:c r="D220" s="7" t="str">
        <x:v>L08</x:v>
      </x:c>
      <x:c r="E220" s="7" t="str">
        <x:v>Stair flights waist</x:v>
      </x:c>
      <x:c r="F220" s="20" t="n">
        <x:v>2</x:v>
      </x:c>
      <x:c r="G220" s="20" t="n">
        <x:v>4.1</x:v>
      </x:c>
      <x:c r="H220" s="20" t="n">
        <x:v>1.2</x:v>
      </x:c>
      <x:c r="I220" s="20" t="n">
        <x:v>0.18</x:v>
      </x:c>
      <x:c r="J220" s="20" t="n">
        <x:v>1</x:v>
      </x:c>
      <x:c r="K220" s="20" t="n">
        <x:f>F220*G220*H220*I220*J220</x:f>
        <x:v>1.7711999999999997</x:v>
      </x:c>
      <x:c r="L220" s="7" t="str">
        <x:v>Two flights; geometry separate from floor slab</x:v>
      </x:c>
      <x:c r="M220" s="2"/>
      <x:c r="N220" s="2"/>
      <x:c r="O220" s="2"/>
      <x:c r="P220" s="2"/>
      <x:c r="Q220" s="2"/>
    </x:row>
    <x:row r="221" ht="22" customHeight="1">
      <x:c r="A221" s="2" t="str">
        <x:v>M0214</x:v>
      </x:c>
      <x:c r="B221" s="2" t="str">
        <x:v>RC07</x:v>
      </x:c>
      <x:c r="C221" s="2" t="str">
        <x:v>T1</x:v>
      </x:c>
      <x:c r="D221" s="2" t="str">
        <x:v>L08</x:v>
      </x:c>
      <x:c r="E221" s="2" t="str">
        <x:v>Stair landings</x:v>
      </x:c>
      <x:c r="F221" s="21" t="n">
        <x:v>2</x:v>
      </x:c>
      <x:c r="G221" s="21" t="n">
        <x:v>2</x:v>
      </x:c>
      <x:c r="H221" s="21" t="n">
        <x:v>1.2</x:v>
      </x:c>
      <x:c r="I221" s="21" t="n">
        <x:v>0.18</x:v>
      </x:c>
      <x:c r="J221" s="21" t="n">
        <x:v>1</x:v>
      </x:c>
      <x:c r="K221" s="21" t="n">
        <x:f>F221*G221*H221*I221*J221</x:f>
        <x:v>0.864</x:v>
      </x:c>
      <x:c r="L221" s="2" t="str">
        <x:v>Within stair opening</x:v>
      </x:c>
      <x:c r="M221" s="2"/>
      <x:c r="N221" s="2"/>
      <x:c r="O221" s="2"/>
      <x:c r="P221" s="2"/>
      <x:c r="Q221" s="2"/>
    </x:row>
    <x:row r="222" ht="22" customHeight="1">
      <x:c r="A222" s="7" t="str">
        <x:v>M0215</x:v>
      </x:c>
      <x:c r="B222" s="7" t="str">
        <x:v>FW01</x:v>
      </x:c>
      <x:c r="C222" s="7" t="str">
        <x:v>T1</x:v>
      </x:c>
      <x:c r="D222" s="7" t="str">
        <x:v>L08</x:v>
      </x:c>
      <x:c r="E222" s="7" t="str">
        <x:v>Slab soffit gross</x:v>
      </x:c>
      <x:c r="F222" s="20" t="n">
        <x:v>1</x:v>
      </x:c>
      <x:c r="G222" s="20" t="n">
        <x:f>'Controls'!$B$10</x:f>
        <x:v>30</x:v>
      </x:c>
      <x:c r="H222" s="20" t="n">
        <x:f>'Controls'!$B$11</x:f>
        <x:v>24</x:v>
      </x:c>
      <x:c r="I222" s="20" t="n">
        <x:v>1</x:v>
      </x:c>
      <x:c r="J222" s="20" t="n">
        <x:v>1</x:v>
      </x:c>
      <x:c r="K222" s="20" t="n">
        <x:f>F222*G222*H222*I222*J222</x:f>
        <x:v>720</x:v>
      </x:c>
      <x:c r="L222" s="7" t="str">
        <x:v>Beam soffit deducted below</x:v>
      </x:c>
      <x:c r="M222" s="2"/>
      <x:c r="N222" s="2"/>
      <x:c r="O222" s="2"/>
      <x:c r="P222" s="2"/>
      <x:c r="Q222" s="2"/>
    </x:row>
    <x:row r="223" ht="22" customHeight="1">
      <x:c r="A223" s="2" t="str">
        <x:v>M0216</x:v>
      </x:c>
      <x:c r="B223" s="2" t="str">
        <x:v>FW01</x:v>
      </x:c>
      <x:c r="C223" s="2" t="str">
        <x:v>T1</x:v>
      </x:c>
      <x:c r="D223" s="2" t="str">
        <x:v>L08</x:v>
      </x:c>
      <x:c r="E223" s="2" t="str">
        <x:v>Stair opening deduction</x:v>
      </x:c>
      <x:c r="F223" s="21" t="n">
        <x:v>1</x:v>
      </x:c>
      <x:c r="G223" s="21" t="n">
        <x:f>'Controls'!$B$20</x:f>
        <x:v>4</x:v>
      </x:c>
      <x:c r="H223" s="21" t="n">
        <x:f>'Controls'!$B$21</x:f>
        <x:v>6</x:v>
      </x:c>
      <x:c r="I223" s="21" t="n">
        <x:v>1</x:v>
      </x:c>
      <x:c r="J223" s="21" t="n">
        <x:v>-1</x:v>
      </x:c>
      <x:c r="K223" s="21" t="n">
        <x:f>F223*G223*H223*I223*J223</x:f>
        <x:v>-24</x:v>
      </x:c>
      <x:c r="L223" s="2" t="str">
        <x:v>OP-01</x:v>
      </x:c>
      <x:c r="M223" s="2"/>
      <x:c r="N223" s="2"/>
      <x:c r="O223" s="2"/>
      <x:c r="P223" s="2"/>
      <x:c r="Q223" s="2"/>
    </x:row>
    <x:row r="224" ht="22" customHeight="1">
      <x:c r="A224" s="7" t="str">
        <x:v>M0217</x:v>
      </x:c>
      <x:c r="B224" s="7" t="str">
        <x:v>FW01</x:v>
      </x:c>
      <x:c r="C224" s="7" t="str">
        <x:v>T1</x:v>
      </x:c>
      <x:c r="D224" s="7" t="str">
        <x:v>L08</x:v>
      </x:c>
      <x:c r="E224" s="7" t="str">
        <x:v>Beam soffit deduction</x:v>
      </x:c>
      <x:c r="F224" s="20" t="n">
        <x:v>1</x:v>
      </x:c>
      <x:c r="G224" s="20" t="n">
        <x:f>5*5*('Controls'!$B$10/5-'Controls'!$B$14)+6*4*('Controls'!$B$11/4-'Controls'!$B$15)</x:f>
        <x:v>269.5</x:v>
      </x:c>
      <x:c r="H224" s="20" t="n">
        <x:f>'Controls'!$B$16</x:f>
        <x:v>0.3</x:v>
      </x:c>
      <x:c r="I224" s="20" t="n">
        <x:v>1</x:v>
      </x:c>
      <x:c r="J224" s="20" t="n">
        <x:v>-1</x:v>
      </x:c>
      <x:c r="K224" s="20" t="n">
        <x:f>F224*G224*H224*I224*J224</x:f>
        <x:v>-80.85</x:v>
      </x:c>
      <x:c r="L224" s="7" t="str">
        <x:v>Beam forms measured in FW02</x:v>
      </x:c>
      <x:c r="M224" s="2"/>
      <x:c r="N224" s="2"/>
      <x:c r="O224" s="2"/>
      <x:c r="P224" s="2"/>
      <x:c r="Q224" s="2"/>
    </x:row>
    <x:row r="225" ht="22" customHeight="1">
      <x:c r="A225" s="2" t="str">
        <x:v>M0218</x:v>
      </x:c>
      <x:c r="B225" s="2" t="str">
        <x:v>FW03</x:v>
      </x:c>
      <x:c r="C225" s="2" t="str">
        <x:v>T1</x:v>
      </x:c>
      <x:c r="D225" s="2" t="str">
        <x:v>L08</x:v>
      </x:c>
      <x:c r="E225" s="2" t="str">
        <x:v>Column four faces</x:v>
      </x:c>
      <x:c r="F225" s="21" t="n">
        <x:v>30</x:v>
      </x:c>
      <x:c r="G225" s="21" t="n">
        <x:f>2*('Controls'!$B$14+'Controls'!$B$15)</x:f>
        <x:v>2</x:v>
      </x:c>
      <x:c r="H225" s="21" t="n">
        <x:f>'Controls'!$B$12-'Controls'!$B$13</x:f>
        <x:v>2.98</x:v>
      </x:c>
      <x:c r="I225" s="21" t="n">
        <x:v>1</x:v>
      </x:c>
      <x:c r="J225" s="21" t="n">
        <x:v>1</x:v>
      </x:c>
      <x:c r="K225" s="21" t="n">
        <x:f>F225*G225*H225*I225*J225</x:f>
        <x:v>178.8</x:v>
      </x:c>
      <x:c r="L225" s="2" t="str">
        <x:v>Clear floor-to-soffit</x:v>
      </x:c>
      <x:c r="M225" s="2"/>
      <x:c r="N225" s="2"/>
      <x:c r="O225" s="2"/>
      <x:c r="P225" s="2"/>
      <x:c r="Q225" s="2"/>
    </x:row>
    <x:row r="226" ht="22" customHeight="1">
      <x:c r="A226" s="7" t="str">
        <x:v>M0219</x:v>
      </x:c>
      <x:c r="B226" s="7" t="str">
        <x:v>FW04</x:v>
      </x:c>
      <x:c r="C226" s="7" t="str">
        <x:v>T1</x:v>
      </x:c>
      <x:c r="D226" s="7" t="str">
        <x:v>L08</x:v>
      </x:c>
      <x:c r="E226" s="7" t="str">
        <x:v>Core wall two faces</x:v>
      </x:c>
      <x:c r="F226" s="20" t="n">
        <x:v>2</x:v>
      </x:c>
      <x:c r="G226" s="20" t="n">
        <x:f>'Controls'!$B$19</x:f>
        <x:v>24</x:v>
      </x:c>
      <x:c r="H226" s="20" t="n">
        <x:f>'Controls'!$B$12-'Controls'!$B$13</x:f>
        <x:v>2.98</x:v>
      </x:c>
      <x:c r="I226" s="20" t="n">
        <x:v>1</x:v>
      </x:c>
      <x:c r="J226" s="20" t="n">
        <x:v>1</x:v>
      </x:c>
      <x:c r="K226" s="20" t="n">
        <x:f>F226*G226*H226*I226*J226</x:f>
        <x:v>143.04</x:v>
      </x:c>
      <x:c r="L226" s="7" t="str">
        <x:v>Net perimeter, no repeated corners</x:v>
      </x:c>
      <x:c r="M226" s="2"/>
      <x:c r="N226" s="2"/>
      <x:c r="O226" s="2"/>
      <x:c r="P226" s="2"/>
      <x:c r="Q226" s="2"/>
    </x:row>
    <x:row r="227" ht="22" customHeight="1">
      <x:c r="A227" s="2" t="str">
        <x:v>M0220</x:v>
      </x:c>
      <x:c r="B227" s="2" t="str">
        <x:v>AR01</x:v>
      </x:c>
      <x:c r="C227" s="2" t="str">
        <x:v>T1</x:v>
      </x:c>
      <x:c r="D227" s="2" t="str">
        <x:v>L08</x:v>
      </x:c>
      <x:c r="E227" s="2" t="str">
        <x:v>Partition walls gross</x:v>
      </x:c>
      <x:c r="F227" s="21" t="n">
        <x:v>1</x:v>
      </x:c>
      <x:c r="G227" s="21" t="n">
        <x:f>'Controls'!$B$45</x:f>
        <x:v>220</x:v>
      </x:c>
      <x:c r="H227" s="21" t="n">
        <x:f>'Controls'!$B$12-'Controls'!$B$13</x:f>
        <x:v>2.98</x:v>
      </x:c>
      <x:c r="I227" s="21" t="n">
        <x:f>'Controls'!$B$46</x:f>
        <x:v>0.15</x:v>
      </x:c>
      <x:c r="J227" s="21" t="n">
        <x:v>1</x:v>
      </x:c>
      <x:c r="K227" s="21" t="n">
        <x:f>F227*G227*H227*I227*J227</x:f>
        <x:v>98.34</x:v>
      </x:c>
      <x:c r="L227" s="2" t="str">
        <x:v>Net openings deducted below</x:v>
      </x:c>
      <x:c r="M227" s="2"/>
      <x:c r="N227" s="2"/>
      <x:c r="O227" s="2"/>
      <x:c r="P227" s="2"/>
      <x:c r="Q227" s="2"/>
    </x:row>
    <x:row r="228" ht="22" customHeight="1">
      <x:c r="A228" s="7" t="str">
        <x:v>M0221</x:v>
      </x:c>
      <x:c r="B228" s="7" t="str">
        <x:v>AR01</x:v>
      </x:c>
      <x:c r="C228" s="7" t="str">
        <x:v>T1</x:v>
      </x:c>
      <x:c r="D228" s="7" t="str">
        <x:v>L08</x:v>
      </x:c>
      <x:c r="E228" s="7" t="str">
        <x:v>Internal doors deduction</x:v>
      </x:c>
      <x:c r="F228" s="20" t="n">
        <x:f>'Controls'!$B$48</x:f>
        <x:v>28</x:v>
      </x:c>
      <x:c r="G228" s="20" t="n">
        <x:f>'Controls'!$B$49</x:f>
        <x:v>0.9</x:v>
      </x:c>
      <x:c r="H228" s="20" t="n">
        <x:f>'Controls'!$B$50</x:f>
        <x:v>2.1</x:v>
      </x:c>
      <x:c r="I228" s="20" t="n">
        <x:f>'Controls'!$B$46</x:f>
        <x:v>0.15</x:v>
      </x:c>
      <x:c r="J228" s="20" t="n">
        <x:v>-1</x:v>
      </x:c>
      <x:c r="K228" s="20" t="n">
        <x:f>F228*G228*H228*I228*J228</x:f>
        <x:v>-7.938</x:v>
      </x:c>
      <x:c r="L228" s="7" t="str">
        <x:v>28 doors per floor, OP-02</x:v>
      </x:c>
      <x:c r="M228" s="2"/>
      <x:c r="N228" s="2"/>
      <x:c r="O228" s="2"/>
      <x:c r="P228" s="2"/>
      <x:c r="Q228" s="2"/>
    </x:row>
    <x:row r="229" ht="22" customHeight="1">
      <x:c r="A229" s="2" t="str">
        <x:v>M0222</x:v>
      </x:c>
      <x:c r="B229" s="2" t="str">
        <x:v>AR02</x:v>
      </x:c>
      <x:c r="C229" s="2" t="str">
        <x:v>T1</x:v>
      </x:c>
      <x:c r="D229" s="2" t="str">
        <x:v>L08</x:v>
      </x:c>
      <x:c r="E229" s="2" t="str">
        <x:v>Internal plaster gross</x:v>
      </x:c>
      <x:c r="F229" s="21" t="n">
        <x:v>2</x:v>
      </x:c>
      <x:c r="G229" s="21" t="n">
        <x:f>'Controls'!$B$45</x:f>
        <x:v>220</x:v>
      </x:c>
      <x:c r="H229" s="21" t="n">
        <x:f>'Controls'!$B$12-'Controls'!$B$13</x:f>
        <x:v>2.98</x:v>
      </x:c>
      <x:c r="I229" s="21" t="n">
        <x:v>1</x:v>
      </x:c>
      <x:c r="J229" s="21" t="n">
        <x:v>1</x:v>
      </x:c>
      <x:c r="K229" s="21" t="n">
        <x:f>F229*G229*H229*I229*J229</x:f>
        <x:v>1311.2</x:v>
      </x:c>
      <x:c r="L229" s="2" t="str">
        <x:v>Both faces of partition walls</x:v>
      </x:c>
      <x:c r="M229" s="2"/>
      <x:c r="N229" s="2"/>
      <x:c r="O229" s="2"/>
      <x:c r="P229" s="2"/>
      <x:c r="Q229" s="2"/>
    </x:row>
    <x:row r="230" ht="22" customHeight="1">
      <x:c r="A230" s="7" t="str">
        <x:v>M0223</x:v>
      </x:c>
      <x:c r="B230" s="7" t="str">
        <x:v>AR02</x:v>
      </x:c>
      <x:c r="C230" s="7" t="str">
        <x:v>T1</x:v>
      </x:c>
      <x:c r="D230" s="7" t="str">
        <x:v>L08</x:v>
      </x:c>
      <x:c r="E230" s="7" t="str">
        <x:v>Door area deduction both faces</x:v>
      </x:c>
      <x:c r="F230" s="20" t="n">
        <x:f>2*'Controls'!$B$48</x:f>
        <x:v>56</x:v>
      </x:c>
      <x:c r="G230" s="20" t="n">
        <x:f>'Controls'!$B$49</x:f>
        <x:v>0.9</x:v>
      </x:c>
      <x:c r="H230" s="20" t="n">
        <x:f>'Controls'!$B$50</x:f>
        <x:v>2.1</x:v>
      </x:c>
      <x:c r="I230" s="20" t="n">
        <x:v>1</x:v>
      </x:c>
      <x:c r="J230" s="20" t="n">
        <x:v>-1</x:v>
      </x:c>
      <x:c r="K230" s="20" t="n">
        <x:f>F230*G230*H230*I230*J230</x:f>
        <x:v>-105.84</x:v>
      </x:c>
      <x:c r="L230" s="7" t="str">
        <x:v>No plaster over openings</x:v>
      </x:c>
      <x:c r="M230" s="2"/>
      <x:c r="N230" s="2"/>
      <x:c r="O230" s="2"/>
      <x:c r="P230" s="2"/>
      <x:c r="Q230" s="2"/>
    </x:row>
    <x:row r="231" ht="22" customHeight="1">
      <x:c r="A231" s="2" t="str">
        <x:v>M0224</x:v>
      </x:c>
      <x:c r="B231" s="2" t="str">
        <x:v>AR03</x:v>
      </x:c>
      <x:c r="C231" s="2" t="str">
        <x:v>T1</x:v>
      </x:c>
      <x:c r="D231" s="2" t="str">
        <x:v>L08</x:v>
      </x:c>
      <x:c r="E231" s="2" t="str">
        <x:v>Floor screed net</x:v>
      </x:c>
      <x:c r="F231" s="21" t="n">
        <x:v>1</x:v>
      </x:c>
      <x:c r="G231" s="21" t="n">
        <x:f>'Controls'!$B$10*'Controls'!$B$11-'Controls'!$B$20*'Controls'!$B$21</x:f>
        <x:v>696</x:v>
      </x:c>
      <x:c r="H231" s="21" t="n">
        <x:v>1</x:v>
      </x:c>
      <x:c r="I231" s="21" t="n">
        <x:v>1</x:v>
      </x:c>
      <x:c r="J231" s="21" t="n">
        <x:v>1</x:v>
      </x:c>
      <x:c r="K231" s="21" t="n">
        <x:f>F231*G231*H231*I231*J231</x:f>
        <x:v>696</x:v>
      </x:c>
      <x:c r="L231" s="2" t="str">
        <x:v>Net structural floor area</x:v>
      </x:c>
      <x:c r="M231" s="2"/>
      <x:c r="N231" s="2"/>
      <x:c r="O231" s="2"/>
      <x:c r="P231" s="2"/>
      <x:c r="Q231" s="2"/>
    </x:row>
    <x:row r="232" ht="22" customHeight="1">
      <x:c r="A232" s="7" t="str">
        <x:v>M0225</x:v>
      </x:c>
      <x:c r="B232" s="7" t="str">
        <x:v>AR04</x:v>
      </x:c>
      <x:c r="C232" s="7" t="str">
        <x:v>T1</x:v>
      </x:c>
      <x:c r="D232" s="7" t="str">
        <x:v>L08</x:v>
      </x:c>
      <x:c r="E232" s="7" t="str">
        <x:v>Floor finish net</x:v>
      </x:c>
      <x:c r="F232" s="20" t="n">
        <x:v>1</x:v>
      </x:c>
      <x:c r="G232" s="20" t="n">
        <x:f>'Controls'!$B$10*'Controls'!$B$11-'Controls'!$B$20*'Controls'!$B$21</x:f>
        <x:v>696</x:v>
      </x:c>
      <x:c r="H232" s="20" t="n">
        <x:v>1</x:v>
      </x:c>
      <x:c r="I232" s="20" t="n">
        <x:v>1</x:v>
      </x:c>
      <x:c r="J232" s="20" t="n">
        <x:v>1</x:v>
      </x:c>
      <x:c r="K232" s="20" t="n">
        <x:f>F232*G232*H232*I232*J232</x:f>
        <x:v>696</x:v>
      </x:c>
      <x:c r="L232" s="7" t="str">
        <x:v>Waste excluded from BOQ</x:v>
      </x:c>
      <x:c r="M232" s="2"/>
      <x:c r="N232" s="2"/>
      <x:c r="O232" s="2"/>
      <x:c r="P232" s="2"/>
      <x:c r="Q232" s="2"/>
    </x:row>
    <x:row r="233" ht="22" customHeight="1">
      <x:c r="A233" s="2" t="str">
        <x:v>M0226</x:v>
      </x:c>
      <x:c r="B233" s="2" t="str">
        <x:v>AR05</x:v>
      </x:c>
      <x:c r="C233" s="2" t="str">
        <x:v>T1</x:v>
      </x:c>
      <x:c r="D233" s="2" t="str">
        <x:v>L08</x:v>
      </x:c>
      <x:c r="E233" s="2" t="str">
        <x:v>Internal wall paint net</x:v>
      </x:c>
      <x:c r="F233" s="21" t="n">
        <x:v>2</x:v>
      </x:c>
      <x:c r="G233" s="21" t="n">
        <x:f>'Controls'!$B$45*('Controls'!$B$12-'Controls'!$B$13)-'Controls'!$B$48*'Controls'!$B$49*'Controls'!$B$50</x:f>
        <x:v>602.6800000000001</x:v>
      </x:c>
      <x:c r="H233" s="21" t="n">
        <x:v>1</x:v>
      </x:c>
      <x:c r="I233" s="21" t="n">
        <x:v>1</x:v>
      </x:c>
      <x:c r="J233" s="21" t="n">
        <x:v>1</x:v>
      </x:c>
      <x:c r="K233" s="21" t="n">
        <x:f>F233*G233*H233*I233*J233</x:f>
        <x:v>1205.3600000000001</x:v>
      </x:c>
      <x:c r="L233" s="2" t="str">
        <x:v>Finished area; two coats priced in rate</x:v>
      </x:c>
      <x:c r="M233" s="2"/>
      <x:c r="N233" s="2"/>
      <x:c r="O233" s="2"/>
      <x:c r="P233" s="2"/>
      <x:c r="Q233" s="2"/>
    </x:row>
    <x:row r="234" ht="22" customHeight="1">
      <x:c r="A234" s="7" t="str">
        <x:v>M0227</x:v>
      </x:c>
      <x:c r="B234" s="7" t="str">
        <x:v>AR06</x:v>
      </x:c>
      <x:c r="C234" s="7" t="str">
        <x:v>T1</x:v>
      </x:c>
      <x:c r="D234" s="7" t="str">
        <x:v>L08</x:v>
      </x:c>
      <x:c r="E234" s="7" t="str">
        <x:v>Door sets</x:v>
      </x:c>
      <x:c r="F234" s="20" t="n">
        <x:f>'Controls'!$B$48</x:f>
        <x:v>28</x:v>
      </x:c>
      <x:c r="G234" s="20" t="n">
        <x:v>1</x:v>
      </x:c>
      <x:c r="H234" s="20" t="n">
        <x:v>1</x:v>
      </x:c>
      <x:c r="I234" s="20" t="n">
        <x:v>1</x:v>
      </x:c>
      <x:c r="J234" s="20" t="n">
        <x:v>1</x:v>
      </x:c>
      <x:c r="K234" s="20" t="n">
        <x:f>F234*G234*H234*I234*J234</x:f>
        <x:v>28</x:v>
      </x:c>
      <x:c r="L234" s="7" t="str">
        <x:v>Door count, not double face</x:v>
      </x:c>
      <x:c r="M234" s="2"/>
      <x:c r="N234" s="2"/>
      <x:c r="O234" s="2"/>
      <x:c r="P234" s="2"/>
      <x:c r="Q234" s="2"/>
    </x:row>
    <x:row r="235" ht="22" customHeight="1">
      <x:c r="A235" s="2" t="str">
        <x:v>M0228</x:v>
      </x:c>
      <x:c r="B235" s="2" t="str">
        <x:v>RC03</x:v>
      </x:c>
      <x:c r="C235" s="2" t="str">
        <x:v>T1</x:v>
      </x:c>
      <x:c r="D235" s="2" t="str">
        <x:v>L09</x:v>
      </x:c>
      <x:c r="E235" s="2" t="str">
        <x:v>Floor slab gross</x:v>
      </x:c>
      <x:c r="F235" s="21" t="n">
        <x:v>1</x:v>
      </x:c>
      <x:c r="G235" s="21" t="n">
        <x:f>'Controls'!$B$10</x:f>
        <x:v>30</x:v>
      </x:c>
      <x:c r="H235" s="21" t="n">
        <x:f>'Controls'!$B$11</x:f>
        <x:v>24</x:v>
      </x:c>
      <x:c r="I235" s="21" t="n">
        <x:f>'Controls'!$B$13</x:f>
        <x:v>0.22</x:v>
      </x:c>
      <x:c r="J235" s="21" t="n">
        <x:v>1</x:v>
      </x:c>
      <x:c r="K235" s="21" t="n">
        <x:f>F235*G235*H235*I235*J235</x:f>
        <x:v>158.4</x:v>
      </x:c>
      <x:c r="L235" s="2" t="str">
        <x:v>Slab includes beam top flange; downstand separate</x:v>
      </x:c>
      <x:c r="M235" s="2"/>
      <x:c r="N235" s="2"/>
      <x:c r="O235" s="2"/>
      <x:c r="P235" s="2"/>
      <x:c r="Q235" s="2"/>
    </x:row>
    <x:row r="236" ht="22" customHeight="1">
      <x:c r="A236" s="7" t="str">
        <x:v>M0229</x:v>
      </x:c>
      <x:c r="B236" s="7" t="str">
        <x:v>RC03</x:v>
      </x:c>
      <x:c r="C236" s="7" t="str">
        <x:v>T1</x:v>
      </x:c>
      <x:c r="D236" s="7" t="str">
        <x:v>L09</x:v>
      </x:c>
      <x:c r="E236" s="7" t="str">
        <x:v>Stair opening deduction</x:v>
      </x:c>
      <x:c r="F236" s="20" t="n">
        <x:v>1</x:v>
      </x:c>
      <x:c r="G236" s="20" t="n">
        <x:f>'Controls'!$B$20</x:f>
        <x:v>4</x:v>
      </x:c>
      <x:c r="H236" s="20" t="n">
        <x:f>'Controls'!$B$21</x:f>
        <x:v>6</x:v>
      </x:c>
      <x:c r="I236" s="20" t="n">
        <x:f>'Controls'!$B$13</x:f>
        <x:v>0.22</x:v>
      </x:c>
      <x:c r="J236" s="20" t="n">
        <x:v>-1</x:v>
      </x:c>
      <x:c r="K236" s="20" t="n">
        <x:f>F236*G236*H236*I236*J236</x:f>
        <x:v>-5.28</x:v>
      </x:c>
      <x:c r="L236" s="7" t="str">
        <x:v>Opening OP-01</x:v>
      </x:c>
      <x:c r="M236" s="2"/>
      <x:c r="N236" s="2"/>
      <x:c r="O236" s="2"/>
      <x:c r="P236" s="2"/>
      <x:c r="Q236" s="2"/>
    </x:row>
    <x:row r="237" ht="22" customHeight="1">
      <x:c r="A237" s="2" t="str">
        <x:v>M0230</x:v>
      </x:c>
      <x:c r="B237" s="2" t="str">
        <x:v>RC04</x:v>
      </x:c>
      <x:c r="C237" s="2" t="str">
        <x:v>T1</x:v>
      </x:c>
      <x:c r="D237" s="2" t="str">
        <x:v>L09</x:v>
      </x:c>
      <x:c r="E237" s="2" t="str">
        <x:v>Beam downstands X</x:v>
      </x:c>
      <x:c r="F237" s="21" t="n">
        <x:v>1</x:v>
      </x:c>
      <x:c r="G237" s="21" t="n">
        <x:f>5*5*('Controls'!$B$10/5-'Controls'!$B$14)</x:f>
        <x:v>137.5</x:v>
      </x:c>
      <x:c r="H237" s="21" t="n">
        <x:f>'Controls'!$B$16</x:f>
        <x:v>0.3</x:v>
      </x:c>
      <x:c r="I237" s="21" t="n">
        <x:f>'Controls'!$B$17-'Controls'!$B$13</x:f>
        <x:v>0.38</x:v>
      </x:c>
      <x:c r="J237" s="21" t="n">
        <x:v>1</x:v>
      </x:c>
      <x:c r="K237" s="21" t="n">
        <x:f>F237*G237*H237*I237*J237</x:f>
        <x:v>15.675</x:v>
      </x:c>
      <x:c r="L237" s="2" t="str">
        <x:v>Clear spans between column faces; no joint overlap</x:v>
      </x:c>
      <x:c r="M237" s="2"/>
      <x:c r="N237" s="2"/>
      <x:c r="O237" s="2"/>
      <x:c r="P237" s="2"/>
      <x:c r="Q237" s="2"/>
    </x:row>
    <x:row r="238" ht="22" customHeight="1">
      <x:c r="A238" s="7" t="str">
        <x:v>M0231</x:v>
      </x:c>
      <x:c r="B238" s="7" t="str">
        <x:v>FW02</x:v>
      </x:c>
      <x:c r="C238" s="7" t="str">
        <x:v>T1</x:v>
      </x:c>
      <x:c r="D238" s="7" t="str">
        <x:v>L09</x:v>
      </x:c>
      <x:c r="E238" s="7" t="str">
        <x:v>Beam forms X</x:v>
      </x:c>
      <x:c r="F238" s="20" t="n">
        <x:v>1</x:v>
      </x:c>
      <x:c r="G238" s="20" t="n">
        <x:f>5*5*('Controls'!$B$10/5-'Controls'!$B$14)</x:f>
        <x:v>137.5</x:v>
      </x:c>
      <x:c r="H238" s="20" t="n">
        <x:f>'Controls'!$B$16+2*('Controls'!$B$17-'Controls'!$B$13)</x:f>
        <x:v>1.06</x:v>
      </x:c>
      <x:c r="I238" s="20" t="n">
        <x:v>1</x:v>
      </x:c>
      <x:c r="J238" s="20" t="n">
        <x:v>1</x:v>
      </x:c>
      <x:c r="K238" s="20" t="n">
        <x:f>F238*G238*H238*I238*J238</x:f>
        <x:v>145.75</x:v>
      </x:c>
      <x:c r="L238" s="7" t="str">
        <x:v>Soffit plus two downstand sides</x:v>
      </x:c>
      <x:c r="M238" s="2"/>
      <x:c r="N238" s="2"/>
      <x:c r="O238" s="2"/>
      <x:c r="P238" s="2"/>
      <x:c r="Q238" s="2"/>
    </x:row>
    <x:row r="239" ht="22" customHeight="1">
      <x:c r="A239" s="2" t="str">
        <x:v>M0232</x:v>
      </x:c>
      <x:c r="B239" s="2" t="str">
        <x:v>RC04</x:v>
      </x:c>
      <x:c r="C239" s="2" t="str">
        <x:v>T1</x:v>
      </x:c>
      <x:c r="D239" s="2" t="str">
        <x:v>L09</x:v>
      </x:c>
      <x:c r="E239" s="2" t="str">
        <x:v>Beam downstands Y</x:v>
      </x:c>
      <x:c r="F239" s="21" t="n">
        <x:v>1</x:v>
      </x:c>
      <x:c r="G239" s="21" t="n">
        <x:f>6*4*('Controls'!$B$11/4-'Controls'!$B$15)</x:f>
        <x:v>132</x:v>
      </x:c>
      <x:c r="H239" s="21" t="n">
        <x:f>'Controls'!$B$16</x:f>
        <x:v>0.3</x:v>
      </x:c>
      <x:c r="I239" s="21" t="n">
        <x:f>'Controls'!$B$17-'Controls'!$B$13</x:f>
        <x:v>0.38</x:v>
      </x:c>
      <x:c r="J239" s="21" t="n">
        <x:v>1</x:v>
      </x:c>
      <x:c r="K239" s="21" t="n">
        <x:f>F239*G239*H239*I239*J239</x:f>
        <x:v>15.048</x:v>
      </x:c>
      <x:c r="L239" s="2" t="str">
        <x:v>Clear spans between column faces; no joint overlap</x:v>
      </x:c>
      <x:c r="M239" s="2"/>
      <x:c r="N239" s="2"/>
      <x:c r="O239" s="2"/>
      <x:c r="P239" s="2"/>
      <x:c r="Q239" s="2"/>
    </x:row>
    <x:row r="240" ht="22" customHeight="1">
      <x:c r="A240" s="7" t="str">
        <x:v>M0233</x:v>
      </x:c>
      <x:c r="B240" s="7" t="str">
        <x:v>FW02</x:v>
      </x:c>
      <x:c r="C240" s="7" t="str">
        <x:v>T1</x:v>
      </x:c>
      <x:c r="D240" s="7" t="str">
        <x:v>L09</x:v>
      </x:c>
      <x:c r="E240" s="7" t="str">
        <x:v>Beam forms Y</x:v>
      </x:c>
      <x:c r="F240" s="20" t="n">
        <x:v>1</x:v>
      </x:c>
      <x:c r="G240" s="20" t="n">
        <x:f>6*4*('Controls'!$B$11/4-'Controls'!$B$15)</x:f>
        <x:v>132</x:v>
      </x:c>
      <x:c r="H240" s="20" t="n">
        <x:f>'Controls'!$B$16+2*('Controls'!$B$17-'Controls'!$B$13)</x:f>
        <x:v>1.06</x:v>
      </x:c>
      <x:c r="I240" s="20" t="n">
        <x:v>1</x:v>
      </x:c>
      <x:c r="J240" s="20" t="n">
        <x:v>1</x:v>
      </x:c>
      <x:c r="K240" s="20" t="n">
        <x:f>F240*G240*H240*I240*J240</x:f>
        <x:v>139.92000000000002</x:v>
      </x:c>
      <x:c r="L240" s="7" t="str">
        <x:v>Soffit plus two downstand sides</x:v>
      </x:c>
      <x:c r="M240" s="2"/>
      <x:c r="N240" s="2"/>
      <x:c r="O240" s="2"/>
      <x:c r="P240" s="2"/>
      <x:c r="Q240" s="2"/>
    </x:row>
    <x:row r="241" ht="22" customHeight="1">
      <x:c r="A241" s="2" t="str">
        <x:v>M0234</x:v>
      </x:c>
      <x:c r="B241" s="2" t="str">
        <x:v>RC05</x:v>
      </x:c>
      <x:c r="C241" s="2" t="str">
        <x:v>T1</x:v>
      </x:c>
      <x:c r="D241" s="2" t="str">
        <x:v>L09</x:v>
      </x:c>
      <x:c r="E241" s="2" t="str">
        <x:v>Thirty columns, clear storey</x:v>
      </x:c>
      <x:c r="F241" s="21" t="n">
        <x:v>30</x:v>
      </x:c>
      <x:c r="G241" s="21" t="n">
        <x:f>'Controls'!$B$14</x:f>
        <x:v>0.5</x:v>
      </x:c>
      <x:c r="H241" s="21" t="n">
        <x:f>'Controls'!$B$15</x:f>
        <x:v>0.5</x:v>
      </x:c>
      <x:c r="I241" s="21" t="n">
        <x:f>'Controls'!$B$12-'Controls'!$B$13</x:f>
        <x:v>2.98</x:v>
      </x:c>
      <x:c r="J241" s="21" t="n">
        <x:v>1</x:v>
      </x:c>
      <x:c r="K241" s="21" t="n">
        <x:f>F241*G241*H241*I241*J241</x:f>
        <x:v>22.35</x:v>
      </x:c>
      <x:c r="L241" s="2" t="str">
        <x:v>Slab volume excluded from columns</x:v>
      </x:c>
      <x:c r="M241" s="2"/>
      <x:c r="N241" s="2"/>
      <x:c r="O241" s="2"/>
      <x:c r="P241" s="2"/>
      <x:c r="Q241" s="2"/>
    </x:row>
    <x:row r="242" ht="22" customHeight="1">
      <x:c r="A242" s="7" t="str">
        <x:v>M0235</x:v>
      </x:c>
      <x:c r="B242" s="7" t="str">
        <x:v>RC06</x:v>
      </x:c>
      <x:c r="C242" s="7" t="str">
        <x:v>T1</x:v>
      </x:c>
      <x:c r="D242" s="7" t="str">
        <x:v>L09</x:v>
      </x:c>
      <x:c r="E242" s="7" t="str">
        <x:v>Core walls clear storey</x:v>
      </x:c>
      <x:c r="F242" s="20" t="n">
        <x:v>1</x:v>
      </x:c>
      <x:c r="G242" s="20" t="n">
        <x:f>'Controls'!$B$19</x:f>
        <x:v>24</x:v>
      </x:c>
      <x:c r="H242" s="20" t="n">
        <x:f>'Controls'!$B$18</x:f>
        <x:v>0.25</x:v>
      </x:c>
      <x:c r="I242" s="20" t="n">
        <x:f>'Controls'!$B$12-'Controls'!$B$13</x:f>
        <x:v>2.98</x:v>
      </x:c>
      <x:c r="J242" s="20" t="n">
        <x:v>1</x:v>
      </x:c>
      <x:c r="K242" s="20" t="n">
        <x:f>F242*G242*H242*I242*J242</x:f>
        <x:v>17.88</x:v>
      </x:c>
      <x:c r="L242" s="7" t="str">
        <x:v>Net clear wall length excludes corners</x:v>
      </x:c>
      <x:c r="M242" s="2"/>
      <x:c r="N242" s="2"/>
      <x:c r="O242" s="2"/>
      <x:c r="P242" s="2"/>
      <x:c r="Q242" s="2"/>
    </x:row>
    <x:row r="243" ht="22" customHeight="1">
      <x:c r="A243" s="2" t="str">
        <x:v>M0236</x:v>
      </x:c>
      <x:c r="B243" s="2" t="str">
        <x:v>RC07</x:v>
      </x:c>
      <x:c r="C243" s="2" t="str">
        <x:v>T1</x:v>
      </x:c>
      <x:c r="D243" s="2" t="str">
        <x:v>L09</x:v>
      </x:c>
      <x:c r="E243" s="2" t="str">
        <x:v>Stair flights waist</x:v>
      </x:c>
      <x:c r="F243" s="21" t="n">
        <x:v>2</x:v>
      </x:c>
      <x:c r="G243" s="21" t="n">
        <x:v>4.1</x:v>
      </x:c>
      <x:c r="H243" s="21" t="n">
        <x:v>1.2</x:v>
      </x:c>
      <x:c r="I243" s="21" t="n">
        <x:v>0.18</x:v>
      </x:c>
      <x:c r="J243" s="21" t="n">
        <x:v>1</x:v>
      </x:c>
      <x:c r="K243" s="21" t="n">
        <x:f>F243*G243*H243*I243*J243</x:f>
        <x:v>1.7711999999999997</x:v>
      </x:c>
      <x:c r="L243" s="2" t="str">
        <x:v>Two flights; geometry separate from floor slab</x:v>
      </x:c>
      <x:c r="M243" s="2"/>
      <x:c r="N243" s="2"/>
      <x:c r="O243" s="2"/>
      <x:c r="P243" s="2"/>
      <x:c r="Q243" s="2"/>
    </x:row>
    <x:row r="244" ht="22" customHeight="1">
      <x:c r="A244" s="7" t="str">
        <x:v>M0237</x:v>
      </x:c>
      <x:c r="B244" s="7" t="str">
        <x:v>RC07</x:v>
      </x:c>
      <x:c r="C244" s="7" t="str">
        <x:v>T1</x:v>
      </x:c>
      <x:c r="D244" s="7" t="str">
        <x:v>L09</x:v>
      </x:c>
      <x:c r="E244" s="7" t="str">
        <x:v>Stair landings</x:v>
      </x:c>
      <x:c r="F244" s="20" t="n">
        <x:v>2</x:v>
      </x:c>
      <x:c r="G244" s="20" t="n">
        <x:v>2</x:v>
      </x:c>
      <x:c r="H244" s="20" t="n">
        <x:v>1.2</x:v>
      </x:c>
      <x:c r="I244" s="20" t="n">
        <x:v>0.18</x:v>
      </x:c>
      <x:c r="J244" s="20" t="n">
        <x:v>1</x:v>
      </x:c>
      <x:c r="K244" s="20" t="n">
        <x:f>F244*G244*H244*I244*J244</x:f>
        <x:v>0.864</x:v>
      </x:c>
      <x:c r="L244" s="7" t="str">
        <x:v>Within stair opening</x:v>
      </x:c>
      <x:c r="M244" s="2"/>
      <x:c r="N244" s="2"/>
      <x:c r="O244" s="2"/>
      <x:c r="P244" s="2"/>
      <x:c r="Q244" s="2"/>
    </x:row>
    <x:row r="245" ht="22" customHeight="1">
      <x:c r="A245" s="2" t="str">
        <x:v>M0238</x:v>
      </x:c>
      <x:c r="B245" s="2" t="str">
        <x:v>FW01</x:v>
      </x:c>
      <x:c r="C245" s="2" t="str">
        <x:v>T1</x:v>
      </x:c>
      <x:c r="D245" s="2" t="str">
        <x:v>L09</x:v>
      </x:c>
      <x:c r="E245" s="2" t="str">
        <x:v>Slab soffit gross</x:v>
      </x:c>
      <x:c r="F245" s="21" t="n">
        <x:v>1</x:v>
      </x:c>
      <x:c r="G245" s="21" t="n">
        <x:f>'Controls'!$B$10</x:f>
        <x:v>30</x:v>
      </x:c>
      <x:c r="H245" s="21" t="n">
        <x:f>'Controls'!$B$11</x:f>
        <x:v>24</x:v>
      </x:c>
      <x:c r="I245" s="21" t="n">
        <x:v>1</x:v>
      </x:c>
      <x:c r="J245" s="21" t="n">
        <x:v>1</x:v>
      </x:c>
      <x:c r="K245" s="21" t="n">
        <x:f>F245*G245*H245*I245*J245</x:f>
        <x:v>720</x:v>
      </x:c>
      <x:c r="L245" s="2" t="str">
        <x:v>Beam soffit deducted below</x:v>
      </x:c>
      <x:c r="M245" s="2"/>
      <x:c r="N245" s="2"/>
      <x:c r="O245" s="2"/>
      <x:c r="P245" s="2"/>
      <x:c r="Q245" s="2"/>
    </x:row>
    <x:row r="246" ht="22" customHeight="1">
      <x:c r="A246" s="7" t="str">
        <x:v>M0239</x:v>
      </x:c>
      <x:c r="B246" s="7" t="str">
        <x:v>FW01</x:v>
      </x:c>
      <x:c r="C246" s="7" t="str">
        <x:v>T1</x:v>
      </x:c>
      <x:c r="D246" s="7" t="str">
        <x:v>L09</x:v>
      </x:c>
      <x:c r="E246" s="7" t="str">
        <x:v>Stair opening deduction</x:v>
      </x:c>
      <x:c r="F246" s="20" t="n">
        <x:v>1</x:v>
      </x:c>
      <x:c r="G246" s="20" t="n">
        <x:f>'Controls'!$B$20</x:f>
        <x:v>4</x:v>
      </x:c>
      <x:c r="H246" s="20" t="n">
        <x:f>'Controls'!$B$21</x:f>
        <x:v>6</x:v>
      </x:c>
      <x:c r="I246" s="20" t="n">
        <x:v>1</x:v>
      </x:c>
      <x:c r="J246" s="20" t="n">
        <x:v>-1</x:v>
      </x:c>
      <x:c r="K246" s="20" t="n">
        <x:f>F246*G246*H246*I246*J246</x:f>
        <x:v>-24</x:v>
      </x:c>
      <x:c r="L246" s="7" t="str">
        <x:v>OP-01</x:v>
      </x:c>
      <x:c r="M246" s="2"/>
      <x:c r="N246" s="2"/>
      <x:c r="O246" s="2"/>
      <x:c r="P246" s="2"/>
      <x:c r="Q246" s="2"/>
    </x:row>
    <x:row r="247" ht="22" customHeight="1">
      <x:c r="A247" s="2" t="str">
        <x:v>M0240</x:v>
      </x:c>
      <x:c r="B247" s="2" t="str">
        <x:v>FW01</x:v>
      </x:c>
      <x:c r="C247" s="2" t="str">
        <x:v>T1</x:v>
      </x:c>
      <x:c r="D247" s="2" t="str">
        <x:v>L09</x:v>
      </x:c>
      <x:c r="E247" s="2" t="str">
        <x:v>Beam soffit deduction</x:v>
      </x:c>
      <x:c r="F247" s="21" t="n">
        <x:v>1</x:v>
      </x:c>
      <x:c r="G247" s="21" t="n">
        <x:f>5*5*('Controls'!$B$10/5-'Controls'!$B$14)+6*4*('Controls'!$B$11/4-'Controls'!$B$15)</x:f>
        <x:v>269.5</x:v>
      </x:c>
      <x:c r="H247" s="21" t="n">
        <x:f>'Controls'!$B$16</x:f>
        <x:v>0.3</x:v>
      </x:c>
      <x:c r="I247" s="21" t="n">
        <x:v>1</x:v>
      </x:c>
      <x:c r="J247" s="21" t="n">
        <x:v>-1</x:v>
      </x:c>
      <x:c r="K247" s="21" t="n">
        <x:f>F247*G247*H247*I247*J247</x:f>
        <x:v>-80.85</x:v>
      </x:c>
      <x:c r="L247" s="2" t="str">
        <x:v>Beam forms measured in FW02</x:v>
      </x:c>
      <x:c r="M247" s="2"/>
      <x:c r="N247" s="2"/>
      <x:c r="O247" s="2"/>
      <x:c r="P247" s="2"/>
      <x:c r="Q247" s="2"/>
    </x:row>
    <x:row r="248" ht="22" customHeight="1">
      <x:c r="A248" s="7" t="str">
        <x:v>M0241</x:v>
      </x:c>
      <x:c r="B248" s="7" t="str">
        <x:v>FW03</x:v>
      </x:c>
      <x:c r="C248" s="7" t="str">
        <x:v>T1</x:v>
      </x:c>
      <x:c r="D248" s="7" t="str">
        <x:v>L09</x:v>
      </x:c>
      <x:c r="E248" s="7" t="str">
        <x:v>Column four faces</x:v>
      </x:c>
      <x:c r="F248" s="20" t="n">
        <x:v>30</x:v>
      </x:c>
      <x:c r="G248" s="20" t="n">
        <x:f>2*('Controls'!$B$14+'Controls'!$B$15)</x:f>
        <x:v>2</x:v>
      </x:c>
      <x:c r="H248" s="20" t="n">
        <x:f>'Controls'!$B$12-'Controls'!$B$13</x:f>
        <x:v>2.98</x:v>
      </x:c>
      <x:c r="I248" s="20" t="n">
        <x:v>1</x:v>
      </x:c>
      <x:c r="J248" s="20" t="n">
        <x:v>1</x:v>
      </x:c>
      <x:c r="K248" s="20" t="n">
        <x:f>F248*G248*H248*I248*J248</x:f>
        <x:v>178.8</x:v>
      </x:c>
      <x:c r="L248" s="7" t="str">
        <x:v>Clear floor-to-soffit</x:v>
      </x:c>
      <x:c r="M248" s="2"/>
      <x:c r="N248" s="2"/>
      <x:c r="O248" s="2"/>
      <x:c r="P248" s="2"/>
      <x:c r="Q248" s="2"/>
    </x:row>
    <x:row r="249" ht="22" customHeight="1">
      <x:c r="A249" s="2" t="str">
        <x:v>M0242</x:v>
      </x:c>
      <x:c r="B249" s="2" t="str">
        <x:v>FW04</x:v>
      </x:c>
      <x:c r="C249" s="2" t="str">
        <x:v>T1</x:v>
      </x:c>
      <x:c r="D249" s="2" t="str">
        <x:v>L09</x:v>
      </x:c>
      <x:c r="E249" s="2" t="str">
        <x:v>Core wall two faces</x:v>
      </x:c>
      <x:c r="F249" s="21" t="n">
        <x:v>2</x:v>
      </x:c>
      <x:c r="G249" s="21" t="n">
        <x:f>'Controls'!$B$19</x:f>
        <x:v>24</x:v>
      </x:c>
      <x:c r="H249" s="21" t="n">
        <x:f>'Controls'!$B$12-'Controls'!$B$13</x:f>
        <x:v>2.98</x:v>
      </x:c>
      <x:c r="I249" s="21" t="n">
        <x:v>1</x:v>
      </x:c>
      <x:c r="J249" s="21" t="n">
        <x:v>1</x:v>
      </x:c>
      <x:c r="K249" s="21" t="n">
        <x:f>F249*G249*H249*I249*J249</x:f>
        <x:v>143.04</x:v>
      </x:c>
      <x:c r="L249" s="2" t="str">
        <x:v>Net perimeter, no repeated corners</x:v>
      </x:c>
      <x:c r="M249" s="2"/>
      <x:c r="N249" s="2"/>
      <x:c r="O249" s="2"/>
      <x:c r="P249" s="2"/>
      <x:c r="Q249" s="2"/>
    </x:row>
    <x:row r="250" ht="22" customHeight="1">
      <x:c r="A250" s="7" t="str">
        <x:v>M0243</x:v>
      </x:c>
      <x:c r="B250" s="7" t="str">
        <x:v>AR01</x:v>
      </x:c>
      <x:c r="C250" s="7" t="str">
        <x:v>T1</x:v>
      </x:c>
      <x:c r="D250" s="7" t="str">
        <x:v>L09</x:v>
      </x:c>
      <x:c r="E250" s="7" t="str">
        <x:v>Partition walls gross</x:v>
      </x:c>
      <x:c r="F250" s="20" t="n">
        <x:v>1</x:v>
      </x:c>
      <x:c r="G250" s="20" t="n">
        <x:f>'Controls'!$B$45</x:f>
        <x:v>220</x:v>
      </x:c>
      <x:c r="H250" s="20" t="n">
        <x:f>'Controls'!$B$12-'Controls'!$B$13</x:f>
        <x:v>2.98</x:v>
      </x:c>
      <x:c r="I250" s="20" t="n">
        <x:f>'Controls'!$B$46</x:f>
        <x:v>0.15</x:v>
      </x:c>
      <x:c r="J250" s="20" t="n">
        <x:v>1</x:v>
      </x:c>
      <x:c r="K250" s="20" t="n">
        <x:f>F250*G250*H250*I250*J250</x:f>
        <x:v>98.34</x:v>
      </x:c>
      <x:c r="L250" s="7" t="str">
        <x:v>Net openings deducted below</x:v>
      </x:c>
      <x:c r="M250" s="2"/>
      <x:c r="N250" s="2"/>
      <x:c r="O250" s="2"/>
      <x:c r="P250" s="2"/>
      <x:c r="Q250" s="2"/>
    </x:row>
    <x:row r="251" ht="22" customHeight="1">
      <x:c r="A251" s="2" t="str">
        <x:v>M0244</x:v>
      </x:c>
      <x:c r="B251" s="2" t="str">
        <x:v>AR01</x:v>
      </x:c>
      <x:c r="C251" s="2" t="str">
        <x:v>T1</x:v>
      </x:c>
      <x:c r="D251" s="2" t="str">
        <x:v>L09</x:v>
      </x:c>
      <x:c r="E251" s="2" t="str">
        <x:v>Internal doors deduction</x:v>
      </x:c>
      <x:c r="F251" s="21" t="n">
        <x:f>'Controls'!$B$48</x:f>
        <x:v>28</x:v>
      </x:c>
      <x:c r="G251" s="21" t="n">
        <x:f>'Controls'!$B$49</x:f>
        <x:v>0.9</x:v>
      </x:c>
      <x:c r="H251" s="21" t="n">
        <x:f>'Controls'!$B$50</x:f>
        <x:v>2.1</x:v>
      </x:c>
      <x:c r="I251" s="21" t="n">
        <x:f>'Controls'!$B$46</x:f>
        <x:v>0.15</x:v>
      </x:c>
      <x:c r="J251" s="21" t="n">
        <x:v>-1</x:v>
      </x:c>
      <x:c r="K251" s="21" t="n">
        <x:f>F251*G251*H251*I251*J251</x:f>
        <x:v>-7.938</x:v>
      </x:c>
      <x:c r="L251" s="2" t="str">
        <x:v>28 doors per floor, OP-02</x:v>
      </x:c>
      <x:c r="M251" s="2"/>
      <x:c r="N251" s="2"/>
      <x:c r="O251" s="2"/>
      <x:c r="P251" s="2"/>
      <x:c r="Q251" s="2"/>
    </x:row>
    <x:row r="252" ht="22" customHeight="1">
      <x:c r="A252" s="7" t="str">
        <x:v>M0245</x:v>
      </x:c>
      <x:c r="B252" s="7" t="str">
        <x:v>AR02</x:v>
      </x:c>
      <x:c r="C252" s="7" t="str">
        <x:v>T1</x:v>
      </x:c>
      <x:c r="D252" s="7" t="str">
        <x:v>L09</x:v>
      </x:c>
      <x:c r="E252" s="7" t="str">
        <x:v>Internal plaster gross</x:v>
      </x:c>
      <x:c r="F252" s="20" t="n">
        <x:v>2</x:v>
      </x:c>
      <x:c r="G252" s="20" t="n">
        <x:f>'Controls'!$B$45</x:f>
        <x:v>220</x:v>
      </x:c>
      <x:c r="H252" s="20" t="n">
        <x:f>'Controls'!$B$12-'Controls'!$B$13</x:f>
        <x:v>2.98</x:v>
      </x:c>
      <x:c r="I252" s="20" t="n">
        <x:v>1</x:v>
      </x:c>
      <x:c r="J252" s="20" t="n">
        <x:v>1</x:v>
      </x:c>
      <x:c r="K252" s="20" t="n">
        <x:f>F252*G252*H252*I252*J252</x:f>
        <x:v>1311.2</x:v>
      </x:c>
      <x:c r="L252" s="7" t="str">
        <x:v>Both faces of partition walls</x:v>
      </x:c>
      <x:c r="M252" s="2"/>
      <x:c r="N252" s="2"/>
      <x:c r="O252" s="2"/>
      <x:c r="P252" s="2"/>
      <x:c r="Q252" s="2"/>
    </x:row>
    <x:row r="253" ht="22" customHeight="1">
      <x:c r="A253" s="2" t="str">
        <x:v>M0246</x:v>
      </x:c>
      <x:c r="B253" s="2" t="str">
        <x:v>AR02</x:v>
      </x:c>
      <x:c r="C253" s="2" t="str">
        <x:v>T1</x:v>
      </x:c>
      <x:c r="D253" s="2" t="str">
        <x:v>L09</x:v>
      </x:c>
      <x:c r="E253" s="2" t="str">
        <x:v>Door area deduction both faces</x:v>
      </x:c>
      <x:c r="F253" s="21" t="n">
        <x:f>2*'Controls'!$B$48</x:f>
        <x:v>56</x:v>
      </x:c>
      <x:c r="G253" s="21" t="n">
        <x:f>'Controls'!$B$49</x:f>
        <x:v>0.9</x:v>
      </x:c>
      <x:c r="H253" s="21" t="n">
        <x:f>'Controls'!$B$50</x:f>
        <x:v>2.1</x:v>
      </x:c>
      <x:c r="I253" s="21" t="n">
        <x:v>1</x:v>
      </x:c>
      <x:c r="J253" s="21" t="n">
        <x:v>-1</x:v>
      </x:c>
      <x:c r="K253" s="21" t="n">
        <x:f>F253*G253*H253*I253*J253</x:f>
        <x:v>-105.84</x:v>
      </x:c>
      <x:c r="L253" s="2" t="str">
        <x:v>No plaster over openings</x:v>
      </x:c>
      <x:c r="M253" s="2"/>
      <x:c r="N253" s="2"/>
      <x:c r="O253" s="2"/>
      <x:c r="P253" s="2"/>
      <x:c r="Q253" s="2"/>
    </x:row>
    <x:row r="254" ht="22" customHeight="1">
      <x:c r="A254" s="7" t="str">
        <x:v>M0247</x:v>
      </x:c>
      <x:c r="B254" s="7" t="str">
        <x:v>AR03</x:v>
      </x:c>
      <x:c r="C254" s="7" t="str">
        <x:v>T1</x:v>
      </x:c>
      <x:c r="D254" s="7" t="str">
        <x:v>L09</x:v>
      </x:c>
      <x:c r="E254" s="7" t="str">
        <x:v>Floor screed net</x:v>
      </x:c>
      <x:c r="F254" s="20" t="n">
        <x:v>1</x:v>
      </x:c>
      <x:c r="G254" s="20" t="n">
        <x:f>'Controls'!$B$10*'Controls'!$B$11-'Controls'!$B$20*'Controls'!$B$21</x:f>
        <x:v>696</x:v>
      </x:c>
      <x:c r="H254" s="20" t="n">
        <x:v>1</x:v>
      </x:c>
      <x:c r="I254" s="20" t="n">
        <x:v>1</x:v>
      </x:c>
      <x:c r="J254" s="20" t="n">
        <x:v>1</x:v>
      </x:c>
      <x:c r="K254" s="20" t="n">
        <x:f>F254*G254*H254*I254*J254</x:f>
        <x:v>696</x:v>
      </x:c>
      <x:c r="L254" s="7" t="str">
        <x:v>Net structural floor area</x:v>
      </x:c>
      <x:c r="M254" s="2"/>
      <x:c r="N254" s="2"/>
      <x:c r="O254" s="2"/>
      <x:c r="P254" s="2"/>
      <x:c r="Q254" s="2"/>
    </x:row>
    <x:row r="255" ht="22" customHeight="1">
      <x:c r="A255" s="2" t="str">
        <x:v>M0248</x:v>
      </x:c>
      <x:c r="B255" s="2" t="str">
        <x:v>AR04</x:v>
      </x:c>
      <x:c r="C255" s="2" t="str">
        <x:v>T1</x:v>
      </x:c>
      <x:c r="D255" s="2" t="str">
        <x:v>L09</x:v>
      </x:c>
      <x:c r="E255" s="2" t="str">
        <x:v>Floor finish net</x:v>
      </x:c>
      <x:c r="F255" s="21" t="n">
        <x:v>1</x:v>
      </x:c>
      <x:c r="G255" s="21" t="n">
        <x:f>'Controls'!$B$10*'Controls'!$B$11-'Controls'!$B$20*'Controls'!$B$21</x:f>
        <x:v>696</x:v>
      </x:c>
      <x:c r="H255" s="21" t="n">
        <x:v>1</x:v>
      </x:c>
      <x:c r="I255" s="21" t="n">
        <x:v>1</x:v>
      </x:c>
      <x:c r="J255" s="21" t="n">
        <x:v>1</x:v>
      </x:c>
      <x:c r="K255" s="21" t="n">
        <x:f>F255*G255*H255*I255*J255</x:f>
        <x:v>696</x:v>
      </x:c>
      <x:c r="L255" s="2" t="str">
        <x:v>Waste excluded from BOQ</x:v>
      </x:c>
      <x:c r="M255" s="2"/>
      <x:c r="N255" s="2"/>
      <x:c r="O255" s="2"/>
      <x:c r="P255" s="2"/>
      <x:c r="Q255" s="2"/>
    </x:row>
    <x:row r="256" ht="22" customHeight="1">
      <x:c r="A256" s="7" t="str">
        <x:v>M0249</x:v>
      </x:c>
      <x:c r="B256" s="7" t="str">
        <x:v>AR05</x:v>
      </x:c>
      <x:c r="C256" s="7" t="str">
        <x:v>T1</x:v>
      </x:c>
      <x:c r="D256" s="7" t="str">
        <x:v>L09</x:v>
      </x:c>
      <x:c r="E256" s="7" t="str">
        <x:v>Internal wall paint net</x:v>
      </x:c>
      <x:c r="F256" s="20" t="n">
        <x:v>2</x:v>
      </x:c>
      <x:c r="G256" s="20" t="n">
        <x:f>'Controls'!$B$45*('Controls'!$B$12-'Controls'!$B$13)-'Controls'!$B$48*'Controls'!$B$49*'Controls'!$B$50</x:f>
        <x:v>602.6800000000001</x:v>
      </x:c>
      <x:c r="H256" s="20" t="n">
        <x:v>1</x:v>
      </x:c>
      <x:c r="I256" s="20" t="n">
        <x:v>1</x:v>
      </x:c>
      <x:c r="J256" s="20" t="n">
        <x:v>1</x:v>
      </x:c>
      <x:c r="K256" s="20" t="n">
        <x:f>F256*G256*H256*I256*J256</x:f>
        <x:v>1205.3600000000001</x:v>
      </x:c>
      <x:c r="L256" s="7" t="str">
        <x:v>Finished area; two coats priced in rate</x:v>
      </x:c>
      <x:c r="M256" s="2"/>
      <x:c r="N256" s="2"/>
      <x:c r="O256" s="2"/>
      <x:c r="P256" s="2"/>
      <x:c r="Q256" s="2"/>
    </x:row>
    <x:row r="257" ht="22" customHeight="1">
      <x:c r="A257" s="2" t="str">
        <x:v>M0250</x:v>
      </x:c>
      <x:c r="B257" s="2" t="str">
        <x:v>AR06</x:v>
      </x:c>
      <x:c r="C257" s="2" t="str">
        <x:v>T1</x:v>
      </x:c>
      <x:c r="D257" s="2" t="str">
        <x:v>L09</x:v>
      </x:c>
      <x:c r="E257" s="2" t="str">
        <x:v>Door sets</x:v>
      </x:c>
      <x:c r="F257" s="21" t="n">
        <x:f>'Controls'!$B$48</x:f>
        <x:v>28</x:v>
      </x:c>
      <x:c r="G257" s="21" t="n">
        <x:v>1</x:v>
      </x:c>
      <x:c r="H257" s="21" t="n">
        <x:v>1</x:v>
      </x:c>
      <x:c r="I257" s="21" t="n">
        <x:v>1</x:v>
      </x:c>
      <x:c r="J257" s="21" t="n">
        <x:v>1</x:v>
      </x:c>
      <x:c r="K257" s="21" t="n">
        <x:f>F257*G257*H257*I257*J257</x:f>
        <x:v>28</x:v>
      </x:c>
      <x:c r="L257" s="2" t="str">
        <x:v>Door count, not double face</x:v>
      </x:c>
      <x:c r="M257" s="2"/>
      <x:c r="N257" s="2"/>
      <x:c r="O257" s="2"/>
      <x:c r="P257" s="2"/>
      <x:c r="Q257" s="2"/>
    </x:row>
    <x:row r="258" ht="22" customHeight="1">
      <x:c r="A258" s="7" t="str">
        <x:v>M0251</x:v>
      </x:c>
      <x:c r="B258" s="7" t="str">
        <x:v>RC03</x:v>
      </x:c>
      <x:c r="C258" s="7" t="str">
        <x:v>T1</x:v>
      </x:c>
      <x:c r="D258" s="7" t="str">
        <x:v>L10</x:v>
      </x:c>
      <x:c r="E258" s="7" t="str">
        <x:v>Floor slab gross</x:v>
      </x:c>
      <x:c r="F258" s="20" t="n">
        <x:v>1</x:v>
      </x:c>
      <x:c r="G258" s="20" t="n">
        <x:f>'Controls'!$B$10</x:f>
        <x:v>30</x:v>
      </x:c>
      <x:c r="H258" s="20" t="n">
        <x:f>'Controls'!$B$11</x:f>
        <x:v>24</x:v>
      </x:c>
      <x:c r="I258" s="20" t="n">
        <x:f>'Controls'!$B$13</x:f>
        <x:v>0.22</x:v>
      </x:c>
      <x:c r="J258" s="20" t="n">
        <x:v>1</x:v>
      </x:c>
      <x:c r="K258" s="20" t="n">
        <x:f>F258*G258*H258*I258*J258</x:f>
        <x:v>158.4</x:v>
      </x:c>
      <x:c r="L258" s="7" t="str">
        <x:v>Slab includes beam top flange; downstand separate</x:v>
      </x:c>
      <x:c r="M258" s="2"/>
      <x:c r="N258" s="2"/>
      <x:c r="O258" s="2"/>
      <x:c r="P258" s="2"/>
      <x:c r="Q258" s="2"/>
    </x:row>
    <x:row r="259" ht="22" customHeight="1">
      <x:c r="A259" s="2" t="str">
        <x:v>M0252</x:v>
      </x:c>
      <x:c r="B259" s="2" t="str">
        <x:v>RC03</x:v>
      </x:c>
      <x:c r="C259" s="2" t="str">
        <x:v>T1</x:v>
      </x:c>
      <x:c r="D259" s="2" t="str">
        <x:v>L10</x:v>
      </x:c>
      <x:c r="E259" s="2" t="str">
        <x:v>Stair opening deduction</x:v>
      </x:c>
      <x:c r="F259" s="21" t="n">
        <x:v>1</x:v>
      </x:c>
      <x:c r="G259" s="21" t="n">
        <x:f>'Controls'!$B$20</x:f>
        <x:v>4</x:v>
      </x:c>
      <x:c r="H259" s="21" t="n">
        <x:f>'Controls'!$B$21</x:f>
        <x:v>6</x:v>
      </x:c>
      <x:c r="I259" s="21" t="n">
        <x:f>'Controls'!$B$13</x:f>
        <x:v>0.22</x:v>
      </x:c>
      <x:c r="J259" s="21" t="n">
        <x:v>-1</x:v>
      </x:c>
      <x:c r="K259" s="21" t="n">
        <x:f>F259*G259*H259*I259*J259</x:f>
        <x:v>-5.28</x:v>
      </x:c>
      <x:c r="L259" s="2" t="str">
        <x:v>Opening OP-01</x:v>
      </x:c>
      <x:c r="M259" s="2"/>
      <x:c r="N259" s="2"/>
      <x:c r="O259" s="2"/>
      <x:c r="P259" s="2"/>
      <x:c r="Q259" s="2"/>
    </x:row>
    <x:row r="260" ht="22" customHeight="1">
      <x:c r="A260" s="7" t="str">
        <x:v>M0253</x:v>
      </x:c>
      <x:c r="B260" s="7" t="str">
        <x:v>RC04</x:v>
      </x:c>
      <x:c r="C260" s="7" t="str">
        <x:v>T1</x:v>
      </x:c>
      <x:c r="D260" s="7" t="str">
        <x:v>L10</x:v>
      </x:c>
      <x:c r="E260" s="7" t="str">
        <x:v>Beam downstands X</x:v>
      </x:c>
      <x:c r="F260" s="20" t="n">
        <x:v>1</x:v>
      </x:c>
      <x:c r="G260" s="20" t="n">
        <x:f>5*5*('Controls'!$B$10/5-'Controls'!$B$14)</x:f>
        <x:v>137.5</x:v>
      </x:c>
      <x:c r="H260" s="20" t="n">
        <x:f>'Controls'!$B$16</x:f>
        <x:v>0.3</x:v>
      </x:c>
      <x:c r="I260" s="20" t="n">
        <x:f>'Controls'!$B$17-'Controls'!$B$13</x:f>
        <x:v>0.38</x:v>
      </x:c>
      <x:c r="J260" s="20" t="n">
        <x:v>1</x:v>
      </x:c>
      <x:c r="K260" s="20" t="n">
        <x:f>F260*G260*H260*I260*J260</x:f>
        <x:v>15.675</x:v>
      </x:c>
      <x:c r="L260" s="7" t="str">
        <x:v>Clear spans between column faces; no joint overlap</x:v>
      </x:c>
      <x:c r="M260" s="2"/>
      <x:c r="N260" s="2"/>
      <x:c r="O260" s="2"/>
      <x:c r="P260" s="2"/>
      <x:c r="Q260" s="2"/>
    </x:row>
    <x:row r="261" ht="22" customHeight="1">
      <x:c r="A261" s="2" t="str">
        <x:v>M0254</x:v>
      </x:c>
      <x:c r="B261" s="2" t="str">
        <x:v>FW02</x:v>
      </x:c>
      <x:c r="C261" s="2" t="str">
        <x:v>T1</x:v>
      </x:c>
      <x:c r="D261" s="2" t="str">
        <x:v>L10</x:v>
      </x:c>
      <x:c r="E261" s="2" t="str">
        <x:v>Beam forms X</x:v>
      </x:c>
      <x:c r="F261" s="21" t="n">
        <x:v>1</x:v>
      </x:c>
      <x:c r="G261" s="21" t="n">
        <x:f>5*5*('Controls'!$B$10/5-'Controls'!$B$14)</x:f>
        <x:v>137.5</x:v>
      </x:c>
      <x:c r="H261" s="21" t="n">
        <x:f>'Controls'!$B$16+2*('Controls'!$B$17-'Controls'!$B$13)</x:f>
        <x:v>1.06</x:v>
      </x:c>
      <x:c r="I261" s="21" t="n">
        <x:v>1</x:v>
      </x:c>
      <x:c r="J261" s="21" t="n">
        <x:v>1</x:v>
      </x:c>
      <x:c r="K261" s="21" t="n">
        <x:f>F261*G261*H261*I261*J261</x:f>
        <x:v>145.75</x:v>
      </x:c>
      <x:c r="L261" s="2" t="str">
        <x:v>Soffit plus two downstand sides</x:v>
      </x:c>
      <x:c r="M261" s="2"/>
      <x:c r="N261" s="2"/>
      <x:c r="O261" s="2"/>
      <x:c r="P261" s="2"/>
      <x:c r="Q261" s="2"/>
    </x:row>
    <x:row r="262" ht="22" customHeight="1">
      <x:c r="A262" s="7" t="str">
        <x:v>M0255</x:v>
      </x:c>
      <x:c r="B262" s="7" t="str">
        <x:v>RC04</x:v>
      </x:c>
      <x:c r="C262" s="7" t="str">
        <x:v>T1</x:v>
      </x:c>
      <x:c r="D262" s="7" t="str">
        <x:v>L10</x:v>
      </x:c>
      <x:c r="E262" s="7" t="str">
        <x:v>Beam downstands Y</x:v>
      </x:c>
      <x:c r="F262" s="20" t="n">
        <x:v>1</x:v>
      </x:c>
      <x:c r="G262" s="20" t="n">
        <x:f>6*4*('Controls'!$B$11/4-'Controls'!$B$15)</x:f>
        <x:v>132</x:v>
      </x:c>
      <x:c r="H262" s="20" t="n">
        <x:f>'Controls'!$B$16</x:f>
        <x:v>0.3</x:v>
      </x:c>
      <x:c r="I262" s="20" t="n">
        <x:f>'Controls'!$B$17-'Controls'!$B$13</x:f>
        <x:v>0.38</x:v>
      </x:c>
      <x:c r="J262" s="20" t="n">
        <x:v>1</x:v>
      </x:c>
      <x:c r="K262" s="20" t="n">
        <x:f>F262*G262*H262*I262*J262</x:f>
        <x:v>15.048</x:v>
      </x:c>
      <x:c r="L262" s="7" t="str">
        <x:v>Clear spans between column faces; no joint overlap</x:v>
      </x:c>
      <x:c r="M262" s="2"/>
      <x:c r="N262" s="2"/>
      <x:c r="O262" s="2"/>
      <x:c r="P262" s="2"/>
      <x:c r="Q262" s="2"/>
    </x:row>
    <x:row r="263" ht="22" customHeight="1">
      <x:c r="A263" s="2" t="str">
        <x:v>M0256</x:v>
      </x:c>
      <x:c r="B263" s="2" t="str">
        <x:v>FW02</x:v>
      </x:c>
      <x:c r="C263" s="2" t="str">
        <x:v>T1</x:v>
      </x:c>
      <x:c r="D263" s="2" t="str">
        <x:v>L10</x:v>
      </x:c>
      <x:c r="E263" s="2" t="str">
        <x:v>Beam forms Y</x:v>
      </x:c>
      <x:c r="F263" s="21" t="n">
        <x:v>1</x:v>
      </x:c>
      <x:c r="G263" s="21" t="n">
        <x:f>6*4*('Controls'!$B$11/4-'Controls'!$B$15)</x:f>
        <x:v>132</x:v>
      </x:c>
      <x:c r="H263" s="21" t="n">
        <x:f>'Controls'!$B$16+2*('Controls'!$B$17-'Controls'!$B$13)</x:f>
        <x:v>1.06</x:v>
      </x:c>
      <x:c r="I263" s="21" t="n">
        <x:v>1</x:v>
      </x:c>
      <x:c r="J263" s="21" t="n">
        <x:v>1</x:v>
      </x:c>
      <x:c r="K263" s="21" t="n">
        <x:f>F263*G263*H263*I263*J263</x:f>
        <x:v>139.92000000000002</x:v>
      </x:c>
      <x:c r="L263" s="2" t="str">
        <x:v>Soffit plus two downstand sides</x:v>
      </x:c>
      <x:c r="M263" s="2"/>
      <x:c r="N263" s="2"/>
      <x:c r="O263" s="2"/>
      <x:c r="P263" s="2"/>
      <x:c r="Q263" s="2"/>
    </x:row>
    <x:row r="264" ht="22" customHeight="1">
      <x:c r="A264" s="7" t="str">
        <x:v>M0257</x:v>
      </x:c>
      <x:c r="B264" s="7" t="str">
        <x:v>RC05</x:v>
      </x:c>
      <x:c r="C264" s="7" t="str">
        <x:v>T1</x:v>
      </x:c>
      <x:c r="D264" s="7" t="str">
        <x:v>L10</x:v>
      </x:c>
      <x:c r="E264" s="7" t="str">
        <x:v>Thirty columns, clear storey</x:v>
      </x:c>
      <x:c r="F264" s="20" t="n">
        <x:v>30</x:v>
      </x:c>
      <x:c r="G264" s="20" t="n">
        <x:f>'Controls'!$B$14</x:f>
        <x:v>0.5</x:v>
      </x:c>
      <x:c r="H264" s="20" t="n">
        <x:f>'Controls'!$B$15</x:f>
        <x:v>0.5</x:v>
      </x:c>
      <x:c r="I264" s="20" t="n">
        <x:f>'Controls'!$B$12-'Controls'!$B$13</x:f>
        <x:v>2.98</x:v>
      </x:c>
      <x:c r="J264" s="20" t="n">
        <x:v>1</x:v>
      </x:c>
      <x:c r="K264" s="20" t="n">
        <x:f>F264*G264*H264*I264*J264</x:f>
        <x:v>22.35</x:v>
      </x:c>
      <x:c r="L264" s="7" t="str">
        <x:v>Slab volume excluded from columns</x:v>
      </x:c>
      <x:c r="M264" s="2"/>
      <x:c r="N264" s="2"/>
      <x:c r="O264" s="2"/>
      <x:c r="P264" s="2"/>
      <x:c r="Q264" s="2"/>
    </x:row>
    <x:row r="265" ht="22" customHeight="1">
      <x:c r="A265" s="2" t="str">
        <x:v>M0258</x:v>
      </x:c>
      <x:c r="B265" s="2" t="str">
        <x:v>RC06</x:v>
      </x:c>
      <x:c r="C265" s="2" t="str">
        <x:v>T1</x:v>
      </x:c>
      <x:c r="D265" s="2" t="str">
        <x:v>L10</x:v>
      </x:c>
      <x:c r="E265" s="2" t="str">
        <x:v>Core walls clear storey</x:v>
      </x:c>
      <x:c r="F265" s="21" t="n">
        <x:v>1</x:v>
      </x:c>
      <x:c r="G265" s="21" t="n">
        <x:f>'Controls'!$B$19</x:f>
        <x:v>24</x:v>
      </x:c>
      <x:c r="H265" s="21" t="n">
        <x:f>'Controls'!$B$18</x:f>
        <x:v>0.25</x:v>
      </x:c>
      <x:c r="I265" s="21" t="n">
        <x:f>'Controls'!$B$12-'Controls'!$B$13</x:f>
        <x:v>2.98</x:v>
      </x:c>
      <x:c r="J265" s="21" t="n">
        <x:v>1</x:v>
      </x:c>
      <x:c r="K265" s="21" t="n">
        <x:f>F265*G265*H265*I265*J265</x:f>
        <x:v>17.88</x:v>
      </x:c>
      <x:c r="L265" s="2" t="str">
        <x:v>Net clear wall length excludes corners</x:v>
      </x:c>
      <x:c r="M265" s="2"/>
      <x:c r="N265" s="2"/>
      <x:c r="O265" s="2"/>
      <x:c r="P265" s="2"/>
      <x:c r="Q265" s="2"/>
    </x:row>
    <x:row r="266" ht="22" customHeight="1">
      <x:c r="A266" s="7" t="str">
        <x:v>M0259</x:v>
      </x:c>
      <x:c r="B266" s="7" t="str">
        <x:v>RC07</x:v>
      </x:c>
      <x:c r="C266" s="7" t="str">
        <x:v>T1</x:v>
      </x:c>
      <x:c r="D266" s="7" t="str">
        <x:v>L10</x:v>
      </x:c>
      <x:c r="E266" s="7" t="str">
        <x:v>Stair flights waist</x:v>
      </x:c>
      <x:c r="F266" s="20" t="n">
        <x:v>2</x:v>
      </x:c>
      <x:c r="G266" s="20" t="n">
        <x:v>4.1</x:v>
      </x:c>
      <x:c r="H266" s="20" t="n">
        <x:v>1.2</x:v>
      </x:c>
      <x:c r="I266" s="20" t="n">
        <x:v>0.18</x:v>
      </x:c>
      <x:c r="J266" s="20" t="n">
        <x:v>1</x:v>
      </x:c>
      <x:c r="K266" s="20" t="n">
        <x:f>F266*G266*H266*I266*J266</x:f>
        <x:v>1.7711999999999997</x:v>
      </x:c>
      <x:c r="L266" s="7" t="str">
        <x:v>Two flights; geometry separate from floor slab</x:v>
      </x:c>
      <x:c r="M266" s="2"/>
      <x:c r="N266" s="2"/>
      <x:c r="O266" s="2"/>
      <x:c r="P266" s="2"/>
      <x:c r="Q266" s="2"/>
    </x:row>
    <x:row r="267" ht="22" customHeight="1">
      <x:c r="A267" s="2" t="str">
        <x:v>M0260</x:v>
      </x:c>
      <x:c r="B267" s="2" t="str">
        <x:v>RC07</x:v>
      </x:c>
      <x:c r="C267" s="2" t="str">
        <x:v>T1</x:v>
      </x:c>
      <x:c r="D267" s="2" t="str">
        <x:v>L10</x:v>
      </x:c>
      <x:c r="E267" s="2" t="str">
        <x:v>Stair landings</x:v>
      </x:c>
      <x:c r="F267" s="21" t="n">
        <x:v>2</x:v>
      </x:c>
      <x:c r="G267" s="21" t="n">
        <x:v>2</x:v>
      </x:c>
      <x:c r="H267" s="21" t="n">
        <x:v>1.2</x:v>
      </x:c>
      <x:c r="I267" s="21" t="n">
        <x:v>0.18</x:v>
      </x:c>
      <x:c r="J267" s="21" t="n">
        <x:v>1</x:v>
      </x:c>
      <x:c r="K267" s="21" t="n">
        <x:f>F267*G267*H267*I267*J267</x:f>
        <x:v>0.864</x:v>
      </x:c>
      <x:c r="L267" s="2" t="str">
        <x:v>Within stair opening</x:v>
      </x:c>
      <x:c r="M267" s="2"/>
      <x:c r="N267" s="2"/>
      <x:c r="O267" s="2"/>
      <x:c r="P267" s="2"/>
      <x:c r="Q267" s="2"/>
    </x:row>
    <x:row r="268" ht="22" customHeight="1">
      <x:c r="A268" s="7" t="str">
        <x:v>M0261</x:v>
      </x:c>
      <x:c r="B268" s="7" t="str">
        <x:v>FW01</x:v>
      </x:c>
      <x:c r="C268" s="7" t="str">
        <x:v>T1</x:v>
      </x:c>
      <x:c r="D268" s="7" t="str">
        <x:v>L10</x:v>
      </x:c>
      <x:c r="E268" s="7" t="str">
        <x:v>Slab soffit gross</x:v>
      </x:c>
      <x:c r="F268" s="20" t="n">
        <x:v>1</x:v>
      </x:c>
      <x:c r="G268" s="20" t="n">
        <x:f>'Controls'!$B$10</x:f>
        <x:v>30</x:v>
      </x:c>
      <x:c r="H268" s="20" t="n">
        <x:f>'Controls'!$B$11</x:f>
        <x:v>24</x:v>
      </x:c>
      <x:c r="I268" s="20" t="n">
        <x:v>1</x:v>
      </x:c>
      <x:c r="J268" s="20" t="n">
        <x:v>1</x:v>
      </x:c>
      <x:c r="K268" s="20" t="n">
        <x:f>F268*G268*H268*I268*J268</x:f>
        <x:v>720</x:v>
      </x:c>
      <x:c r="L268" s="7" t="str">
        <x:v>Beam soffit deducted below</x:v>
      </x:c>
      <x:c r="M268" s="2"/>
      <x:c r="N268" s="2"/>
      <x:c r="O268" s="2"/>
      <x:c r="P268" s="2"/>
      <x:c r="Q268" s="2"/>
    </x:row>
    <x:row r="269" ht="22" customHeight="1">
      <x:c r="A269" s="2" t="str">
        <x:v>M0262</x:v>
      </x:c>
      <x:c r="B269" s="2" t="str">
        <x:v>FW01</x:v>
      </x:c>
      <x:c r="C269" s="2" t="str">
        <x:v>T1</x:v>
      </x:c>
      <x:c r="D269" s="2" t="str">
        <x:v>L10</x:v>
      </x:c>
      <x:c r="E269" s="2" t="str">
        <x:v>Stair opening deduction</x:v>
      </x:c>
      <x:c r="F269" s="21" t="n">
        <x:v>1</x:v>
      </x:c>
      <x:c r="G269" s="21" t="n">
        <x:f>'Controls'!$B$20</x:f>
        <x:v>4</x:v>
      </x:c>
      <x:c r="H269" s="21" t="n">
        <x:f>'Controls'!$B$21</x:f>
        <x:v>6</x:v>
      </x:c>
      <x:c r="I269" s="21" t="n">
        <x:v>1</x:v>
      </x:c>
      <x:c r="J269" s="21" t="n">
        <x:v>-1</x:v>
      </x:c>
      <x:c r="K269" s="21" t="n">
        <x:f>F269*G269*H269*I269*J269</x:f>
        <x:v>-24</x:v>
      </x:c>
      <x:c r="L269" s="2" t="str">
        <x:v>OP-01</x:v>
      </x:c>
      <x:c r="M269" s="2"/>
      <x:c r="N269" s="2"/>
      <x:c r="O269" s="2"/>
      <x:c r="P269" s="2"/>
      <x:c r="Q269" s="2"/>
    </x:row>
    <x:row r="270" ht="22" customHeight="1">
      <x:c r="A270" s="7" t="str">
        <x:v>M0263</x:v>
      </x:c>
      <x:c r="B270" s="7" t="str">
        <x:v>FW01</x:v>
      </x:c>
      <x:c r="C270" s="7" t="str">
        <x:v>T1</x:v>
      </x:c>
      <x:c r="D270" s="7" t="str">
        <x:v>L10</x:v>
      </x:c>
      <x:c r="E270" s="7" t="str">
        <x:v>Beam soffit deduction</x:v>
      </x:c>
      <x:c r="F270" s="20" t="n">
        <x:v>1</x:v>
      </x:c>
      <x:c r="G270" s="20" t="n">
        <x:f>5*5*('Controls'!$B$10/5-'Controls'!$B$14)+6*4*('Controls'!$B$11/4-'Controls'!$B$15)</x:f>
        <x:v>269.5</x:v>
      </x:c>
      <x:c r="H270" s="20" t="n">
        <x:f>'Controls'!$B$16</x:f>
        <x:v>0.3</x:v>
      </x:c>
      <x:c r="I270" s="20" t="n">
        <x:v>1</x:v>
      </x:c>
      <x:c r="J270" s="20" t="n">
        <x:v>-1</x:v>
      </x:c>
      <x:c r="K270" s="20" t="n">
        <x:f>F270*G270*H270*I270*J270</x:f>
        <x:v>-80.85</x:v>
      </x:c>
      <x:c r="L270" s="7" t="str">
        <x:v>Beam forms measured in FW02</x:v>
      </x:c>
      <x:c r="M270" s="2"/>
      <x:c r="N270" s="2"/>
      <x:c r="O270" s="2"/>
      <x:c r="P270" s="2"/>
      <x:c r="Q270" s="2"/>
    </x:row>
    <x:row r="271" ht="22" customHeight="1">
      <x:c r="A271" s="2" t="str">
        <x:v>M0264</x:v>
      </x:c>
      <x:c r="B271" s="2" t="str">
        <x:v>FW03</x:v>
      </x:c>
      <x:c r="C271" s="2" t="str">
        <x:v>T1</x:v>
      </x:c>
      <x:c r="D271" s="2" t="str">
        <x:v>L10</x:v>
      </x:c>
      <x:c r="E271" s="2" t="str">
        <x:v>Column four faces</x:v>
      </x:c>
      <x:c r="F271" s="21" t="n">
        <x:v>30</x:v>
      </x:c>
      <x:c r="G271" s="21" t="n">
        <x:f>2*('Controls'!$B$14+'Controls'!$B$15)</x:f>
        <x:v>2</x:v>
      </x:c>
      <x:c r="H271" s="21" t="n">
        <x:f>'Controls'!$B$12-'Controls'!$B$13</x:f>
        <x:v>2.98</x:v>
      </x:c>
      <x:c r="I271" s="21" t="n">
        <x:v>1</x:v>
      </x:c>
      <x:c r="J271" s="21" t="n">
        <x:v>1</x:v>
      </x:c>
      <x:c r="K271" s="21" t="n">
        <x:f>F271*G271*H271*I271*J271</x:f>
        <x:v>178.8</x:v>
      </x:c>
      <x:c r="L271" s="2" t="str">
        <x:v>Clear floor-to-soffit</x:v>
      </x:c>
      <x:c r="M271" s="2"/>
      <x:c r="N271" s="2"/>
      <x:c r="O271" s="2"/>
      <x:c r="P271" s="2"/>
      <x:c r="Q271" s="2"/>
    </x:row>
    <x:row r="272" ht="22" customHeight="1">
      <x:c r="A272" s="7" t="str">
        <x:v>M0265</x:v>
      </x:c>
      <x:c r="B272" s="7" t="str">
        <x:v>FW04</x:v>
      </x:c>
      <x:c r="C272" s="7" t="str">
        <x:v>T1</x:v>
      </x:c>
      <x:c r="D272" s="7" t="str">
        <x:v>L10</x:v>
      </x:c>
      <x:c r="E272" s="7" t="str">
        <x:v>Core wall two faces</x:v>
      </x:c>
      <x:c r="F272" s="20" t="n">
        <x:v>2</x:v>
      </x:c>
      <x:c r="G272" s="20" t="n">
        <x:f>'Controls'!$B$19</x:f>
        <x:v>24</x:v>
      </x:c>
      <x:c r="H272" s="20" t="n">
        <x:f>'Controls'!$B$12-'Controls'!$B$13</x:f>
        <x:v>2.98</x:v>
      </x:c>
      <x:c r="I272" s="20" t="n">
        <x:v>1</x:v>
      </x:c>
      <x:c r="J272" s="20" t="n">
        <x:v>1</x:v>
      </x:c>
      <x:c r="K272" s="20" t="n">
        <x:f>F272*G272*H272*I272*J272</x:f>
        <x:v>143.04</x:v>
      </x:c>
      <x:c r="L272" s="7" t="str">
        <x:v>Net perimeter, no repeated corners</x:v>
      </x:c>
      <x:c r="M272" s="2"/>
      <x:c r="N272" s="2"/>
      <x:c r="O272" s="2"/>
      <x:c r="P272" s="2"/>
      <x:c r="Q272" s="2"/>
    </x:row>
    <x:row r="273" ht="22" customHeight="1">
      <x:c r="A273" s="2" t="str">
        <x:v>M0266</x:v>
      </x:c>
      <x:c r="B273" s="2" t="str">
        <x:v>AR01</x:v>
      </x:c>
      <x:c r="C273" s="2" t="str">
        <x:v>T1</x:v>
      </x:c>
      <x:c r="D273" s="2" t="str">
        <x:v>L10</x:v>
      </x:c>
      <x:c r="E273" s="2" t="str">
        <x:v>Partition walls gross</x:v>
      </x:c>
      <x:c r="F273" s="21" t="n">
        <x:v>1</x:v>
      </x:c>
      <x:c r="G273" s="21" t="n">
        <x:f>'Controls'!$B$45</x:f>
        <x:v>220</x:v>
      </x:c>
      <x:c r="H273" s="21" t="n">
        <x:f>'Controls'!$B$12-'Controls'!$B$13</x:f>
        <x:v>2.98</x:v>
      </x:c>
      <x:c r="I273" s="21" t="n">
        <x:f>'Controls'!$B$46</x:f>
        <x:v>0.15</x:v>
      </x:c>
      <x:c r="J273" s="21" t="n">
        <x:v>1</x:v>
      </x:c>
      <x:c r="K273" s="21" t="n">
        <x:f>F273*G273*H273*I273*J273</x:f>
        <x:v>98.34</x:v>
      </x:c>
      <x:c r="L273" s="2" t="str">
        <x:v>Net openings deducted below</x:v>
      </x:c>
      <x:c r="M273" s="2"/>
      <x:c r="N273" s="2"/>
      <x:c r="O273" s="2"/>
      <x:c r="P273" s="2"/>
      <x:c r="Q273" s="2"/>
    </x:row>
    <x:row r="274" ht="22" customHeight="1">
      <x:c r="A274" s="7" t="str">
        <x:v>M0267</x:v>
      </x:c>
      <x:c r="B274" s="7" t="str">
        <x:v>AR01</x:v>
      </x:c>
      <x:c r="C274" s="7" t="str">
        <x:v>T1</x:v>
      </x:c>
      <x:c r="D274" s="7" t="str">
        <x:v>L10</x:v>
      </x:c>
      <x:c r="E274" s="7" t="str">
        <x:v>Internal doors deduction</x:v>
      </x:c>
      <x:c r="F274" s="20" t="n">
        <x:f>'Controls'!$B$48</x:f>
        <x:v>28</x:v>
      </x:c>
      <x:c r="G274" s="20" t="n">
        <x:f>'Controls'!$B$49</x:f>
        <x:v>0.9</x:v>
      </x:c>
      <x:c r="H274" s="20" t="n">
        <x:f>'Controls'!$B$50</x:f>
        <x:v>2.1</x:v>
      </x:c>
      <x:c r="I274" s="20" t="n">
        <x:f>'Controls'!$B$46</x:f>
        <x:v>0.15</x:v>
      </x:c>
      <x:c r="J274" s="20" t="n">
        <x:v>-1</x:v>
      </x:c>
      <x:c r="K274" s="20" t="n">
        <x:f>F274*G274*H274*I274*J274</x:f>
        <x:v>-7.938</x:v>
      </x:c>
      <x:c r="L274" s="7" t="str">
        <x:v>28 doors per floor, OP-02</x:v>
      </x:c>
      <x:c r="M274" s="2"/>
      <x:c r="N274" s="2"/>
      <x:c r="O274" s="2"/>
      <x:c r="P274" s="2"/>
      <x:c r="Q274" s="2"/>
    </x:row>
    <x:row r="275" ht="22" customHeight="1">
      <x:c r="A275" s="2" t="str">
        <x:v>M0268</x:v>
      </x:c>
      <x:c r="B275" s="2" t="str">
        <x:v>AR02</x:v>
      </x:c>
      <x:c r="C275" s="2" t="str">
        <x:v>T1</x:v>
      </x:c>
      <x:c r="D275" s="2" t="str">
        <x:v>L10</x:v>
      </x:c>
      <x:c r="E275" s="2" t="str">
        <x:v>Internal plaster gross</x:v>
      </x:c>
      <x:c r="F275" s="21" t="n">
        <x:v>2</x:v>
      </x:c>
      <x:c r="G275" s="21" t="n">
        <x:f>'Controls'!$B$45</x:f>
        <x:v>220</x:v>
      </x:c>
      <x:c r="H275" s="21" t="n">
        <x:f>'Controls'!$B$12-'Controls'!$B$13</x:f>
        <x:v>2.98</x:v>
      </x:c>
      <x:c r="I275" s="21" t="n">
        <x:v>1</x:v>
      </x:c>
      <x:c r="J275" s="21" t="n">
        <x:v>1</x:v>
      </x:c>
      <x:c r="K275" s="21" t="n">
        <x:f>F275*G275*H275*I275*J275</x:f>
        <x:v>1311.2</x:v>
      </x:c>
      <x:c r="L275" s="2" t="str">
        <x:v>Both faces of partition walls</x:v>
      </x:c>
      <x:c r="M275" s="2"/>
      <x:c r="N275" s="2"/>
      <x:c r="O275" s="2"/>
      <x:c r="P275" s="2"/>
      <x:c r="Q275" s="2"/>
    </x:row>
    <x:row r="276" ht="22" customHeight="1">
      <x:c r="A276" s="7" t="str">
        <x:v>M0269</x:v>
      </x:c>
      <x:c r="B276" s="7" t="str">
        <x:v>AR02</x:v>
      </x:c>
      <x:c r="C276" s="7" t="str">
        <x:v>T1</x:v>
      </x:c>
      <x:c r="D276" s="7" t="str">
        <x:v>L10</x:v>
      </x:c>
      <x:c r="E276" s="7" t="str">
        <x:v>Door area deduction both faces</x:v>
      </x:c>
      <x:c r="F276" s="20" t="n">
        <x:f>2*'Controls'!$B$48</x:f>
        <x:v>56</x:v>
      </x:c>
      <x:c r="G276" s="20" t="n">
        <x:f>'Controls'!$B$49</x:f>
        <x:v>0.9</x:v>
      </x:c>
      <x:c r="H276" s="20" t="n">
        <x:f>'Controls'!$B$50</x:f>
        <x:v>2.1</x:v>
      </x:c>
      <x:c r="I276" s="20" t="n">
        <x:v>1</x:v>
      </x:c>
      <x:c r="J276" s="20" t="n">
        <x:v>-1</x:v>
      </x:c>
      <x:c r="K276" s="20" t="n">
        <x:f>F276*G276*H276*I276*J276</x:f>
        <x:v>-105.84</x:v>
      </x:c>
      <x:c r="L276" s="7" t="str">
        <x:v>No plaster over openings</x:v>
      </x:c>
      <x:c r="M276" s="2"/>
      <x:c r="N276" s="2"/>
      <x:c r="O276" s="2"/>
      <x:c r="P276" s="2"/>
      <x:c r="Q276" s="2"/>
    </x:row>
    <x:row r="277" ht="22" customHeight="1">
      <x:c r="A277" s="2" t="str">
        <x:v>M0270</x:v>
      </x:c>
      <x:c r="B277" s="2" t="str">
        <x:v>AR03</x:v>
      </x:c>
      <x:c r="C277" s="2" t="str">
        <x:v>T1</x:v>
      </x:c>
      <x:c r="D277" s="2" t="str">
        <x:v>L10</x:v>
      </x:c>
      <x:c r="E277" s="2" t="str">
        <x:v>Floor screed net</x:v>
      </x:c>
      <x:c r="F277" s="21" t="n">
        <x:v>1</x:v>
      </x:c>
      <x:c r="G277" s="21" t="n">
        <x:f>'Controls'!$B$10*'Controls'!$B$11-'Controls'!$B$20*'Controls'!$B$21</x:f>
        <x:v>696</x:v>
      </x:c>
      <x:c r="H277" s="21" t="n">
        <x:v>1</x:v>
      </x:c>
      <x:c r="I277" s="21" t="n">
        <x:v>1</x:v>
      </x:c>
      <x:c r="J277" s="21" t="n">
        <x:v>1</x:v>
      </x:c>
      <x:c r="K277" s="21" t="n">
        <x:f>F277*G277*H277*I277*J277</x:f>
        <x:v>696</x:v>
      </x:c>
      <x:c r="L277" s="2" t="str">
        <x:v>Net structural floor area</x:v>
      </x:c>
      <x:c r="M277" s="2"/>
      <x:c r="N277" s="2"/>
      <x:c r="O277" s="2"/>
      <x:c r="P277" s="2"/>
      <x:c r="Q277" s="2"/>
    </x:row>
    <x:row r="278" ht="22" customHeight="1">
      <x:c r="A278" s="7" t="str">
        <x:v>M0271</x:v>
      </x:c>
      <x:c r="B278" s="7" t="str">
        <x:v>AR04</x:v>
      </x:c>
      <x:c r="C278" s="7" t="str">
        <x:v>T1</x:v>
      </x:c>
      <x:c r="D278" s="7" t="str">
        <x:v>L10</x:v>
      </x:c>
      <x:c r="E278" s="7" t="str">
        <x:v>Floor finish net</x:v>
      </x:c>
      <x:c r="F278" s="20" t="n">
        <x:v>1</x:v>
      </x:c>
      <x:c r="G278" s="20" t="n">
        <x:f>'Controls'!$B$10*'Controls'!$B$11-'Controls'!$B$20*'Controls'!$B$21</x:f>
        <x:v>696</x:v>
      </x:c>
      <x:c r="H278" s="20" t="n">
        <x:v>1</x:v>
      </x:c>
      <x:c r="I278" s="20" t="n">
        <x:v>1</x:v>
      </x:c>
      <x:c r="J278" s="20" t="n">
        <x:v>1</x:v>
      </x:c>
      <x:c r="K278" s="20" t="n">
        <x:f>F278*G278*H278*I278*J278</x:f>
        <x:v>696</x:v>
      </x:c>
      <x:c r="L278" s="7" t="str">
        <x:v>Waste excluded from BOQ</x:v>
      </x:c>
      <x:c r="M278" s="2"/>
      <x:c r="N278" s="2"/>
      <x:c r="O278" s="2"/>
      <x:c r="P278" s="2"/>
      <x:c r="Q278" s="2"/>
    </x:row>
    <x:row r="279" ht="22" customHeight="1">
      <x:c r="A279" s="2" t="str">
        <x:v>M0272</x:v>
      </x:c>
      <x:c r="B279" s="2" t="str">
        <x:v>AR05</x:v>
      </x:c>
      <x:c r="C279" s="2" t="str">
        <x:v>T1</x:v>
      </x:c>
      <x:c r="D279" s="2" t="str">
        <x:v>L10</x:v>
      </x:c>
      <x:c r="E279" s="2" t="str">
        <x:v>Internal wall paint net</x:v>
      </x:c>
      <x:c r="F279" s="21" t="n">
        <x:v>2</x:v>
      </x:c>
      <x:c r="G279" s="21" t="n">
        <x:f>'Controls'!$B$45*('Controls'!$B$12-'Controls'!$B$13)-'Controls'!$B$48*'Controls'!$B$49*'Controls'!$B$50</x:f>
        <x:v>602.6800000000001</x:v>
      </x:c>
      <x:c r="H279" s="21" t="n">
        <x:v>1</x:v>
      </x:c>
      <x:c r="I279" s="21" t="n">
        <x:v>1</x:v>
      </x:c>
      <x:c r="J279" s="21" t="n">
        <x:v>1</x:v>
      </x:c>
      <x:c r="K279" s="21" t="n">
        <x:f>F279*G279*H279*I279*J279</x:f>
        <x:v>1205.3600000000001</x:v>
      </x:c>
      <x:c r="L279" s="2" t="str">
        <x:v>Finished area; two coats priced in rate</x:v>
      </x:c>
      <x:c r="M279" s="2"/>
      <x:c r="N279" s="2"/>
      <x:c r="O279" s="2"/>
      <x:c r="P279" s="2"/>
      <x:c r="Q279" s="2"/>
    </x:row>
    <x:row r="280" ht="22" customHeight="1">
      <x:c r="A280" s="7" t="str">
        <x:v>M0273</x:v>
      </x:c>
      <x:c r="B280" s="7" t="str">
        <x:v>AR06</x:v>
      </x:c>
      <x:c r="C280" s="7" t="str">
        <x:v>T1</x:v>
      </x:c>
      <x:c r="D280" s="7" t="str">
        <x:v>L10</x:v>
      </x:c>
      <x:c r="E280" s="7" t="str">
        <x:v>Door sets</x:v>
      </x:c>
      <x:c r="F280" s="20" t="n">
        <x:f>'Controls'!$B$48</x:f>
        <x:v>28</x:v>
      </x:c>
      <x:c r="G280" s="20" t="n">
        <x:v>1</x:v>
      </x:c>
      <x:c r="H280" s="20" t="n">
        <x:v>1</x:v>
      </x:c>
      <x:c r="I280" s="20" t="n">
        <x:v>1</x:v>
      </x:c>
      <x:c r="J280" s="20" t="n">
        <x:v>1</x:v>
      </x:c>
      <x:c r="K280" s="20" t="n">
        <x:f>F280*G280*H280*I280*J280</x:f>
        <x:v>28</x:v>
      </x:c>
      <x:c r="L280" s="7" t="str">
        <x:v>Door count, not double face</x:v>
      </x:c>
      <x:c r="M280" s="2"/>
      <x:c r="N280" s="2"/>
      <x:c r="O280" s="2"/>
      <x:c r="P280" s="2"/>
      <x:c r="Q280" s="2"/>
    </x:row>
    <x:row r="281" ht="22" customHeight="1">
      <x:c r="A281" s="2" t="str">
        <x:v>M0274</x:v>
      </x:c>
      <x:c r="B281" s="2" t="str">
        <x:v>RC03</x:v>
      </x:c>
      <x:c r="C281" s="2" t="str">
        <x:v>T1</x:v>
      </x:c>
      <x:c r="D281" s="2" t="str">
        <x:v>L11</x:v>
      </x:c>
      <x:c r="E281" s="2" t="str">
        <x:v>Floor slab gross</x:v>
      </x:c>
      <x:c r="F281" s="21" t="n">
        <x:v>1</x:v>
      </x:c>
      <x:c r="G281" s="21" t="n">
        <x:f>'Controls'!$B$10</x:f>
        <x:v>30</x:v>
      </x:c>
      <x:c r="H281" s="21" t="n">
        <x:f>'Controls'!$B$11</x:f>
        <x:v>24</x:v>
      </x:c>
      <x:c r="I281" s="21" t="n">
        <x:f>'Controls'!$B$13</x:f>
        <x:v>0.22</x:v>
      </x:c>
      <x:c r="J281" s="21" t="n">
        <x:v>1</x:v>
      </x:c>
      <x:c r="K281" s="21" t="n">
        <x:f>F281*G281*H281*I281*J281</x:f>
        <x:v>158.4</x:v>
      </x:c>
      <x:c r="L281" s="2" t="str">
        <x:v>Slab includes beam top flange; downstand separate</x:v>
      </x:c>
      <x:c r="M281" s="2"/>
      <x:c r="N281" s="2"/>
      <x:c r="O281" s="2"/>
      <x:c r="P281" s="2"/>
      <x:c r="Q281" s="2"/>
    </x:row>
    <x:row r="282" ht="22" customHeight="1">
      <x:c r="A282" s="7" t="str">
        <x:v>M0275</x:v>
      </x:c>
      <x:c r="B282" s="7" t="str">
        <x:v>RC03</x:v>
      </x:c>
      <x:c r="C282" s="7" t="str">
        <x:v>T1</x:v>
      </x:c>
      <x:c r="D282" s="7" t="str">
        <x:v>L11</x:v>
      </x:c>
      <x:c r="E282" s="7" t="str">
        <x:v>Stair opening deduction</x:v>
      </x:c>
      <x:c r="F282" s="20" t="n">
        <x:v>1</x:v>
      </x:c>
      <x:c r="G282" s="20" t="n">
        <x:f>'Controls'!$B$20</x:f>
        <x:v>4</x:v>
      </x:c>
      <x:c r="H282" s="20" t="n">
        <x:f>'Controls'!$B$21</x:f>
        <x:v>6</x:v>
      </x:c>
      <x:c r="I282" s="20" t="n">
        <x:f>'Controls'!$B$13</x:f>
        <x:v>0.22</x:v>
      </x:c>
      <x:c r="J282" s="20" t="n">
        <x:v>-1</x:v>
      </x:c>
      <x:c r="K282" s="20" t="n">
        <x:f>F282*G282*H282*I282*J282</x:f>
        <x:v>-5.28</x:v>
      </x:c>
      <x:c r="L282" s="7" t="str">
        <x:v>Opening OP-01</x:v>
      </x:c>
      <x:c r="M282" s="2"/>
      <x:c r="N282" s="2"/>
      <x:c r="O282" s="2"/>
      <x:c r="P282" s="2"/>
      <x:c r="Q282" s="2"/>
    </x:row>
    <x:row r="283" ht="22" customHeight="1">
      <x:c r="A283" s="2" t="str">
        <x:v>M0276</x:v>
      </x:c>
      <x:c r="B283" s="2" t="str">
        <x:v>RC04</x:v>
      </x:c>
      <x:c r="C283" s="2" t="str">
        <x:v>T1</x:v>
      </x:c>
      <x:c r="D283" s="2" t="str">
        <x:v>L11</x:v>
      </x:c>
      <x:c r="E283" s="2" t="str">
        <x:v>Beam downstands X</x:v>
      </x:c>
      <x:c r="F283" s="21" t="n">
        <x:v>1</x:v>
      </x:c>
      <x:c r="G283" s="21" t="n">
        <x:f>5*5*('Controls'!$B$10/5-'Controls'!$B$14)</x:f>
        <x:v>137.5</x:v>
      </x:c>
      <x:c r="H283" s="21" t="n">
        <x:f>'Controls'!$B$16</x:f>
        <x:v>0.3</x:v>
      </x:c>
      <x:c r="I283" s="21" t="n">
        <x:f>'Controls'!$B$17-'Controls'!$B$13</x:f>
        <x:v>0.38</x:v>
      </x:c>
      <x:c r="J283" s="21" t="n">
        <x:v>1</x:v>
      </x:c>
      <x:c r="K283" s="21" t="n">
        <x:f>F283*G283*H283*I283*J283</x:f>
        <x:v>15.675</x:v>
      </x:c>
      <x:c r="L283" s="2" t="str">
        <x:v>Clear spans between column faces; no joint overlap</x:v>
      </x:c>
      <x:c r="M283" s="2"/>
      <x:c r="N283" s="2"/>
      <x:c r="O283" s="2"/>
      <x:c r="P283" s="2"/>
      <x:c r="Q283" s="2"/>
    </x:row>
    <x:row r="284" ht="22" customHeight="1">
      <x:c r="A284" s="7" t="str">
        <x:v>M0277</x:v>
      </x:c>
      <x:c r="B284" s="7" t="str">
        <x:v>FW02</x:v>
      </x:c>
      <x:c r="C284" s="7" t="str">
        <x:v>T1</x:v>
      </x:c>
      <x:c r="D284" s="7" t="str">
        <x:v>L11</x:v>
      </x:c>
      <x:c r="E284" s="7" t="str">
        <x:v>Beam forms X</x:v>
      </x:c>
      <x:c r="F284" s="20" t="n">
        <x:v>1</x:v>
      </x:c>
      <x:c r="G284" s="20" t="n">
        <x:f>5*5*('Controls'!$B$10/5-'Controls'!$B$14)</x:f>
        <x:v>137.5</x:v>
      </x:c>
      <x:c r="H284" s="20" t="n">
        <x:f>'Controls'!$B$16+2*('Controls'!$B$17-'Controls'!$B$13)</x:f>
        <x:v>1.06</x:v>
      </x:c>
      <x:c r="I284" s="20" t="n">
        <x:v>1</x:v>
      </x:c>
      <x:c r="J284" s="20" t="n">
        <x:v>1</x:v>
      </x:c>
      <x:c r="K284" s="20" t="n">
        <x:f>F284*G284*H284*I284*J284</x:f>
        <x:v>145.75</x:v>
      </x:c>
      <x:c r="L284" s="7" t="str">
        <x:v>Soffit plus two downstand sides</x:v>
      </x:c>
      <x:c r="M284" s="2"/>
      <x:c r="N284" s="2"/>
      <x:c r="O284" s="2"/>
      <x:c r="P284" s="2"/>
      <x:c r="Q284" s="2"/>
    </x:row>
    <x:row r="285" ht="22" customHeight="1">
      <x:c r="A285" s="2" t="str">
        <x:v>M0278</x:v>
      </x:c>
      <x:c r="B285" s="2" t="str">
        <x:v>RC04</x:v>
      </x:c>
      <x:c r="C285" s="2" t="str">
        <x:v>T1</x:v>
      </x:c>
      <x:c r="D285" s="2" t="str">
        <x:v>L11</x:v>
      </x:c>
      <x:c r="E285" s="2" t="str">
        <x:v>Beam downstands Y</x:v>
      </x:c>
      <x:c r="F285" s="21" t="n">
        <x:v>1</x:v>
      </x:c>
      <x:c r="G285" s="21" t="n">
        <x:f>6*4*('Controls'!$B$11/4-'Controls'!$B$15)</x:f>
        <x:v>132</x:v>
      </x:c>
      <x:c r="H285" s="21" t="n">
        <x:f>'Controls'!$B$16</x:f>
        <x:v>0.3</x:v>
      </x:c>
      <x:c r="I285" s="21" t="n">
        <x:f>'Controls'!$B$17-'Controls'!$B$13</x:f>
        <x:v>0.38</x:v>
      </x:c>
      <x:c r="J285" s="21" t="n">
        <x:v>1</x:v>
      </x:c>
      <x:c r="K285" s="21" t="n">
        <x:f>F285*G285*H285*I285*J285</x:f>
        <x:v>15.048</x:v>
      </x:c>
      <x:c r="L285" s="2" t="str">
        <x:v>Clear spans between column faces; no joint overlap</x:v>
      </x:c>
      <x:c r="M285" s="2"/>
      <x:c r="N285" s="2"/>
      <x:c r="O285" s="2"/>
      <x:c r="P285" s="2"/>
      <x:c r="Q285" s="2"/>
    </x:row>
    <x:row r="286" ht="22" customHeight="1">
      <x:c r="A286" s="7" t="str">
        <x:v>M0279</x:v>
      </x:c>
      <x:c r="B286" s="7" t="str">
        <x:v>FW02</x:v>
      </x:c>
      <x:c r="C286" s="7" t="str">
        <x:v>T1</x:v>
      </x:c>
      <x:c r="D286" s="7" t="str">
        <x:v>L11</x:v>
      </x:c>
      <x:c r="E286" s="7" t="str">
        <x:v>Beam forms Y</x:v>
      </x:c>
      <x:c r="F286" s="20" t="n">
        <x:v>1</x:v>
      </x:c>
      <x:c r="G286" s="20" t="n">
        <x:f>6*4*('Controls'!$B$11/4-'Controls'!$B$15)</x:f>
        <x:v>132</x:v>
      </x:c>
      <x:c r="H286" s="20" t="n">
        <x:f>'Controls'!$B$16+2*('Controls'!$B$17-'Controls'!$B$13)</x:f>
        <x:v>1.06</x:v>
      </x:c>
      <x:c r="I286" s="20" t="n">
        <x:v>1</x:v>
      </x:c>
      <x:c r="J286" s="20" t="n">
        <x:v>1</x:v>
      </x:c>
      <x:c r="K286" s="20" t="n">
        <x:f>F286*G286*H286*I286*J286</x:f>
        <x:v>139.92000000000002</x:v>
      </x:c>
      <x:c r="L286" s="7" t="str">
        <x:v>Soffit plus two downstand sides</x:v>
      </x:c>
      <x:c r="M286" s="2"/>
      <x:c r="N286" s="2"/>
      <x:c r="O286" s="2"/>
      <x:c r="P286" s="2"/>
      <x:c r="Q286" s="2"/>
    </x:row>
    <x:row r="287" ht="22" customHeight="1">
      <x:c r="A287" s="2" t="str">
        <x:v>M0280</x:v>
      </x:c>
      <x:c r="B287" s="2" t="str">
        <x:v>RC05</x:v>
      </x:c>
      <x:c r="C287" s="2" t="str">
        <x:v>T1</x:v>
      </x:c>
      <x:c r="D287" s="2" t="str">
        <x:v>L11</x:v>
      </x:c>
      <x:c r="E287" s="2" t="str">
        <x:v>Thirty columns, clear storey</x:v>
      </x:c>
      <x:c r="F287" s="21" t="n">
        <x:v>30</x:v>
      </x:c>
      <x:c r="G287" s="21" t="n">
        <x:f>'Controls'!$B$14</x:f>
        <x:v>0.5</x:v>
      </x:c>
      <x:c r="H287" s="21" t="n">
        <x:f>'Controls'!$B$15</x:f>
        <x:v>0.5</x:v>
      </x:c>
      <x:c r="I287" s="21" t="n">
        <x:f>'Controls'!$B$12-'Controls'!$B$13</x:f>
        <x:v>2.98</x:v>
      </x:c>
      <x:c r="J287" s="21" t="n">
        <x:v>1</x:v>
      </x:c>
      <x:c r="K287" s="21" t="n">
        <x:f>F287*G287*H287*I287*J287</x:f>
        <x:v>22.35</x:v>
      </x:c>
      <x:c r="L287" s="2" t="str">
        <x:v>Slab volume excluded from columns</x:v>
      </x:c>
      <x:c r="M287" s="2"/>
      <x:c r="N287" s="2"/>
      <x:c r="O287" s="2"/>
      <x:c r="P287" s="2"/>
      <x:c r="Q287" s="2"/>
    </x:row>
    <x:row r="288" ht="22" customHeight="1">
      <x:c r="A288" s="7" t="str">
        <x:v>M0281</x:v>
      </x:c>
      <x:c r="B288" s="7" t="str">
        <x:v>RC06</x:v>
      </x:c>
      <x:c r="C288" s="7" t="str">
        <x:v>T1</x:v>
      </x:c>
      <x:c r="D288" s="7" t="str">
        <x:v>L11</x:v>
      </x:c>
      <x:c r="E288" s="7" t="str">
        <x:v>Core walls clear storey</x:v>
      </x:c>
      <x:c r="F288" s="20" t="n">
        <x:v>1</x:v>
      </x:c>
      <x:c r="G288" s="20" t="n">
        <x:f>'Controls'!$B$19</x:f>
        <x:v>24</x:v>
      </x:c>
      <x:c r="H288" s="20" t="n">
        <x:f>'Controls'!$B$18</x:f>
        <x:v>0.25</x:v>
      </x:c>
      <x:c r="I288" s="20" t="n">
        <x:f>'Controls'!$B$12-'Controls'!$B$13</x:f>
        <x:v>2.98</x:v>
      </x:c>
      <x:c r="J288" s="20" t="n">
        <x:v>1</x:v>
      </x:c>
      <x:c r="K288" s="20" t="n">
        <x:f>F288*G288*H288*I288*J288</x:f>
        <x:v>17.88</x:v>
      </x:c>
      <x:c r="L288" s="7" t="str">
        <x:v>Net clear wall length excludes corners</x:v>
      </x:c>
      <x:c r="M288" s="2"/>
      <x:c r="N288" s="2"/>
      <x:c r="O288" s="2"/>
      <x:c r="P288" s="2"/>
      <x:c r="Q288" s="2"/>
    </x:row>
    <x:row r="289" ht="22" customHeight="1">
      <x:c r="A289" s="2" t="str">
        <x:v>M0282</x:v>
      </x:c>
      <x:c r="B289" s="2" t="str">
        <x:v>RC07</x:v>
      </x:c>
      <x:c r="C289" s="2" t="str">
        <x:v>T1</x:v>
      </x:c>
      <x:c r="D289" s="2" t="str">
        <x:v>L11</x:v>
      </x:c>
      <x:c r="E289" s="2" t="str">
        <x:v>Stair flights waist</x:v>
      </x:c>
      <x:c r="F289" s="21" t="n">
        <x:v>2</x:v>
      </x:c>
      <x:c r="G289" s="21" t="n">
        <x:v>4.1</x:v>
      </x:c>
      <x:c r="H289" s="21" t="n">
        <x:v>1.2</x:v>
      </x:c>
      <x:c r="I289" s="21" t="n">
        <x:v>0.18</x:v>
      </x:c>
      <x:c r="J289" s="21" t="n">
        <x:v>1</x:v>
      </x:c>
      <x:c r="K289" s="21" t="n">
        <x:f>F289*G289*H289*I289*J289</x:f>
        <x:v>1.7711999999999997</x:v>
      </x:c>
      <x:c r="L289" s="2" t="str">
        <x:v>Two flights; geometry separate from floor slab</x:v>
      </x:c>
      <x:c r="M289" s="2"/>
      <x:c r="N289" s="2"/>
      <x:c r="O289" s="2"/>
      <x:c r="P289" s="2"/>
      <x:c r="Q289" s="2"/>
    </x:row>
    <x:row r="290" ht="22" customHeight="1">
      <x:c r="A290" s="7" t="str">
        <x:v>M0283</x:v>
      </x:c>
      <x:c r="B290" s="7" t="str">
        <x:v>RC07</x:v>
      </x:c>
      <x:c r="C290" s="7" t="str">
        <x:v>T1</x:v>
      </x:c>
      <x:c r="D290" s="7" t="str">
        <x:v>L11</x:v>
      </x:c>
      <x:c r="E290" s="7" t="str">
        <x:v>Stair landings</x:v>
      </x:c>
      <x:c r="F290" s="20" t="n">
        <x:v>2</x:v>
      </x:c>
      <x:c r="G290" s="20" t="n">
        <x:v>2</x:v>
      </x:c>
      <x:c r="H290" s="20" t="n">
        <x:v>1.2</x:v>
      </x:c>
      <x:c r="I290" s="20" t="n">
        <x:v>0.18</x:v>
      </x:c>
      <x:c r="J290" s="20" t="n">
        <x:v>1</x:v>
      </x:c>
      <x:c r="K290" s="20" t="n">
        <x:f>F290*G290*H290*I290*J290</x:f>
        <x:v>0.864</x:v>
      </x:c>
      <x:c r="L290" s="7" t="str">
        <x:v>Within stair opening</x:v>
      </x:c>
      <x:c r="M290" s="2"/>
      <x:c r="N290" s="2"/>
      <x:c r="O290" s="2"/>
      <x:c r="P290" s="2"/>
      <x:c r="Q290" s="2"/>
    </x:row>
    <x:row r="291" ht="22" customHeight="1">
      <x:c r="A291" s="2" t="str">
        <x:v>M0284</x:v>
      </x:c>
      <x:c r="B291" s="2" t="str">
        <x:v>FW01</x:v>
      </x:c>
      <x:c r="C291" s="2" t="str">
        <x:v>T1</x:v>
      </x:c>
      <x:c r="D291" s="2" t="str">
        <x:v>L11</x:v>
      </x:c>
      <x:c r="E291" s="2" t="str">
        <x:v>Slab soffit gross</x:v>
      </x:c>
      <x:c r="F291" s="21" t="n">
        <x:v>1</x:v>
      </x:c>
      <x:c r="G291" s="21" t="n">
        <x:f>'Controls'!$B$10</x:f>
        <x:v>30</x:v>
      </x:c>
      <x:c r="H291" s="21" t="n">
        <x:f>'Controls'!$B$11</x:f>
        <x:v>24</x:v>
      </x:c>
      <x:c r="I291" s="21" t="n">
        <x:v>1</x:v>
      </x:c>
      <x:c r="J291" s="21" t="n">
        <x:v>1</x:v>
      </x:c>
      <x:c r="K291" s="21" t="n">
        <x:f>F291*G291*H291*I291*J291</x:f>
        <x:v>720</x:v>
      </x:c>
      <x:c r="L291" s="2" t="str">
        <x:v>Beam soffit deducted below</x:v>
      </x:c>
      <x:c r="M291" s="2"/>
      <x:c r="N291" s="2"/>
      <x:c r="O291" s="2"/>
      <x:c r="P291" s="2"/>
      <x:c r="Q291" s="2"/>
    </x:row>
    <x:row r="292" ht="22" customHeight="1">
      <x:c r="A292" s="7" t="str">
        <x:v>M0285</x:v>
      </x:c>
      <x:c r="B292" s="7" t="str">
        <x:v>FW01</x:v>
      </x:c>
      <x:c r="C292" s="7" t="str">
        <x:v>T1</x:v>
      </x:c>
      <x:c r="D292" s="7" t="str">
        <x:v>L11</x:v>
      </x:c>
      <x:c r="E292" s="7" t="str">
        <x:v>Stair opening deduction</x:v>
      </x:c>
      <x:c r="F292" s="20" t="n">
        <x:v>1</x:v>
      </x:c>
      <x:c r="G292" s="20" t="n">
        <x:f>'Controls'!$B$20</x:f>
        <x:v>4</x:v>
      </x:c>
      <x:c r="H292" s="20" t="n">
        <x:f>'Controls'!$B$21</x:f>
        <x:v>6</x:v>
      </x:c>
      <x:c r="I292" s="20" t="n">
        <x:v>1</x:v>
      </x:c>
      <x:c r="J292" s="20" t="n">
        <x:v>-1</x:v>
      </x:c>
      <x:c r="K292" s="20" t="n">
        <x:f>F292*G292*H292*I292*J292</x:f>
        <x:v>-24</x:v>
      </x:c>
      <x:c r="L292" s="7" t="str">
        <x:v>OP-01</x:v>
      </x:c>
      <x:c r="M292" s="2"/>
      <x:c r="N292" s="2"/>
      <x:c r="O292" s="2"/>
      <x:c r="P292" s="2"/>
      <x:c r="Q292" s="2"/>
    </x:row>
    <x:row r="293" ht="22" customHeight="1">
      <x:c r="A293" s="2" t="str">
        <x:v>M0286</x:v>
      </x:c>
      <x:c r="B293" s="2" t="str">
        <x:v>FW01</x:v>
      </x:c>
      <x:c r="C293" s="2" t="str">
        <x:v>T1</x:v>
      </x:c>
      <x:c r="D293" s="2" t="str">
        <x:v>L11</x:v>
      </x:c>
      <x:c r="E293" s="2" t="str">
        <x:v>Beam soffit deduction</x:v>
      </x:c>
      <x:c r="F293" s="21" t="n">
        <x:v>1</x:v>
      </x:c>
      <x:c r="G293" s="21" t="n">
        <x:f>5*5*('Controls'!$B$10/5-'Controls'!$B$14)+6*4*('Controls'!$B$11/4-'Controls'!$B$15)</x:f>
        <x:v>269.5</x:v>
      </x:c>
      <x:c r="H293" s="21" t="n">
        <x:f>'Controls'!$B$16</x:f>
        <x:v>0.3</x:v>
      </x:c>
      <x:c r="I293" s="21" t="n">
        <x:v>1</x:v>
      </x:c>
      <x:c r="J293" s="21" t="n">
        <x:v>-1</x:v>
      </x:c>
      <x:c r="K293" s="21" t="n">
        <x:f>F293*G293*H293*I293*J293</x:f>
        <x:v>-80.85</x:v>
      </x:c>
      <x:c r="L293" s="2" t="str">
        <x:v>Beam forms measured in FW02</x:v>
      </x:c>
      <x:c r="M293" s="2"/>
      <x:c r="N293" s="2"/>
      <x:c r="O293" s="2"/>
      <x:c r="P293" s="2"/>
      <x:c r="Q293" s="2"/>
    </x:row>
    <x:row r="294" ht="22" customHeight="1">
      <x:c r="A294" s="7" t="str">
        <x:v>M0287</x:v>
      </x:c>
      <x:c r="B294" s="7" t="str">
        <x:v>FW03</x:v>
      </x:c>
      <x:c r="C294" s="7" t="str">
        <x:v>T1</x:v>
      </x:c>
      <x:c r="D294" s="7" t="str">
        <x:v>L11</x:v>
      </x:c>
      <x:c r="E294" s="7" t="str">
        <x:v>Column four faces</x:v>
      </x:c>
      <x:c r="F294" s="20" t="n">
        <x:v>30</x:v>
      </x:c>
      <x:c r="G294" s="20" t="n">
        <x:f>2*('Controls'!$B$14+'Controls'!$B$15)</x:f>
        <x:v>2</x:v>
      </x:c>
      <x:c r="H294" s="20" t="n">
        <x:f>'Controls'!$B$12-'Controls'!$B$13</x:f>
        <x:v>2.98</x:v>
      </x:c>
      <x:c r="I294" s="20" t="n">
        <x:v>1</x:v>
      </x:c>
      <x:c r="J294" s="20" t="n">
        <x:v>1</x:v>
      </x:c>
      <x:c r="K294" s="20" t="n">
        <x:f>F294*G294*H294*I294*J294</x:f>
        <x:v>178.8</x:v>
      </x:c>
      <x:c r="L294" s="7" t="str">
        <x:v>Clear floor-to-soffit</x:v>
      </x:c>
      <x:c r="M294" s="2"/>
      <x:c r="N294" s="2"/>
      <x:c r="O294" s="2"/>
      <x:c r="P294" s="2"/>
      <x:c r="Q294" s="2"/>
    </x:row>
    <x:row r="295" ht="22" customHeight="1">
      <x:c r="A295" s="2" t="str">
        <x:v>M0288</x:v>
      </x:c>
      <x:c r="B295" s="2" t="str">
        <x:v>FW04</x:v>
      </x:c>
      <x:c r="C295" s="2" t="str">
        <x:v>T1</x:v>
      </x:c>
      <x:c r="D295" s="2" t="str">
        <x:v>L11</x:v>
      </x:c>
      <x:c r="E295" s="2" t="str">
        <x:v>Core wall two faces</x:v>
      </x:c>
      <x:c r="F295" s="21" t="n">
        <x:v>2</x:v>
      </x:c>
      <x:c r="G295" s="21" t="n">
        <x:f>'Controls'!$B$19</x:f>
        <x:v>24</x:v>
      </x:c>
      <x:c r="H295" s="21" t="n">
        <x:f>'Controls'!$B$12-'Controls'!$B$13</x:f>
        <x:v>2.98</x:v>
      </x:c>
      <x:c r="I295" s="21" t="n">
        <x:v>1</x:v>
      </x:c>
      <x:c r="J295" s="21" t="n">
        <x:v>1</x:v>
      </x:c>
      <x:c r="K295" s="21" t="n">
        <x:f>F295*G295*H295*I295*J295</x:f>
        <x:v>143.04</x:v>
      </x:c>
      <x:c r="L295" s="2" t="str">
        <x:v>Net perimeter, no repeated corners</x:v>
      </x:c>
      <x:c r="M295" s="2"/>
      <x:c r="N295" s="2"/>
      <x:c r="O295" s="2"/>
      <x:c r="P295" s="2"/>
      <x:c r="Q295" s="2"/>
    </x:row>
    <x:row r="296" ht="22" customHeight="1">
      <x:c r="A296" s="7" t="str">
        <x:v>M0289</x:v>
      </x:c>
      <x:c r="B296" s="7" t="str">
        <x:v>AR01</x:v>
      </x:c>
      <x:c r="C296" s="7" t="str">
        <x:v>T1</x:v>
      </x:c>
      <x:c r="D296" s="7" t="str">
        <x:v>L11</x:v>
      </x:c>
      <x:c r="E296" s="7" t="str">
        <x:v>Partition walls gross</x:v>
      </x:c>
      <x:c r="F296" s="20" t="n">
        <x:v>1</x:v>
      </x:c>
      <x:c r="G296" s="20" t="n">
        <x:f>'Controls'!$B$45</x:f>
        <x:v>220</x:v>
      </x:c>
      <x:c r="H296" s="20" t="n">
        <x:f>'Controls'!$B$12-'Controls'!$B$13</x:f>
        <x:v>2.98</x:v>
      </x:c>
      <x:c r="I296" s="20" t="n">
        <x:f>'Controls'!$B$46</x:f>
        <x:v>0.15</x:v>
      </x:c>
      <x:c r="J296" s="20" t="n">
        <x:v>1</x:v>
      </x:c>
      <x:c r="K296" s="20" t="n">
        <x:f>F296*G296*H296*I296*J296</x:f>
        <x:v>98.34</x:v>
      </x:c>
      <x:c r="L296" s="7" t="str">
        <x:v>Net openings deducted below</x:v>
      </x:c>
      <x:c r="M296" s="2"/>
      <x:c r="N296" s="2"/>
      <x:c r="O296" s="2"/>
      <x:c r="P296" s="2"/>
      <x:c r="Q296" s="2"/>
    </x:row>
    <x:row r="297" ht="22" customHeight="1">
      <x:c r="A297" s="2" t="str">
        <x:v>M0290</x:v>
      </x:c>
      <x:c r="B297" s="2" t="str">
        <x:v>AR01</x:v>
      </x:c>
      <x:c r="C297" s="2" t="str">
        <x:v>T1</x:v>
      </x:c>
      <x:c r="D297" s="2" t="str">
        <x:v>L11</x:v>
      </x:c>
      <x:c r="E297" s="2" t="str">
        <x:v>Internal doors deduction</x:v>
      </x:c>
      <x:c r="F297" s="21" t="n">
        <x:f>'Controls'!$B$48</x:f>
        <x:v>28</x:v>
      </x:c>
      <x:c r="G297" s="21" t="n">
        <x:f>'Controls'!$B$49</x:f>
        <x:v>0.9</x:v>
      </x:c>
      <x:c r="H297" s="21" t="n">
        <x:f>'Controls'!$B$50</x:f>
        <x:v>2.1</x:v>
      </x:c>
      <x:c r="I297" s="21" t="n">
        <x:f>'Controls'!$B$46</x:f>
        <x:v>0.15</x:v>
      </x:c>
      <x:c r="J297" s="21" t="n">
        <x:v>-1</x:v>
      </x:c>
      <x:c r="K297" s="21" t="n">
        <x:f>F297*G297*H297*I297*J297</x:f>
        <x:v>-7.938</x:v>
      </x:c>
      <x:c r="L297" s="2" t="str">
        <x:v>28 doors per floor, OP-02</x:v>
      </x:c>
      <x:c r="M297" s="2"/>
      <x:c r="N297" s="2"/>
      <x:c r="O297" s="2"/>
      <x:c r="P297" s="2"/>
      <x:c r="Q297" s="2"/>
    </x:row>
    <x:row r="298" ht="22" customHeight="1">
      <x:c r="A298" s="7" t="str">
        <x:v>M0291</x:v>
      </x:c>
      <x:c r="B298" s="7" t="str">
        <x:v>AR02</x:v>
      </x:c>
      <x:c r="C298" s="7" t="str">
        <x:v>T1</x:v>
      </x:c>
      <x:c r="D298" s="7" t="str">
        <x:v>L11</x:v>
      </x:c>
      <x:c r="E298" s="7" t="str">
        <x:v>Internal plaster gross</x:v>
      </x:c>
      <x:c r="F298" s="20" t="n">
        <x:v>2</x:v>
      </x:c>
      <x:c r="G298" s="20" t="n">
        <x:f>'Controls'!$B$45</x:f>
        <x:v>220</x:v>
      </x:c>
      <x:c r="H298" s="20" t="n">
        <x:f>'Controls'!$B$12-'Controls'!$B$13</x:f>
        <x:v>2.98</x:v>
      </x:c>
      <x:c r="I298" s="20" t="n">
        <x:v>1</x:v>
      </x:c>
      <x:c r="J298" s="20" t="n">
        <x:v>1</x:v>
      </x:c>
      <x:c r="K298" s="20" t="n">
        <x:f>F298*G298*H298*I298*J298</x:f>
        <x:v>1311.2</x:v>
      </x:c>
      <x:c r="L298" s="7" t="str">
        <x:v>Both faces of partition walls</x:v>
      </x:c>
      <x:c r="M298" s="2"/>
      <x:c r="N298" s="2"/>
      <x:c r="O298" s="2"/>
      <x:c r="P298" s="2"/>
      <x:c r="Q298" s="2"/>
    </x:row>
    <x:row r="299" ht="22" customHeight="1">
      <x:c r="A299" s="2" t="str">
        <x:v>M0292</x:v>
      </x:c>
      <x:c r="B299" s="2" t="str">
        <x:v>AR02</x:v>
      </x:c>
      <x:c r="C299" s="2" t="str">
        <x:v>T1</x:v>
      </x:c>
      <x:c r="D299" s="2" t="str">
        <x:v>L11</x:v>
      </x:c>
      <x:c r="E299" s="2" t="str">
        <x:v>Door area deduction both faces</x:v>
      </x:c>
      <x:c r="F299" s="21" t="n">
        <x:f>2*'Controls'!$B$48</x:f>
        <x:v>56</x:v>
      </x:c>
      <x:c r="G299" s="21" t="n">
        <x:f>'Controls'!$B$49</x:f>
        <x:v>0.9</x:v>
      </x:c>
      <x:c r="H299" s="21" t="n">
        <x:f>'Controls'!$B$50</x:f>
        <x:v>2.1</x:v>
      </x:c>
      <x:c r="I299" s="21" t="n">
        <x:v>1</x:v>
      </x:c>
      <x:c r="J299" s="21" t="n">
        <x:v>-1</x:v>
      </x:c>
      <x:c r="K299" s="21" t="n">
        <x:f>F299*G299*H299*I299*J299</x:f>
        <x:v>-105.84</x:v>
      </x:c>
      <x:c r="L299" s="2" t="str">
        <x:v>No plaster over openings</x:v>
      </x:c>
      <x:c r="M299" s="2"/>
      <x:c r="N299" s="2"/>
      <x:c r="O299" s="2"/>
      <x:c r="P299" s="2"/>
      <x:c r="Q299" s="2"/>
    </x:row>
    <x:row r="300" ht="22" customHeight="1">
      <x:c r="A300" s="7" t="str">
        <x:v>M0293</x:v>
      </x:c>
      <x:c r="B300" s="7" t="str">
        <x:v>AR03</x:v>
      </x:c>
      <x:c r="C300" s="7" t="str">
        <x:v>T1</x:v>
      </x:c>
      <x:c r="D300" s="7" t="str">
        <x:v>L11</x:v>
      </x:c>
      <x:c r="E300" s="7" t="str">
        <x:v>Floor screed net</x:v>
      </x:c>
      <x:c r="F300" s="20" t="n">
        <x:v>1</x:v>
      </x:c>
      <x:c r="G300" s="20" t="n">
        <x:f>'Controls'!$B$10*'Controls'!$B$11-'Controls'!$B$20*'Controls'!$B$21</x:f>
        <x:v>696</x:v>
      </x:c>
      <x:c r="H300" s="20" t="n">
        <x:v>1</x:v>
      </x:c>
      <x:c r="I300" s="20" t="n">
        <x:v>1</x:v>
      </x:c>
      <x:c r="J300" s="20" t="n">
        <x:v>1</x:v>
      </x:c>
      <x:c r="K300" s="20" t="n">
        <x:f>F300*G300*H300*I300*J300</x:f>
        <x:v>696</x:v>
      </x:c>
      <x:c r="L300" s="7" t="str">
        <x:v>Net structural floor area</x:v>
      </x:c>
      <x:c r="M300" s="2"/>
      <x:c r="N300" s="2"/>
      <x:c r="O300" s="2"/>
      <x:c r="P300" s="2"/>
      <x:c r="Q300" s="2"/>
    </x:row>
    <x:row r="301" ht="22" customHeight="1">
      <x:c r="A301" s="2" t="str">
        <x:v>M0294</x:v>
      </x:c>
      <x:c r="B301" s="2" t="str">
        <x:v>AR04</x:v>
      </x:c>
      <x:c r="C301" s="2" t="str">
        <x:v>T1</x:v>
      </x:c>
      <x:c r="D301" s="2" t="str">
        <x:v>L11</x:v>
      </x:c>
      <x:c r="E301" s="2" t="str">
        <x:v>Floor finish net</x:v>
      </x:c>
      <x:c r="F301" s="21" t="n">
        <x:v>1</x:v>
      </x:c>
      <x:c r="G301" s="21" t="n">
        <x:f>'Controls'!$B$10*'Controls'!$B$11-'Controls'!$B$20*'Controls'!$B$21</x:f>
        <x:v>696</x:v>
      </x:c>
      <x:c r="H301" s="21" t="n">
        <x:v>1</x:v>
      </x:c>
      <x:c r="I301" s="21" t="n">
        <x:v>1</x:v>
      </x:c>
      <x:c r="J301" s="21" t="n">
        <x:v>1</x:v>
      </x:c>
      <x:c r="K301" s="21" t="n">
        <x:f>F301*G301*H301*I301*J301</x:f>
        <x:v>696</x:v>
      </x:c>
      <x:c r="L301" s="2" t="str">
        <x:v>Waste excluded from BOQ</x:v>
      </x:c>
      <x:c r="M301" s="2"/>
      <x:c r="N301" s="2"/>
      <x:c r="O301" s="2"/>
      <x:c r="P301" s="2"/>
      <x:c r="Q301" s="2"/>
    </x:row>
    <x:row r="302" ht="22" customHeight="1">
      <x:c r="A302" s="7" t="str">
        <x:v>M0295</x:v>
      </x:c>
      <x:c r="B302" s="7" t="str">
        <x:v>AR05</x:v>
      </x:c>
      <x:c r="C302" s="7" t="str">
        <x:v>T1</x:v>
      </x:c>
      <x:c r="D302" s="7" t="str">
        <x:v>L11</x:v>
      </x:c>
      <x:c r="E302" s="7" t="str">
        <x:v>Internal wall paint net</x:v>
      </x:c>
      <x:c r="F302" s="20" t="n">
        <x:v>2</x:v>
      </x:c>
      <x:c r="G302" s="20" t="n">
        <x:f>'Controls'!$B$45*('Controls'!$B$12-'Controls'!$B$13)-'Controls'!$B$48*'Controls'!$B$49*'Controls'!$B$50</x:f>
        <x:v>602.6800000000001</x:v>
      </x:c>
      <x:c r="H302" s="20" t="n">
        <x:v>1</x:v>
      </x:c>
      <x:c r="I302" s="20" t="n">
        <x:v>1</x:v>
      </x:c>
      <x:c r="J302" s="20" t="n">
        <x:v>1</x:v>
      </x:c>
      <x:c r="K302" s="20" t="n">
        <x:f>F302*G302*H302*I302*J302</x:f>
        <x:v>1205.3600000000001</x:v>
      </x:c>
      <x:c r="L302" s="7" t="str">
        <x:v>Finished area; two coats priced in rate</x:v>
      </x:c>
      <x:c r="M302" s="2"/>
      <x:c r="N302" s="2"/>
      <x:c r="O302" s="2"/>
      <x:c r="P302" s="2"/>
      <x:c r="Q302" s="2"/>
    </x:row>
    <x:row r="303" ht="22" customHeight="1">
      <x:c r="A303" s="2" t="str">
        <x:v>M0296</x:v>
      </x:c>
      <x:c r="B303" s="2" t="str">
        <x:v>AR06</x:v>
      </x:c>
      <x:c r="C303" s="2" t="str">
        <x:v>T1</x:v>
      </x:c>
      <x:c r="D303" s="2" t="str">
        <x:v>L11</x:v>
      </x:c>
      <x:c r="E303" s="2" t="str">
        <x:v>Door sets</x:v>
      </x:c>
      <x:c r="F303" s="21" t="n">
        <x:f>'Controls'!$B$48</x:f>
        <x:v>28</x:v>
      </x:c>
      <x:c r="G303" s="21" t="n">
        <x:v>1</x:v>
      </x:c>
      <x:c r="H303" s="21" t="n">
        <x:v>1</x:v>
      </x:c>
      <x:c r="I303" s="21" t="n">
        <x:v>1</x:v>
      </x:c>
      <x:c r="J303" s="21" t="n">
        <x:v>1</x:v>
      </x:c>
      <x:c r="K303" s="21" t="n">
        <x:f>F303*G303*H303*I303*J303</x:f>
        <x:v>28</x:v>
      </x:c>
      <x:c r="L303" s="2" t="str">
        <x:v>Door count, not double face</x:v>
      </x:c>
      <x:c r="M303" s="2"/>
      <x:c r="N303" s="2"/>
      <x:c r="O303" s="2"/>
      <x:c r="P303" s="2"/>
      <x:c r="Q303" s="2"/>
    </x:row>
    <x:row r="304" ht="22" customHeight="1">
      <x:c r="A304" s="7" t="str">
        <x:v>M0297</x:v>
      </x:c>
      <x:c r="B304" s="7" t="str">
        <x:v>RC03</x:v>
      </x:c>
      <x:c r="C304" s="7" t="str">
        <x:v>T1</x:v>
      </x:c>
      <x:c r="D304" s="7" t="str">
        <x:v>L12</x:v>
      </x:c>
      <x:c r="E304" s="7" t="str">
        <x:v>Floor slab gross</x:v>
      </x:c>
      <x:c r="F304" s="20" t="n">
        <x:v>1</x:v>
      </x:c>
      <x:c r="G304" s="20" t="n">
        <x:f>'Controls'!$B$10</x:f>
        <x:v>30</x:v>
      </x:c>
      <x:c r="H304" s="20" t="n">
        <x:f>'Controls'!$B$11</x:f>
        <x:v>24</x:v>
      </x:c>
      <x:c r="I304" s="20" t="n">
        <x:f>'Controls'!$B$13</x:f>
        <x:v>0.22</x:v>
      </x:c>
      <x:c r="J304" s="20" t="n">
        <x:v>1</x:v>
      </x:c>
      <x:c r="K304" s="20" t="n">
        <x:f>F304*G304*H304*I304*J304</x:f>
        <x:v>158.4</x:v>
      </x:c>
      <x:c r="L304" s="7" t="str">
        <x:v>Slab includes beam top flange; downstand separate</x:v>
      </x:c>
      <x:c r="M304" s="2"/>
      <x:c r="N304" s="2"/>
      <x:c r="O304" s="2"/>
      <x:c r="P304" s="2"/>
      <x:c r="Q304" s="2"/>
    </x:row>
    <x:row r="305" ht="22" customHeight="1">
      <x:c r="A305" s="2" t="str">
        <x:v>M0298</x:v>
      </x:c>
      <x:c r="B305" s="2" t="str">
        <x:v>RC03</x:v>
      </x:c>
      <x:c r="C305" s="2" t="str">
        <x:v>T1</x:v>
      </x:c>
      <x:c r="D305" s="2" t="str">
        <x:v>L12</x:v>
      </x:c>
      <x:c r="E305" s="2" t="str">
        <x:v>Stair opening deduction</x:v>
      </x:c>
      <x:c r="F305" s="21" t="n">
        <x:v>1</x:v>
      </x:c>
      <x:c r="G305" s="21" t="n">
        <x:f>'Controls'!$B$20</x:f>
        <x:v>4</x:v>
      </x:c>
      <x:c r="H305" s="21" t="n">
        <x:f>'Controls'!$B$21</x:f>
        <x:v>6</x:v>
      </x:c>
      <x:c r="I305" s="21" t="n">
        <x:f>'Controls'!$B$13</x:f>
        <x:v>0.22</x:v>
      </x:c>
      <x:c r="J305" s="21" t="n">
        <x:v>-1</x:v>
      </x:c>
      <x:c r="K305" s="21" t="n">
        <x:f>F305*G305*H305*I305*J305</x:f>
        <x:v>-5.28</x:v>
      </x:c>
      <x:c r="L305" s="2" t="str">
        <x:v>Opening OP-01</x:v>
      </x:c>
      <x:c r="M305" s="2"/>
      <x:c r="N305" s="2"/>
      <x:c r="O305" s="2"/>
      <x:c r="P305" s="2"/>
      <x:c r="Q305" s="2"/>
    </x:row>
    <x:row r="306" ht="22" customHeight="1">
      <x:c r="A306" s="7" t="str">
        <x:v>M0299</x:v>
      </x:c>
      <x:c r="B306" s="7" t="str">
        <x:v>RC04</x:v>
      </x:c>
      <x:c r="C306" s="7" t="str">
        <x:v>T1</x:v>
      </x:c>
      <x:c r="D306" s="7" t="str">
        <x:v>L12</x:v>
      </x:c>
      <x:c r="E306" s="7" t="str">
        <x:v>Beam downstands X</x:v>
      </x:c>
      <x:c r="F306" s="20" t="n">
        <x:v>1</x:v>
      </x:c>
      <x:c r="G306" s="20" t="n">
        <x:f>5*5*('Controls'!$B$10/5-'Controls'!$B$14)</x:f>
        <x:v>137.5</x:v>
      </x:c>
      <x:c r="H306" s="20" t="n">
        <x:f>'Controls'!$B$16</x:f>
        <x:v>0.3</x:v>
      </x:c>
      <x:c r="I306" s="20" t="n">
        <x:f>'Controls'!$B$17-'Controls'!$B$13</x:f>
        <x:v>0.38</x:v>
      </x:c>
      <x:c r="J306" s="20" t="n">
        <x:v>1</x:v>
      </x:c>
      <x:c r="K306" s="20" t="n">
        <x:f>F306*G306*H306*I306*J306</x:f>
        <x:v>15.675</x:v>
      </x:c>
      <x:c r="L306" s="7" t="str">
        <x:v>Clear spans between column faces; no joint overlap</x:v>
      </x:c>
      <x:c r="M306" s="2"/>
      <x:c r="N306" s="2"/>
      <x:c r="O306" s="2"/>
      <x:c r="P306" s="2"/>
      <x:c r="Q306" s="2"/>
    </x:row>
    <x:row r="307" ht="22" customHeight="1">
      <x:c r="A307" s="2" t="str">
        <x:v>M0300</x:v>
      </x:c>
      <x:c r="B307" s="2" t="str">
        <x:v>FW02</x:v>
      </x:c>
      <x:c r="C307" s="2" t="str">
        <x:v>T1</x:v>
      </x:c>
      <x:c r="D307" s="2" t="str">
        <x:v>L12</x:v>
      </x:c>
      <x:c r="E307" s="2" t="str">
        <x:v>Beam forms X</x:v>
      </x:c>
      <x:c r="F307" s="21" t="n">
        <x:v>1</x:v>
      </x:c>
      <x:c r="G307" s="21" t="n">
        <x:f>5*5*('Controls'!$B$10/5-'Controls'!$B$14)</x:f>
        <x:v>137.5</x:v>
      </x:c>
      <x:c r="H307" s="21" t="n">
        <x:f>'Controls'!$B$16+2*('Controls'!$B$17-'Controls'!$B$13)</x:f>
        <x:v>1.06</x:v>
      </x:c>
      <x:c r="I307" s="21" t="n">
        <x:v>1</x:v>
      </x:c>
      <x:c r="J307" s="21" t="n">
        <x:v>1</x:v>
      </x:c>
      <x:c r="K307" s="21" t="n">
        <x:f>F307*G307*H307*I307*J307</x:f>
        <x:v>145.75</x:v>
      </x:c>
      <x:c r="L307" s="2" t="str">
        <x:v>Soffit plus two downstand sides</x:v>
      </x:c>
      <x:c r="M307" s="2"/>
      <x:c r="N307" s="2"/>
      <x:c r="O307" s="2"/>
      <x:c r="P307" s="2"/>
      <x:c r="Q307" s="2"/>
    </x:row>
    <x:row r="308" ht="22" customHeight="1">
      <x:c r="A308" s="7" t="str">
        <x:v>M0301</x:v>
      </x:c>
      <x:c r="B308" s="7" t="str">
        <x:v>RC04</x:v>
      </x:c>
      <x:c r="C308" s="7" t="str">
        <x:v>T1</x:v>
      </x:c>
      <x:c r="D308" s="7" t="str">
        <x:v>L12</x:v>
      </x:c>
      <x:c r="E308" s="7" t="str">
        <x:v>Beam downstands Y</x:v>
      </x:c>
      <x:c r="F308" s="20" t="n">
        <x:v>1</x:v>
      </x:c>
      <x:c r="G308" s="20" t="n">
        <x:f>6*4*('Controls'!$B$11/4-'Controls'!$B$15)</x:f>
        <x:v>132</x:v>
      </x:c>
      <x:c r="H308" s="20" t="n">
        <x:f>'Controls'!$B$16</x:f>
        <x:v>0.3</x:v>
      </x:c>
      <x:c r="I308" s="20" t="n">
        <x:f>'Controls'!$B$17-'Controls'!$B$13</x:f>
        <x:v>0.38</x:v>
      </x:c>
      <x:c r="J308" s="20" t="n">
        <x:v>1</x:v>
      </x:c>
      <x:c r="K308" s="20" t="n">
        <x:f>F308*G308*H308*I308*J308</x:f>
        <x:v>15.048</x:v>
      </x:c>
      <x:c r="L308" s="7" t="str">
        <x:v>Clear spans between column faces; no joint overlap</x:v>
      </x:c>
      <x:c r="M308" s="2"/>
      <x:c r="N308" s="2"/>
      <x:c r="O308" s="2"/>
      <x:c r="P308" s="2"/>
      <x:c r="Q308" s="2"/>
    </x:row>
    <x:row r="309" ht="22" customHeight="1">
      <x:c r="A309" s="2" t="str">
        <x:v>M0302</x:v>
      </x:c>
      <x:c r="B309" s="2" t="str">
        <x:v>FW02</x:v>
      </x:c>
      <x:c r="C309" s="2" t="str">
        <x:v>T1</x:v>
      </x:c>
      <x:c r="D309" s="2" t="str">
        <x:v>L12</x:v>
      </x:c>
      <x:c r="E309" s="2" t="str">
        <x:v>Beam forms Y</x:v>
      </x:c>
      <x:c r="F309" s="21" t="n">
        <x:v>1</x:v>
      </x:c>
      <x:c r="G309" s="21" t="n">
        <x:f>6*4*('Controls'!$B$11/4-'Controls'!$B$15)</x:f>
        <x:v>132</x:v>
      </x:c>
      <x:c r="H309" s="21" t="n">
        <x:f>'Controls'!$B$16+2*('Controls'!$B$17-'Controls'!$B$13)</x:f>
        <x:v>1.06</x:v>
      </x:c>
      <x:c r="I309" s="21" t="n">
        <x:v>1</x:v>
      </x:c>
      <x:c r="J309" s="21" t="n">
        <x:v>1</x:v>
      </x:c>
      <x:c r="K309" s="21" t="n">
        <x:f>F309*G309*H309*I309*J309</x:f>
        <x:v>139.92000000000002</x:v>
      </x:c>
      <x:c r="L309" s="2" t="str">
        <x:v>Soffit plus two downstand sides</x:v>
      </x:c>
      <x:c r="M309" s="2"/>
      <x:c r="N309" s="2"/>
      <x:c r="O309" s="2"/>
      <x:c r="P309" s="2"/>
      <x:c r="Q309" s="2"/>
    </x:row>
    <x:row r="310" ht="22" customHeight="1">
      <x:c r="A310" s="7" t="str">
        <x:v>M0303</x:v>
      </x:c>
      <x:c r="B310" s="7" t="str">
        <x:v>RC05</x:v>
      </x:c>
      <x:c r="C310" s="7" t="str">
        <x:v>T1</x:v>
      </x:c>
      <x:c r="D310" s="7" t="str">
        <x:v>L12</x:v>
      </x:c>
      <x:c r="E310" s="7" t="str">
        <x:v>Thirty columns, clear storey</x:v>
      </x:c>
      <x:c r="F310" s="20" t="n">
        <x:v>30</x:v>
      </x:c>
      <x:c r="G310" s="20" t="n">
        <x:f>'Controls'!$B$14</x:f>
        <x:v>0.5</x:v>
      </x:c>
      <x:c r="H310" s="20" t="n">
        <x:f>'Controls'!$B$15</x:f>
        <x:v>0.5</x:v>
      </x:c>
      <x:c r="I310" s="20" t="n">
        <x:f>'Controls'!$B$12-'Controls'!$B$13</x:f>
        <x:v>2.98</x:v>
      </x:c>
      <x:c r="J310" s="20" t="n">
        <x:v>1</x:v>
      </x:c>
      <x:c r="K310" s="20" t="n">
        <x:f>F310*G310*H310*I310*J310</x:f>
        <x:v>22.35</x:v>
      </x:c>
      <x:c r="L310" s="7" t="str">
        <x:v>Slab volume excluded from columns</x:v>
      </x:c>
      <x:c r="M310" s="2"/>
      <x:c r="N310" s="2"/>
      <x:c r="O310" s="2"/>
      <x:c r="P310" s="2"/>
      <x:c r="Q310" s="2"/>
    </x:row>
    <x:row r="311" ht="22" customHeight="1">
      <x:c r="A311" s="2" t="str">
        <x:v>M0304</x:v>
      </x:c>
      <x:c r="B311" s="2" t="str">
        <x:v>RC06</x:v>
      </x:c>
      <x:c r="C311" s="2" t="str">
        <x:v>T1</x:v>
      </x:c>
      <x:c r="D311" s="2" t="str">
        <x:v>L12</x:v>
      </x:c>
      <x:c r="E311" s="2" t="str">
        <x:v>Core walls clear storey</x:v>
      </x:c>
      <x:c r="F311" s="21" t="n">
        <x:v>1</x:v>
      </x:c>
      <x:c r="G311" s="21" t="n">
        <x:f>'Controls'!$B$19</x:f>
        <x:v>24</x:v>
      </x:c>
      <x:c r="H311" s="21" t="n">
        <x:f>'Controls'!$B$18</x:f>
        <x:v>0.25</x:v>
      </x:c>
      <x:c r="I311" s="21" t="n">
        <x:f>'Controls'!$B$12-'Controls'!$B$13</x:f>
        <x:v>2.98</x:v>
      </x:c>
      <x:c r="J311" s="21" t="n">
        <x:v>1</x:v>
      </x:c>
      <x:c r="K311" s="21" t="n">
        <x:f>F311*G311*H311*I311*J311</x:f>
        <x:v>17.88</x:v>
      </x:c>
      <x:c r="L311" s="2" t="str">
        <x:v>Net clear wall length excludes corners</x:v>
      </x:c>
      <x:c r="M311" s="2"/>
      <x:c r="N311" s="2"/>
      <x:c r="O311" s="2"/>
      <x:c r="P311" s="2"/>
      <x:c r="Q311" s="2"/>
    </x:row>
    <x:row r="312" ht="22" customHeight="1">
      <x:c r="A312" s="7" t="str">
        <x:v>M0305</x:v>
      </x:c>
      <x:c r="B312" s="7" t="str">
        <x:v>RC07</x:v>
      </x:c>
      <x:c r="C312" s="7" t="str">
        <x:v>T1</x:v>
      </x:c>
      <x:c r="D312" s="7" t="str">
        <x:v>L12</x:v>
      </x:c>
      <x:c r="E312" s="7" t="str">
        <x:v>Stair flights waist</x:v>
      </x:c>
      <x:c r="F312" s="20" t="n">
        <x:v>2</x:v>
      </x:c>
      <x:c r="G312" s="20" t="n">
        <x:v>4.1</x:v>
      </x:c>
      <x:c r="H312" s="20" t="n">
        <x:v>1.2</x:v>
      </x:c>
      <x:c r="I312" s="20" t="n">
        <x:v>0.18</x:v>
      </x:c>
      <x:c r="J312" s="20" t="n">
        <x:v>1</x:v>
      </x:c>
      <x:c r="K312" s="20" t="n">
        <x:f>F312*G312*H312*I312*J312</x:f>
        <x:v>1.7711999999999997</x:v>
      </x:c>
      <x:c r="L312" s="7" t="str">
        <x:v>Two flights; geometry separate from floor slab</x:v>
      </x:c>
      <x:c r="M312" s="2"/>
      <x:c r="N312" s="2"/>
      <x:c r="O312" s="2"/>
      <x:c r="P312" s="2"/>
      <x:c r="Q312" s="2"/>
    </x:row>
    <x:row r="313" ht="22" customHeight="1">
      <x:c r="A313" s="2" t="str">
        <x:v>M0306</x:v>
      </x:c>
      <x:c r="B313" s="2" t="str">
        <x:v>RC07</x:v>
      </x:c>
      <x:c r="C313" s="2" t="str">
        <x:v>T1</x:v>
      </x:c>
      <x:c r="D313" s="2" t="str">
        <x:v>L12</x:v>
      </x:c>
      <x:c r="E313" s="2" t="str">
        <x:v>Stair landings</x:v>
      </x:c>
      <x:c r="F313" s="21" t="n">
        <x:v>2</x:v>
      </x:c>
      <x:c r="G313" s="21" t="n">
        <x:v>2</x:v>
      </x:c>
      <x:c r="H313" s="21" t="n">
        <x:v>1.2</x:v>
      </x:c>
      <x:c r="I313" s="21" t="n">
        <x:v>0.18</x:v>
      </x:c>
      <x:c r="J313" s="21" t="n">
        <x:v>1</x:v>
      </x:c>
      <x:c r="K313" s="21" t="n">
        <x:f>F313*G313*H313*I313*J313</x:f>
        <x:v>0.864</x:v>
      </x:c>
      <x:c r="L313" s="2" t="str">
        <x:v>Within stair opening</x:v>
      </x:c>
      <x:c r="M313" s="2"/>
      <x:c r="N313" s="2"/>
      <x:c r="O313" s="2"/>
      <x:c r="P313" s="2"/>
      <x:c r="Q313" s="2"/>
    </x:row>
    <x:row r="314" ht="22" customHeight="1">
      <x:c r="A314" s="7" t="str">
        <x:v>M0307</x:v>
      </x:c>
      <x:c r="B314" s="7" t="str">
        <x:v>FW01</x:v>
      </x:c>
      <x:c r="C314" s="7" t="str">
        <x:v>T1</x:v>
      </x:c>
      <x:c r="D314" s="7" t="str">
        <x:v>L12</x:v>
      </x:c>
      <x:c r="E314" s="7" t="str">
        <x:v>Slab soffit gross</x:v>
      </x:c>
      <x:c r="F314" s="20" t="n">
        <x:v>1</x:v>
      </x:c>
      <x:c r="G314" s="20" t="n">
        <x:f>'Controls'!$B$10</x:f>
        <x:v>30</x:v>
      </x:c>
      <x:c r="H314" s="20" t="n">
        <x:f>'Controls'!$B$11</x:f>
        <x:v>24</x:v>
      </x:c>
      <x:c r="I314" s="20" t="n">
        <x:v>1</x:v>
      </x:c>
      <x:c r="J314" s="20" t="n">
        <x:v>1</x:v>
      </x:c>
      <x:c r="K314" s="20" t="n">
        <x:f>F314*G314*H314*I314*J314</x:f>
        <x:v>720</x:v>
      </x:c>
      <x:c r="L314" s="7" t="str">
        <x:v>Beam soffit deducted below</x:v>
      </x:c>
      <x:c r="M314" s="2"/>
      <x:c r="N314" s="2"/>
      <x:c r="O314" s="2"/>
      <x:c r="P314" s="2"/>
      <x:c r="Q314" s="2"/>
    </x:row>
    <x:row r="315" ht="22" customHeight="1">
      <x:c r="A315" s="2" t="str">
        <x:v>M0308</x:v>
      </x:c>
      <x:c r="B315" s="2" t="str">
        <x:v>FW01</x:v>
      </x:c>
      <x:c r="C315" s="2" t="str">
        <x:v>T1</x:v>
      </x:c>
      <x:c r="D315" s="2" t="str">
        <x:v>L12</x:v>
      </x:c>
      <x:c r="E315" s="2" t="str">
        <x:v>Stair opening deduction</x:v>
      </x:c>
      <x:c r="F315" s="21" t="n">
        <x:v>1</x:v>
      </x:c>
      <x:c r="G315" s="21" t="n">
        <x:f>'Controls'!$B$20</x:f>
        <x:v>4</x:v>
      </x:c>
      <x:c r="H315" s="21" t="n">
        <x:f>'Controls'!$B$21</x:f>
        <x:v>6</x:v>
      </x:c>
      <x:c r="I315" s="21" t="n">
        <x:v>1</x:v>
      </x:c>
      <x:c r="J315" s="21" t="n">
        <x:v>-1</x:v>
      </x:c>
      <x:c r="K315" s="21" t="n">
        <x:f>F315*G315*H315*I315*J315</x:f>
        <x:v>-24</x:v>
      </x:c>
      <x:c r="L315" s="2" t="str">
        <x:v>OP-01</x:v>
      </x:c>
      <x:c r="M315" s="2"/>
      <x:c r="N315" s="2"/>
      <x:c r="O315" s="2"/>
      <x:c r="P315" s="2"/>
      <x:c r="Q315" s="2"/>
    </x:row>
    <x:row r="316" ht="22" customHeight="1">
      <x:c r="A316" s="7" t="str">
        <x:v>M0309</x:v>
      </x:c>
      <x:c r="B316" s="7" t="str">
        <x:v>FW01</x:v>
      </x:c>
      <x:c r="C316" s="7" t="str">
        <x:v>T1</x:v>
      </x:c>
      <x:c r="D316" s="7" t="str">
        <x:v>L12</x:v>
      </x:c>
      <x:c r="E316" s="7" t="str">
        <x:v>Beam soffit deduction</x:v>
      </x:c>
      <x:c r="F316" s="20" t="n">
        <x:v>1</x:v>
      </x:c>
      <x:c r="G316" s="20" t="n">
        <x:f>5*5*('Controls'!$B$10/5-'Controls'!$B$14)+6*4*('Controls'!$B$11/4-'Controls'!$B$15)</x:f>
        <x:v>269.5</x:v>
      </x:c>
      <x:c r="H316" s="20" t="n">
        <x:f>'Controls'!$B$16</x:f>
        <x:v>0.3</x:v>
      </x:c>
      <x:c r="I316" s="20" t="n">
        <x:v>1</x:v>
      </x:c>
      <x:c r="J316" s="20" t="n">
        <x:v>-1</x:v>
      </x:c>
      <x:c r="K316" s="20" t="n">
        <x:f>F316*G316*H316*I316*J316</x:f>
        <x:v>-80.85</x:v>
      </x:c>
      <x:c r="L316" s="7" t="str">
        <x:v>Beam forms measured in FW02</x:v>
      </x:c>
      <x:c r="M316" s="2"/>
      <x:c r="N316" s="2"/>
      <x:c r="O316" s="2"/>
      <x:c r="P316" s="2"/>
      <x:c r="Q316" s="2"/>
    </x:row>
    <x:row r="317" ht="22" customHeight="1">
      <x:c r="A317" s="2" t="str">
        <x:v>M0310</x:v>
      </x:c>
      <x:c r="B317" s="2" t="str">
        <x:v>FW03</x:v>
      </x:c>
      <x:c r="C317" s="2" t="str">
        <x:v>T1</x:v>
      </x:c>
      <x:c r="D317" s="2" t="str">
        <x:v>L12</x:v>
      </x:c>
      <x:c r="E317" s="2" t="str">
        <x:v>Column four faces</x:v>
      </x:c>
      <x:c r="F317" s="21" t="n">
        <x:v>30</x:v>
      </x:c>
      <x:c r="G317" s="21" t="n">
        <x:f>2*('Controls'!$B$14+'Controls'!$B$15)</x:f>
        <x:v>2</x:v>
      </x:c>
      <x:c r="H317" s="21" t="n">
        <x:f>'Controls'!$B$12-'Controls'!$B$13</x:f>
        <x:v>2.98</x:v>
      </x:c>
      <x:c r="I317" s="21" t="n">
        <x:v>1</x:v>
      </x:c>
      <x:c r="J317" s="21" t="n">
        <x:v>1</x:v>
      </x:c>
      <x:c r="K317" s="21" t="n">
        <x:f>F317*G317*H317*I317*J317</x:f>
        <x:v>178.8</x:v>
      </x:c>
      <x:c r="L317" s="2" t="str">
        <x:v>Clear floor-to-soffit</x:v>
      </x:c>
      <x:c r="M317" s="2"/>
      <x:c r="N317" s="2"/>
      <x:c r="O317" s="2"/>
      <x:c r="P317" s="2"/>
      <x:c r="Q317" s="2"/>
    </x:row>
    <x:row r="318" ht="22" customHeight="1">
      <x:c r="A318" s="7" t="str">
        <x:v>M0311</x:v>
      </x:c>
      <x:c r="B318" s="7" t="str">
        <x:v>FW04</x:v>
      </x:c>
      <x:c r="C318" s="7" t="str">
        <x:v>T1</x:v>
      </x:c>
      <x:c r="D318" s="7" t="str">
        <x:v>L12</x:v>
      </x:c>
      <x:c r="E318" s="7" t="str">
        <x:v>Core wall two faces</x:v>
      </x:c>
      <x:c r="F318" s="20" t="n">
        <x:v>2</x:v>
      </x:c>
      <x:c r="G318" s="20" t="n">
        <x:f>'Controls'!$B$19</x:f>
        <x:v>24</x:v>
      </x:c>
      <x:c r="H318" s="20" t="n">
        <x:f>'Controls'!$B$12-'Controls'!$B$13</x:f>
        <x:v>2.98</x:v>
      </x:c>
      <x:c r="I318" s="20" t="n">
        <x:v>1</x:v>
      </x:c>
      <x:c r="J318" s="20" t="n">
        <x:v>1</x:v>
      </x:c>
      <x:c r="K318" s="20" t="n">
        <x:f>F318*G318*H318*I318*J318</x:f>
        <x:v>143.04</x:v>
      </x:c>
      <x:c r="L318" s="7" t="str">
        <x:v>Net perimeter, no repeated corners</x:v>
      </x:c>
      <x:c r="M318" s="2"/>
      <x:c r="N318" s="2"/>
      <x:c r="O318" s="2"/>
      <x:c r="P318" s="2"/>
      <x:c r="Q318" s="2"/>
    </x:row>
    <x:row r="319" ht="22" customHeight="1">
      <x:c r="A319" s="2" t="str">
        <x:v>M0312</x:v>
      </x:c>
      <x:c r="B319" s="2" t="str">
        <x:v>AR01</x:v>
      </x:c>
      <x:c r="C319" s="2" t="str">
        <x:v>T1</x:v>
      </x:c>
      <x:c r="D319" s="2" t="str">
        <x:v>L12</x:v>
      </x:c>
      <x:c r="E319" s="2" t="str">
        <x:v>Partition walls gross</x:v>
      </x:c>
      <x:c r="F319" s="21" t="n">
        <x:v>1</x:v>
      </x:c>
      <x:c r="G319" s="21" t="n">
        <x:f>'Controls'!$B$45</x:f>
        <x:v>220</x:v>
      </x:c>
      <x:c r="H319" s="21" t="n">
        <x:f>'Controls'!$B$12-'Controls'!$B$13</x:f>
        <x:v>2.98</x:v>
      </x:c>
      <x:c r="I319" s="21" t="n">
        <x:f>'Controls'!$B$46</x:f>
        <x:v>0.15</x:v>
      </x:c>
      <x:c r="J319" s="21" t="n">
        <x:v>1</x:v>
      </x:c>
      <x:c r="K319" s="21" t="n">
        <x:f>F319*G319*H319*I319*J319</x:f>
        <x:v>98.34</x:v>
      </x:c>
      <x:c r="L319" s="2" t="str">
        <x:v>Net openings deducted below</x:v>
      </x:c>
      <x:c r="M319" s="2"/>
      <x:c r="N319" s="2"/>
      <x:c r="O319" s="2"/>
      <x:c r="P319" s="2"/>
      <x:c r="Q319" s="2"/>
    </x:row>
    <x:row r="320" ht="22" customHeight="1">
      <x:c r="A320" s="7" t="str">
        <x:v>M0313</x:v>
      </x:c>
      <x:c r="B320" s="7" t="str">
        <x:v>AR01</x:v>
      </x:c>
      <x:c r="C320" s="7" t="str">
        <x:v>T1</x:v>
      </x:c>
      <x:c r="D320" s="7" t="str">
        <x:v>L12</x:v>
      </x:c>
      <x:c r="E320" s="7" t="str">
        <x:v>Internal doors deduction</x:v>
      </x:c>
      <x:c r="F320" s="20" t="n">
        <x:f>'Controls'!$B$48</x:f>
        <x:v>28</x:v>
      </x:c>
      <x:c r="G320" s="20" t="n">
        <x:f>'Controls'!$B$49</x:f>
        <x:v>0.9</x:v>
      </x:c>
      <x:c r="H320" s="20" t="n">
        <x:f>'Controls'!$B$50</x:f>
        <x:v>2.1</x:v>
      </x:c>
      <x:c r="I320" s="20" t="n">
        <x:f>'Controls'!$B$46</x:f>
        <x:v>0.15</x:v>
      </x:c>
      <x:c r="J320" s="20" t="n">
        <x:v>-1</x:v>
      </x:c>
      <x:c r="K320" s="20" t="n">
        <x:f>F320*G320*H320*I320*J320</x:f>
        <x:v>-7.938</x:v>
      </x:c>
      <x:c r="L320" s="7" t="str">
        <x:v>28 doors per floor, OP-02</x:v>
      </x:c>
      <x:c r="M320" s="2"/>
      <x:c r="N320" s="2"/>
      <x:c r="O320" s="2"/>
      <x:c r="P320" s="2"/>
      <x:c r="Q320" s="2"/>
    </x:row>
    <x:row r="321" ht="22" customHeight="1">
      <x:c r="A321" s="2" t="str">
        <x:v>M0314</x:v>
      </x:c>
      <x:c r="B321" s="2" t="str">
        <x:v>AR02</x:v>
      </x:c>
      <x:c r="C321" s="2" t="str">
        <x:v>T1</x:v>
      </x:c>
      <x:c r="D321" s="2" t="str">
        <x:v>L12</x:v>
      </x:c>
      <x:c r="E321" s="2" t="str">
        <x:v>Internal plaster gross</x:v>
      </x:c>
      <x:c r="F321" s="21" t="n">
        <x:v>2</x:v>
      </x:c>
      <x:c r="G321" s="21" t="n">
        <x:f>'Controls'!$B$45</x:f>
        <x:v>220</x:v>
      </x:c>
      <x:c r="H321" s="21" t="n">
        <x:f>'Controls'!$B$12-'Controls'!$B$13</x:f>
        <x:v>2.98</x:v>
      </x:c>
      <x:c r="I321" s="21" t="n">
        <x:v>1</x:v>
      </x:c>
      <x:c r="J321" s="21" t="n">
        <x:v>1</x:v>
      </x:c>
      <x:c r="K321" s="21" t="n">
        <x:f>F321*G321*H321*I321*J321</x:f>
        <x:v>1311.2</x:v>
      </x:c>
      <x:c r="L321" s="2" t="str">
        <x:v>Both faces of partition walls</x:v>
      </x:c>
      <x:c r="M321" s="2"/>
      <x:c r="N321" s="2"/>
      <x:c r="O321" s="2"/>
      <x:c r="P321" s="2"/>
      <x:c r="Q321" s="2"/>
    </x:row>
    <x:row r="322" ht="22" customHeight="1">
      <x:c r="A322" s="7" t="str">
        <x:v>M0315</x:v>
      </x:c>
      <x:c r="B322" s="7" t="str">
        <x:v>AR02</x:v>
      </x:c>
      <x:c r="C322" s="7" t="str">
        <x:v>T1</x:v>
      </x:c>
      <x:c r="D322" s="7" t="str">
        <x:v>L12</x:v>
      </x:c>
      <x:c r="E322" s="7" t="str">
        <x:v>Door area deduction both faces</x:v>
      </x:c>
      <x:c r="F322" s="20" t="n">
        <x:f>2*'Controls'!$B$48</x:f>
        <x:v>56</x:v>
      </x:c>
      <x:c r="G322" s="20" t="n">
        <x:f>'Controls'!$B$49</x:f>
        <x:v>0.9</x:v>
      </x:c>
      <x:c r="H322" s="20" t="n">
        <x:f>'Controls'!$B$50</x:f>
        <x:v>2.1</x:v>
      </x:c>
      <x:c r="I322" s="20" t="n">
        <x:v>1</x:v>
      </x:c>
      <x:c r="J322" s="20" t="n">
        <x:v>-1</x:v>
      </x:c>
      <x:c r="K322" s="20" t="n">
        <x:f>F322*G322*H322*I322*J322</x:f>
        <x:v>-105.84</x:v>
      </x:c>
      <x:c r="L322" s="7" t="str">
        <x:v>No plaster over openings</x:v>
      </x:c>
      <x:c r="M322" s="2"/>
      <x:c r="N322" s="2"/>
      <x:c r="O322" s="2"/>
      <x:c r="P322" s="2"/>
      <x:c r="Q322" s="2"/>
    </x:row>
    <x:row r="323" ht="22" customHeight="1">
      <x:c r="A323" s="2" t="str">
        <x:v>M0316</x:v>
      </x:c>
      <x:c r="B323" s="2" t="str">
        <x:v>AR03</x:v>
      </x:c>
      <x:c r="C323" s="2" t="str">
        <x:v>T1</x:v>
      </x:c>
      <x:c r="D323" s="2" t="str">
        <x:v>L12</x:v>
      </x:c>
      <x:c r="E323" s="2" t="str">
        <x:v>Floor screed net</x:v>
      </x:c>
      <x:c r="F323" s="21" t="n">
        <x:v>1</x:v>
      </x:c>
      <x:c r="G323" s="21" t="n">
        <x:f>'Controls'!$B$10*'Controls'!$B$11-'Controls'!$B$20*'Controls'!$B$21</x:f>
        <x:v>696</x:v>
      </x:c>
      <x:c r="H323" s="21" t="n">
        <x:v>1</x:v>
      </x:c>
      <x:c r="I323" s="21" t="n">
        <x:v>1</x:v>
      </x:c>
      <x:c r="J323" s="21" t="n">
        <x:v>1</x:v>
      </x:c>
      <x:c r="K323" s="21" t="n">
        <x:f>F323*G323*H323*I323*J323</x:f>
        <x:v>696</x:v>
      </x:c>
      <x:c r="L323" s="2" t="str">
        <x:v>Net structural floor area</x:v>
      </x:c>
      <x:c r="M323" s="2"/>
      <x:c r="N323" s="2"/>
      <x:c r="O323" s="2"/>
      <x:c r="P323" s="2"/>
      <x:c r="Q323" s="2"/>
    </x:row>
    <x:row r="324" ht="22" customHeight="1">
      <x:c r="A324" s="7" t="str">
        <x:v>M0317</x:v>
      </x:c>
      <x:c r="B324" s="7" t="str">
        <x:v>AR04</x:v>
      </x:c>
      <x:c r="C324" s="7" t="str">
        <x:v>T1</x:v>
      </x:c>
      <x:c r="D324" s="7" t="str">
        <x:v>L12</x:v>
      </x:c>
      <x:c r="E324" s="7" t="str">
        <x:v>Floor finish net</x:v>
      </x:c>
      <x:c r="F324" s="20" t="n">
        <x:v>1</x:v>
      </x:c>
      <x:c r="G324" s="20" t="n">
        <x:f>'Controls'!$B$10*'Controls'!$B$11-'Controls'!$B$20*'Controls'!$B$21</x:f>
        <x:v>696</x:v>
      </x:c>
      <x:c r="H324" s="20" t="n">
        <x:v>1</x:v>
      </x:c>
      <x:c r="I324" s="20" t="n">
        <x:v>1</x:v>
      </x:c>
      <x:c r="J324" s="20" t="n">
        <x:v>1</x:v>
      </x:c>
      <x:c r="K324" s="20" t="n">
        <x:f>F324*G324*H324*I324*J324</x:f>
        <x:v>696</x:v>
      </x:c>
      <x:c r="L324" s="7" t="str">
        <x:v>Waste excluded from BOQ</x:v>
      </x:c>
      <x:c r="M324" s="2"/>
      <x:c r="N324" s="2"/>
      <x:c r="O324" s="2"/>
      <x:c r="P324" s="2"/>
      <x:c r="Q324" s="2"/>
    </x:row>
    <x:row r="325" ht="22" customHeight="1">
      <x:c r="A325" s="2" t="str">
        <x:v>M0318</x:v>
      </x:c>
      <x:c r="B325" s="2" t="str">
        <x:v>AR05</x:v>
      </x:c>
      <x:c r="C325" s="2" t="str">
        <x:v>T1</x:v>
      </x:c>
      <x:c r="D325" s="2" t="str">
        <x:v>L12</x:v>
      </x:c>
      <x:c r="E325" s="2" t="str">
        <x:v>Internal wall paint net</x:v>
      </x:c>
      <x:c r="F325" s="21" t="n">
        <x:v>2</x:v>
      </x:c>
      <x:c r="G325" s="21" t="n">
        <x:f>'Controls'!$B$45*('Controls'!$B$12-'Controls'!$B$13)-'Controls'!$B$48*'Controls'!$B$49*'Controls'!$B$50</x:f>
        <x:v>602.6800000000001</x:v>
      </x:c>
      <x:c r="H325" s="21" t="n">
        <x:v>1</x:v>
      </x:c>
      <x:c r="I325" s="21" t="n">
        <x:v>1</x:v>
      </x:c>
      <x:c r="J325" s="21" t="n">
        <x:v>1</x:v>
      </x:c>
      <x:c r="K325" s="21" t="n">
        <x:f>F325*G325*H325*I325*J325</x:f>
        <x:v>1205.3600000000001</x:v>
      </x:c>
      <x:c r="L325" s="2" t="str">
        <x:v>Finished area; two coats priced in rate</x:v>
      </x:c>
      <x:c r="M325" s="2"/>
      <x:c r="N325" s="2"/>
      <x:c r="O325" s="2"/>
      <x:c r="P325" s="2"/>
      <x:c r="Q325" s="2"/>
    </x:row>
    <x:row r="326" ht="22" customHeight="1">
      <x:c r="A326" s="7" t="str">
        <x:v>M0319</x:v>
      </x:c>
      <x:c r="B326" s="7" t="str">
        <x:v>AR06</x:v>
      </x:c>
      <x:c r="C326" s="7" t="str">
        <x:v>T1</x:v>
      </x:c>
      <x:c r="D326" s="7" t="str">
        <x:v>L12</x:v>
      </x:c>
      <x:c r="E326" s="7" t="str">
        <x:v>Door sets</x:v>
      </x:c>
      <x:c r="F326" s="20" t="n">
        <x:f>'Controls'!$B$48</x:f>
        <x:v>28</x:v>
      </x:c>
      <x:c r="G326" s="20" t="n">
        <x:v>1</x:v>
      </x:c>
      <x:c r="H326" s="20" t="n">
        <x:v>1</x:v>
      </x:c>
      <x:c r="I326" s="20" t="n">
        <x:v>1</x:v>
      </x:c>
      <x:c r="J326" s="20" t="n">
        <x:v>1</x:v>
      </x:c>
      <x:c r="K326" s="20" t="n">
        <x:f>F326*G326*H326*I326*J326</x:f>
        <x:v>28</x:v>
      </x:c>
      <x:c r="L326" s="7" t="str">
        <x:v>Door count, not double face</x:v>
      </x:c>
      <x:c r="M326" s="2"/>
      <x:c r="N326" s="2"/>
      <x:c r="O326" s="2"/>
      <x:c r="P326" s="2"/>
      <x:c r="Q326" s="2"/>
    </x:row>
    <x:row r="327" ht="22" customHeight="1">
      <x:c r="A327" s="2" t="str">
        <x:v>M0320</x:v>
      </x:c>
      <x:c r="B327" s="2" t="str">
        <x:v>RC03</x:v>
      </x:c>
      <x:c r="C327" s="2" t="str">
        <x:v>T2</x:v>
      </x:c>
      <x:c r="D327" s="2" t="str">
        <x:v>L00</x:v>
      </x:c>
      <x:c r="E327" s="2" t="str">
        <x:v>Floor slab gross</x:v>
      </x:c>
      <x:c r="F327" s="21" t="n">
        <x:v>1</x:v>
      </x:c>
      <x:c r="G327" s="21" t="n">
        <x:f>'Controls'!$B$10</x:f>
        <x:v>30</x:v>
      </x:c>
      <x:c r="H327" s="21" t="n">
        <x:f>'Controls'!$B$11</x:f>
        <x:v>24</x:v>
      </x:c>
      <x:c r="I327" s="21" t="n">
        <x:f>'Controls'!$B$13</x:f>
        <x:v>0.22</x:v>
      </x:c>
      <x:c r="J327" s="21" t="n">
        <x:v>1</x:v>
      </x:c>
      <x:c r="K327" s="21" t="n">
        <x:f>F327*G327*H327*I327*J327</x:f>
        <x:v>158.4</x:v>
      </x:c>
      <x:c r="L327" s="2" t="str">
        <x:v>Slab includes beam top flange; downstand separate</x:v>
      </x:c>
      <x:c r="M327" s="2"/>
      <x:c r="N327" s="2"/>
      <x:c r="O327" s="2"/>
      <x:c r="P327" s="2"/>
      <x:c r="Q327" s="2"/>
    </x:row>
    <x:row r="328" ht="22" customHeight="1">
      <x:c r="A328" s="7" t="str">
        <x:v>M0321</x:v>
      </x:c>
      <x:c r="B328" s="7" t="str">
        <x:v>RC03</x:v>
      </x:c>
      <x:c r="C328" s="7" t="str">
        <x:v>T2</x:v>
      </x:c>
      <x:c r="D328" s="7" t="str">
        <x:v>L00</x:v>
      </x:c>
      <x:c r="E328" s="7" t="str">
        <x:v>Stair opening deduction</x:v>
      </x:c>
      <x:c r="F328" s="20" t="n">
        <x:v>1</x:v>
      </x:c>
      <x:c r="G328" s="20" t="n">
        <x:f>'Controls'!$B$20</x:f>
        <x:v>4</x:v>
      </x:c>
      <x:c r="H328" s="20" t="n">
        <x:f>'Controls'!$B$21</x:f>
        <x:v>6</x:v>
      </x:c>
      <x:c r="I328" s="20" t="n">
        <x:f>'Controls'!$B$13</x:f>
        <x:v>0.22</x:v>
      </x:c>
      <x:c r="J328" s="20" t="n">
        <x:v>-1</x:v>
      </x:c>
      <x:c r="K328" s="20" t="n">
        <x:f>F328*G328*H328*I328*J328</x:f>
        <x:v>-5.28</x:v>
      </x:c>
      <x:c r="L328" s="7" t="str">
        <x:v>Opening OP-01</x:v>
      </x:c>
      <x:c r="M328" s="2"/>
      <x:c r="N328" s="2"/>
      <x:c r="O328" s="2"/>
      <x:c r="P328" s="2"/>
      <x:c r="Q328" s="2"/>
    </x:row>
    <x:row r="329" ht="22" customHeight="1">
      <x:c r="A329" s="2" t="str">
        <x:v>M0322</x:v>
      </x:c>
      <x:c r="B329" s="2" t="str">
        <x:v>RC04</x:v>
      </x:c>
      <x:c r="C329" s="2" t="str">
        <x:v>T2</x:v>
      </x:c>
      <x:c r="D329" s="2" t="str">
        <x:v>L00</x:v>
      </x:c>
      <x:c r="E329" s="2" t="str">
        <x:v>Beam downstands X</x:v>
      </x:c>
      <x:c r="F329" s="21" t="n">
        <x:v>1</x:v>
      </x:c>
      <x:c r="G329" s="21" t="n">
        <x:f>5*5*('Controls'!$B$10/5-'Controls'!$B$14)</x:f>
        <x:v>137.5</x:v>
      </x:c>
      <x:c r="H329" s="21" t="n">
        <x:f>'Controls'!$B$16</x:f>
        <x:v>0.3</x:v>
      </x:c>
      <x:c r="I329" s="21" t="n">
        <x:f>'Controls'!$B$17-'Controls'!$B$13</x:f>
        <x:v>0.38</x:v>
      </x:c>
      <x:c r="J329" s="21" t="n">
        <x:v>1</x:v>
      </x:c>
      <x:c r="K329" s="21" t="n">
        <x:f>F329*G329*H329*I329*J329</x:f>
        <x:v>15.675</x:v>
      </x:c>
      <x:c r="L329" s="2" t="str">
        <x:v>Clear spans between column faces; no joint overlap</x:v>
      </x:c>
      <x:c r="M329" s="2"/>
      <x:c r="N329" s="2"/>
      <x:c r="O329" s="2"/>
      <x:c r="P329" s="2"/>
      <x:c r="Q329" s="2"/>
    </x:row>
    <x:row r="330" ht="22" customHeight="1">
      <x:c r="A330" s="7" t="str">
        <x:v>M0323</x:v>
      </x:c>
      <x:c r="B330" s="7" t="str">
        <x:v>FW02</x:v>
      </x:c>
      <x:c r="C330" s="7" t="str">
        <x:v>T2</x:v>
      </x:c>
      <x:c r="D330" s="7" t="str">
        <x:v>L00</x:v>
      </x:c>
      <x:c r="E330" s="7" t="str">
        <x:v>Beam forms X</x:v>
      </x:c>
      <x:c r="F330" s="20" t="n">
        <x:v>1</x:v>
      </x:c>
      <x:c r="G330" s="20" t="n">
        <x:f>5*5*('Controls'!$B$10/5-'Controls'!$B$14)</x:f>
        <x:v>137.5</x:v>
      </x:c>
      <x:c r="H330" s="20" t="n">
        <x:f>'Controls'!$B$16+2*('Controls'!$B$17-'Controls'!$B$13)</x:f>
        <x:v>1.06</x:v>
      </x:c>
      <x:c r="I330" s="20" t="n">
        <x:v>1</x:v>
      </x:c>
      <x:c r="J330" s="20" t="n">
        <x:v>1</x:v>
      </x:c>
      <x:c r="K330" s="20" t="n">
        <x:f>F330*G330*H330*I330*J330</x:f>
        <x:v>145.75</x:v>
      </x:c>
      <x:c r="L330" s="7" t="str">
        <x:v>Soffit plus two downstand sides</x:v>
      </x:c>
      <x:c r="M330" s="2"/>
      <x:c r="N330" s="2"/>
      <x:c r="O330" s="2"/>
      <x:c r="P330" s="2"/>
      <x:c r="Q330" s="2"/>
    </x:row>
    <x:row r="331" ht="22" customHeight="1">
      <x:c r="A331" s="2" t="str">
        <x:v>M0324</x:v>
      </x:c>
      <x:c r="B331" s="2" t="str">
        <x:v>RC04</x:v>
      </x:c>
      <x:c r="C331" s="2" t="str">
        <x:v>T2</x:v>
      </x:c>
      <x:c r="D331" s="2" t="str">
        <x:v>L00</x:v>
      </x:c>
      <x:c r="E331" s="2" t="str">
        <x:v>Beam downstands Y</x:v>
      </x:c>
      <x:c r="F331" s="21" t="n">
        <x:v>1</x:v>
      </x:c>
      <x:c r="G331" s="21" t="n">
        <x:f>6*4*('Controls'!$B$11/4-'Controls'!$B$15)</x:f>
        <x:v>132</x:v>
      </x:c>
      <x:c r="H331" s="21" t="n">
        <x:f>'Controls'!$B$16</x:f>
        <x:v>0.3</x:v>
      </x:c>
      <x:c r="I331" s="21" t="n">
        <x:f>'Controls'!$B$17-'Controls'!$B$13</x:f>
        <x:v>0.38</x:v>
      </x:c>
      <x:c r="J331" s="21" t="n">
        <x:v>1</x:v>
      </x:c>
      <x:c r="K331" s="21" t="n">
        <x:f>F331*G331*H331*I331*J331</x:f>
        <x:v>15.048</x:v>
      </x:c>
      <x:c r="L331" s="2" t="str">
        <x:v>Clear spans between column faces; no joint overlap</x:v>
      </x:c>
      <x:c r="M331" s="2"/>
      <x:c r="N331" s="2"/>
      <x:c r="O331" s="2"/>
      <x:c r="P331" s="2"/>
      <x:c r="Q331" s="2"/>
    </x:row>
    <x:row r="332" ht="22" customHeight="1">
      <x:c r="A332" s="7" t="str">
        <x:v>M0325</x:v>
      </x:c>
      <x:c r="B332" s="7" t="str">
        <x:v>FW02</x:v>
      </x:c>
      <x:c r="C332" s="7" t="str">
        <x:v>T2</x:v>
      </x:c>
      <x:c r="D332" s="7" t="str">
        <x:v>L00</x:v>
      </x:c>
      <x:c r="E332" s="7" t="str">
        <x:v>Beam forms Y</x:v>
      </x:c>
      <x:c r="F332" s="20" t="n">
        <x:v>1</x:v>
      </x:c>
      <x:c r="G332" s="20" t="n">
        <x:f>6*4*('Controls'!$B$11/4-'Controls'!$B$15)</x:f>
        <x:v>132</x:v>
      </x:c>
      <x:c r="H332" s="20" t="n">
        <x:f>'Controls'!$B$16+2*('Controls'!$B$17-'Controls'!$B$13)</x:f>
        <x:v>1.06</x:v>
      </x:c>
      <x:c r="I332" s="20" t="n">
        <x:v>1</x:v>
      </x:c>
      <x:c r="J332" s="20" t="n">
        <x:v>1</x:v>
      </x:c>
      <x:c r="K332" s="20" t="n">
        <x:f>F332*G332*H332*I332*J332</x:f>
        <x:v>139.92000000000002</x:v>
      </x:c>
      <x:c r="L332" s="7" t="str">
        <x:v>Soffit plus two downstand sides</x:v>
      </x:c>
      <x:c r="M332" s="2"/>
      <x:c r="N332" s="2"/>
      <x:c r="O332" s="2"/>
      <x:c r="P332" s="2"/>
      <x:c r="Q332" s="2"/>
    </x:row>
    <x:row r="333" ht="22" customHeight="1">
      <x:c r="A333" s="2" t="str">
        <x:v>M0326</x:v>
      </x:c>
      <x:c r="B333" s="2" t="str">
        <x:v>RC05</x:v>
      </x:c>
      <x:c r="C333" s="2" t="str">
        <x:v>T2</x:v>
      </x:c>
      <x:c r="D333" s="2" t="str">
        <x:v>L00</x:v>
      </x:c>
      <x:c r="E333" s="2" t="str">
        <x:v>Thirty columns, clear storey</x:v>
      </x:c>
      <x:c r="F333" s="21" t="n">
        <x:v>30</x:v>
      </x:c>
      <x:c r="G333" s="21" t="n">
        <x:f>'Controls'!$B$14</x:f>
        <x:v>0.5</x:v>
      </x:c>
      <x:c r="H333" s="21" t="n">
        <x:f>'Controls'!$B$15</x:f>
        <x:v>0.5</x:v>
      </x:c>
      <x:c r="I333" s="21" t="n">
        <x:f>'Controls'!$B$12-'Controls'!$B$13</x:f>
        <x:v>2.98</x:v>
      </x:c>
      <x:c r="J333" s="21" t="n">
        <x:v>1</x:v>
      </x:c>
      <x:c r="K333" s="21" t="n">
        <x:f>F333*G333*H333*I333*J333</x:f>
        <x:v>22.35</x:v>
      </x:c>
      <x:c r="L333" s="2" t="str">
        <x:v>Slab volume excluded from columns</x:v>
      </x:c>
      <x:c r="M333" s="2"/>
      <x:c r="N333" s="2"/>
      <x:c r="O333" s="2"/>
      <x:c r="P333" s="2"/>
      <x:c r="Q333" s="2"/>
    </x:row>
    <x:row r="334" ht="22" customHeight="1">
      <x:c r="A334" s="7" t="str">
        <x:v>M0327</x:v>
      </x:c>
      <x:c r="B334" s="7" t="str">
        <x:v>RC06</x:v>
      </x:c>
      <x:c r="C334" s="7" t="str">
        <x:v>T2</x:v>
      </x:c>
      <x:c r="D334" s="7" t="str">
        <x:v>L00</x:v>
      </x:c>
      <x:c r="E334" s="7" t="str">
        <x:v>Core walls clear storey</x:v>
      </x:c>
      <x:c r="F334" s="20" t="n">
        <x:v>1</x:v>
      </x:c>
      <x:c r="G334" s="20" t="n">
        <x:f>'Controls'!$B$19</x:f>
        <x:v>24</x:v>
      </x:c>
      <x:c r="H334" s="20" t="n">
        <x:f>'Controls'!$B$18</x:f>
        <x:v>0.25</x:v>
      </x:c>
      <x:c r="I334" s="20" t="n">
        <x:f>'Controls'!$B$12-'Controls'!$B$13</x:f>
        <x:v>2.98</x:v>
      </x:c>
      <x:c r="J334" s="20" t="n">
        <x:v>1</x:v>
      </x:c>
      <x:c r="K334" s="20" t="n">
        <x:f>F334*G334*H334*I334*J334</x:f>
        <x:v>17.88</x:v>
      </x:c>
      <x:c r="L334" s="7" t="str">
        <x:v>Net clear wall length excludes corners</x:v>
      </x:c>
      <x:c r="M334" s="2"/>
      <x:c r="N334" s="2"/>
      <x:c r="O334" s="2"/>
      <x:c r="P334" s="2"/>
      <x:c r="Q334" s="2"/>
    </x:row>
    <x:row r="335" ht="22" customHeight="1">
      <x:c r="A335" s="2" t="str">
        <x:v>M0328</x:v>
      </x:c>
      <x:c r="B335" s="2" t="str">
        <x:v>RC07</x:v>
      </x:c>
      <x:c r="C335" s="2" t="str">
        <x:v>T2</x:v>
      </x:c>
      <x:c r="D335" s="2" t="str">
        <x:v>L00</x:v>
      </x:c>
      <x:c r="E335" s="2" t="str">
        <x:v>Stair flights waist</x:v>
      </x:c>
      <x:c r="F335" s="21" t="n">
        <x:v>2</x:v>
      </x:c>
      <x:c r="G335" s="21" t="n">
        <x:v>4.1</x:v>
      </x:c>
      <x:c r="H335" s="21" t="n">
        <x:v>1.2</x:v>
      </x:c>
      <x:c r="I335" s="21" t="n">
        <x:v>0.18</x:v>
      </x:c>
      <x:c r="J335" s="21" t="n">
        <x:v>1</x:v>
      </x:c>
      <x:c r="K335" s="21" t="n">
        <x:f>F335*G335*H335*I335*J335</x:f>
        <x:v>1.7711999999999997</x:v>
      </x:c>
      <x:c r="L335" s="2" t="str">
        <x:v>Two flights; geometry separate from floor slab</x:v>
      </x:c>
      <x:c r="M335" s="2"/>
      <x:c r="N335" s="2"/>
      <x:c r="O335" s="2"/>
      <x:c r="P335" s="2"/>
      <x:c r="Q335" s="2"/>
    </x:row>
    <x:row r="336" ht="22" customHeight="1">
      <x:c r="A336" s="7" t="str">
        <x:v>M0329</x:v>
      </x:c>
      <x:c r="B336" s="7" t="str">
        <x:v>RC07</x:v>
      </x:c>
      <x:c r="C336" s="7" t="str">
        <x:v>T2</x:v>
      </x:c>
      <x:c r="D336" s="7" t="str">
        <x:v>L00</x:v>
      </x:c>
      <x:c r="E336" s="7" t="str">
        <x:v>Stair landings</x:v>
      </x:c>
      <x:c r="F336" s="20" t="n">
        <x:v>2</x:v>
      </x:c>
      <x:c r="G336" s="20" t="n">
        <x:v>2</x:v>
      </x:c>
      <x:c r="H336" s="20" t="n">
        <x:v>1.2</x:v>
      </x:c>
      <x:c r="I336" s="20" t="n">
        <x:v>0.18</x:v>
      </x:c>
      <x:c r="J336" s="20" t="n">
        <x:v>1</x:v>
      </x:c>
      <x:c r="K336" s="20" t="n">
        <x:f>F336*G336*H336*I336*J336</x:f>
        <x:v>0.864</x:v>
      </x:c>
      <x:c r="L336" s="7" t="str">
        <x:v>Within stair opening</x:v>
      </x:c>
      <x:c r="M336" s="2"/>
      <x:c r="N336" s="2"/>
      <x:c r="O336" s="2"/>
      <x:c r="P336" s="2"/>
      <x:c r="Q336" s="2"/>
    </x:row>
    <x:row r="337" ht="22" customHeight="1">
      <x:c r="A337" s="2" t="str">
        <x:v>M0330</x:v>
      </x:c>
      <x:c r="B337" s="2" t="str">
        <x:v>FW01</x:v>
      </x:c>
      <x:c r="C337" s="2" t="str">
        <x:v>T2</x:v>
      </x:c>
      <x:c r="D337" s="2" t="str">
        <x:v>L00</x:v>
      </x:c>
      <x:c r="E337" s="2" t="str">
        <x:v>Slab soffit gross</x:v>
      </x:c>
      <x:c r="F337" s="21" t="n">
        <x:v>1</x:v>
      </x:c>
      <x:c r="G337" s="21" t="n">
        <x:f>'Controls'!$B$10</x:f>
        <x:v>30</x:v>
      </x:c>
      <x:c r="H337" s="21" t="n">
        <x:f>'Controls'!$B$11</x:f>
        <x:v>24</x:v>
      </x:c>
      <x:c r="I337" s="21" t="n">
        <x:v>1</x:v>
      </x:c>
      <x:c r="J337" s="21" t="n">
        <x:v>1</x:v>
      </x:c>
      <x:c r="K337" s="21" t="n">
        <x:f>F337*G337*H337*I337*J337</x:f>
        <x:v>720</x:v>
      </x:c>
      <x:c r="L337" s="2" t="str">
        <x:v>Beam soffit deducted below</x:v>
      </x:c>
      <x:c r="M337" s="2"/>
      <x:c r="N337" s="2"/>
      <x:c r="O337" s="2"/>
      <x:c r="P337" s="2"/>
      <x:c r="Q337" s="2"/>
    </x:row>
    <x:row r="338" ht="22" customHeight="1">
      <x:c r="A338" s="7" t="str">
        <x:v>M0331</x:v>
      </x:c>
      <x:c r="B338" s="7" t="str">
        <x:v>FW01</x:v>
      </x:c>
      <x:c r="C338" s="7" t="str">
        <x:v>T2</x:v>
      </x:c>
      <x:c r="D338" s="7" t="str">
        <x:v>L00</x:v>
      </x:c>
      <x:c r="E338" s="7" t="str">
        <x:v>Stair opening deduction</x:v>
      </x:c>
      <x:c r="F338" s="20" t="n">
        <x:v>1</x:v>
      </x:c>
      <x:c r="G338" s="20" t="n">
        <x:f>'Controls'!$B$20</x:f>
        <x:v>4</x:v>
      </x:c>
      <x:c r="H338" s="20" t="n">
        <x:f>'Controls'!$B$21</x:f>
        <x:v>6</x:v>
      </x:c>
      <x:c r="I338" s="20" t="n">
        <x:v>1</x:v>
      </x:c>
      <x:c r="J338" s="20" t="n">
        <x:v>-1</x:v>
      </x:c>
      <x:c r="K338" s="20" t="n">
        <x:f>F338*G338*H338*I338*J338</x:f>
        <x:v>-24</x:v>
      </x:c>
      <x:c r="L338" s="7" t="str">
        <x:v>OP-01</x:v>
      </x:c>
      <x:c r="M338" s="2"/>
      <x:c r="N338" s="2"/>
      <x:c r="O338" s="2"/>
      <x:c r="P338" s="2"/>
      <x:c r="Q338" s="2"/>
    </x:row>
    <x:row r="339" ht="22" customHeight="1">
      <x:c r="A339" s="2" t="str">
        <x:v>M0332</x:v>
      </x:c>
      <x:c r="B339" s="2" t="str">
        <x:v>FW01</x:v>
      </x:c>
      <x:c r="C339" s="2" t="str">
        <x:v>T2</x:v>
      </x:c>
      <x:c r="D339" s="2" t="str">
        <x:v>L00</x:v>
      </x:c>
      <x:c r="E339" s="2" t="str">
        <x:v>Beam soffit deduction</x:v>
      </x:c>
      <x:c r="F339" s="21" t="n">
        <x:v>1</x:v>
      </x:c>
      <x:c r="G339" s="21" t="n">
        <x:f>5*5*('Controls'!$B$10/5-'Controls'!$B$14)+6*4*('Controls'!$B$11/4-'Controls'!$B$15)</x:f>
        <x:v>269.5</x:v>
      </x:c>
      <x:c r="H339" s="21" t="n">
        <x:f>'Controls'!$B$16</x:f>
        <x:v>0.3</x:v>
      </x:c>
      <x:c r="I339" s="21" t="n">
        <x:v>1</x:v>
      </x:c>
      <x:c r="J339" s="21" t="n">
        <x:v>-1</x:v>
      </x:c>
      <x:c r="K339" s="21" t="n">
        <x:f>F339*G339*H339*I339*J339</x:f>
        <x:v>-80.85</x:v>
      </x:c>
      <x:c r="L339" s="2" t="str">
        <x:v>Beam forms measured in FW02</x:v>
      </x:c>
      <x:c r="M339" s="2"/>
      <x:c r="N339" s="2"/>
      <x:c r="O339" s="2"/>
      <x:c r="P339" s="2"/>
      <x:c r="Q339" s="2"/>
    </x:row>
    <x:row r="340" ht="22" customHeight="1">
      <x:c r="A340" s="7" t="str">
        <x:v>M0333</x:v>
      </x:c>
      <x:c r="B340" s="7" t="str">
        <x:v>FW03</x:v>
      </x:c>
      <x:c r="C340" s="7" t="str">
        <x:v>T2</x:v>
      </x:c>
      <x:c r="D340" s="7" t="str">
        <x:v>L00</x:v>
      </x:c>
      <x:c r="E340" s="7" t="str">
        <x:v>Column four faces</x:v>
      </x:c>
      <x:c r="F340" s="20" t="n">
        <x:v>30</x:v>
      </x:c>
      <x:c r="G340" s="20" t="n">
        <x:f>2*('Controls'!$B$14+'Controls'!$B$15)</x:f>
        <x:v>2</x:v>
      </x:c>
      <x:c r="H340" s="20" t="n">
        <x:f>'Controls'!$B$12-'Controls'!$B$13</x:f>
        <x:v>2.98</x:v>
      </x:c>
      <x:c r="I340" s="20" t="n">
        <x:v>1</x:v>
      </x:c>
      <x:c r="J340" s="20" t="n">
        <x:v>1</x:v>
      </x:c>
      <x:c r="K340" s="20" t="n">
        <x:f>F340*G340*H340*I340*J340</x:f>
        <x:v>178.8</x:v>
      </x:c>
      <x:c r="L340" s="7" t="str">
        <x:v>Clear floor-to-soffit</x:v>
      </x:c>
      <x:c r="M340" s="2"/>
      <x:c r="N340" s="2"/>
      <x:c r="O340" s="2"/>
      <x:c r="P340" s="2"/>
      <x:c r="Q340" s="2"/>
    </x:row>
    <x:row r="341" ht="22" customHeight="1">
      <x:c r="A341" s="2" t="str">
        <x:v>M0334</x:v>
      </x:c>
      <x:c r="B341" s="2" t="str">
        <x:v>FW04</x:v>
      </x:c>
      <x:c r="C341" s="2" t="str">
        <x:v>T2</x:v>
      </x:c>
      <x:c r="D341" s="2" t="str">
        <x:v>L00</x:v>
      </x:c>
      <x:c r="E341" s="2" t="str">
        <x:v>Core wall two faces</x:v>
      </x:c>
      <x:c r="F341" s="21" t="n">
        <x:v>2</x:v>
      </x:c>
      <x:c r="G341" s="21" t="n">
        <x:f>'Controls'!$B$19</x:f>
        <x:v>24</x:v>
      </x:c>
      <x:c r="H341" s="21" t="n">
        <x:f>'Controls'!$B$12-'Controls'!$B$13</x:f>
        <x:v>2.98</x:v>
      </x:c>
      <x:c r="I341" s="21" t="n">
        <x:v>1</x:v>
      </x:c>
      <x:c r="J341" s="21" t="n">
        <x:v>1</x:v>
      </x:c>
      <x:c r="K341" s="21" t="n">
        <x:f>F341*G341*H341*I341*J341</x:f>
        <x:v>143.04</x:v>
      </x:c>
      <x:c r="L341" s="2" t="str">
        <x:v>Net perimeter, no repeated corners</x:v>
      </x:c>
      <x:c r="M341" s="2"/>
      <x:c r="N341" s="2"/>
      <x:c r="O341" s="2"/>
      <x:c r="P341" s="2"/>
      <x:c r="Q341" s="2"/>
    </x:row>
    <x:row r="342" ht="22" customHeight="1">
      <x:c r="A342" s="7" t="str">
        <x:v>M0335</x:v>
      </x:c>
      <x:c r="B342" s="7" t="str">
        <x:v>AR01</x:v>
      </x:c>
      <x:c r="C342" s="7" t="str">
        <x:v>T2</x:v>
      </x:c>
      <x:c r="D342" s="7" t="str">
        <x:v>L00</x:v>
      </x:c>
      <x:c r="E342" s="7" t="str">
        <x:v>Partition walls gross</x:v>
      </x:c>
      <x:c r="F342" s="20" t="n">
        <x:v>1</x:v>
      </x:c>
      <x:c r="G342" s="20" t="n">
        <x:f>'Controls'!$B$45</x:f>
        <x:v>220</x:v>
      </x:c>
      <x:c r="H342" s="20" t="n">
        <x:f>'Controls'!$B$12-'Controls'!$B$13</x:f>
        <x:v>2.98</x:v>
      </x:c>
      <x:c r="I342" s="20" t="n">
        <x:f>'Controls'!$B$46</x:f>
        <x:v>0.15</x:v>
      </x:c>
      <x:c r="J342" s="20" t="n">
        <x:v>1</x:v>
      </x:c>
      <x:c r="K342" s="20" t="n">
        <x:f>F342*G342*H342*I342*J342</x:f>
        <x:v>98.34</x:v>
      </x:c>
      <x:c r="L342" s="7" t="str">
        <x:v>Net openings deducted below</x:v>
      </x:c>
      <x:c r="M342" s="2"/>
      <x:c r="N342" s="2"/>
      <x:c r="O342" s="2"/>
      <x:c r="P342" s="2"/>
      <x:c r="Q342" s="2"/>
    </x:row>
    <x:row r="343" ht="22" customHeight="1">
      <x:c r="A343" s="2" t="str">
        <x:v>M0336</x:v>
      </x:c>
      <x:c r="B343" s="2" t="str">
        <x:v>AR01</x:v>
      </x:c>
      <x:c r="C343" s="2" t="str">
        <x:v>T2</x:v>
      </x:c>
      <x:c r="D343" s="2" t="str">
        <x:v>L00</x:v>
      </x:c>
      <x:c r="E343" s="2" t="str">
        <x:v>Internal doors deduction</x:v>
      </x:c>
      <x:c r="F343" s="21" t="n">
        <x:f>'Controls'!$B$48</x:f>
        <x:v>28</x:v>
      </x:c>
      <x:c r="G343" s="21" t="n">
        <x:f>'Controls'!$B$49</x:f>
        <x:v>0.9</x:v>
      </x:c>
      <x:c r="H343" s="21" t="n">
        <x:f>'Controls'!$B$50</x:f>
        <x:v>2.1</x:v>
      </x:c>
      <x:c r="I343" s="21" t="n">
        <x:f>'Controls'!$B$46</x:f>
        <x:v>0.15</x:v>
      </x:c>
      <x:c r="J343" s="21" t="n">
        <x:v>-1</x:v>
      </x:c>
      <x:c r="K343" s="21" t="n">
        <x:f>F343*G343*H343*I343*J343</x:f>
        <x:v>-7.938</x:v>
      </x:c>
      <x:c r="L343" s="2" t="str">
        <x:v>28 doors per floor, OP-02</x:v>
      </x:c>
      <x:c r="M343" s="2"/>
      <x:c r="N343" s="2"/>
      <x:c r="O343" s="2"/>
      <x:c r="P343" s="2"/>
      <x:c r="Q343" s="2"/>
    </x:row>
    <x:row r="344" ht="22" customHeight="1">
      <x:c r="A344" s="7" t="str">
        <x:v>M0337</x:v>
      </x:c>
      <x:c r="B344" s="7" t="str">
        <x:v>AR02</x:v>
      </x:c>
      <x:c r="C344" s="7" t="str">
        <x:v>T2</x:v>
      </x:c>
      <x:c r="D344" s="7" t="str">
        <x:v>L00</x:v>
      </x:c>
      <x:c r="E344" s="7" t="str">
        <x:v>Internal plaster gross</x:v>
      </x:c>
      <x:c r="F344" s="20" t="n">
        <x:v>2</x:v>
      </x:c>
      <x:c r="G344" s="20" t="n">
        <x:f>'Controls'!$B$45</x:f>
        <x:v>220</x:v>
      </x:c>
      <x:c r="H344" s="20" t="n">
        <x:f>'Controls'!$B$12-'Controls'!$B$13</x:f>
        <x:v>2.98</x:v>
      </x:c>
      <x:c r="I344" s="20" t="n">
        <x:v>1</x:v>
      </x:c>
      <x:c r="J344" s="20" t="n">
        <x:v>1</x:v>
      </x:c>
      <x:c r="K344" s="20" t="n">
        <x:f>F344*G344*H344*I344*J344</x:f>
        <x:v>1311.2</x:v>
      </x:c>
      <x:c r="L344" s="7" t="str">
        <x:v>Both faces of partition walls</x:v>
      </x:c>
      <x:c r="M344" s="2"/>
      <x:c r="N344" s="2"/>
      <x:c r="O344" s="2"/>
      <x:c r="P344" s="2"/>
      <x:c r="Q344" s="2"/>
    </x:row>
    <x:row r="345" ht="22" customHeight="1">
      <x:c r="A345" s="2" t="str">
        <x:v>M0338</x:v>
      </x:c>
      <x:c r="B345" s="2" t="str">
        <x:v>AR02</x:v>
      </x:c>
      <x:c r="C345" s="2" t="str">
        <x:v>T2</x:v>
      </x:c>
      <x:c r="D345" s="2" t="str">
        <x:v>L00</x:v>
      </x:c>
      <x:c r="E345" s="2" t="str">
        <x:v>Door area deduction both faces</x:v>
      </x:c>
      <x:c r="F345" s="21" t="n">
        <x:f>2*'Controls'!$B$48</x:f>
        <x:v>56</x:v>
      </x:c>
      <x:c r="G345" s="21" t="n">
        <x:f>'Controls'!$B$49</x:f>
        <x:v>0.9</x:v>
      </x:c>
      <x:c r="H345" s="21" t="n">
        <x:f>'Controls'!$B$50</x:f>
        <x:v>2.1</x:v>
      </x:c>
      <x:c r="I345" s="21" t="n">
        <x:v>1</x:v>
      </x:c>
      <x:c r="J345" s="21" t="n">
        <x:v>-1</x:v>
      </x:c>
      <x:c r="K345" s="21" t="n">
        <x:f>F345*G345*H345*I345*J345</x:f>
        <x:v>-105.84</x:v>
      </x:c>
      <x:c r="L345" s="2" t="str">
        <x:v>No plaster over openings</x:v>
      </x:c>
      <x:c r="M345" s="2"/>
      <x:c r="N345" s="2"/>
      <x:c r="O345" s="2"/>
      <x:c r="P345" s="2"/>
      <x:c r="Q345" s="2"/>
    </x:row>
    <x:row r="346" ht="22" customHeight="1">
      <x:c r="A346" s="7" t="str">
        <x:v>M0339</x:v>
      </x:c>
      <x:c r="B346" s="7" t="str">
        <x:v>AR03</x:v>
      </x:c>
      <x:c r="C346" s="7" t="str">
        <x:v>T2</x:v>
      </x:c>
      <x:c r="D346" s="7" t="str">
        <x:v>L00</x:v>
      </x:c>
      <x:c r="E346" s="7" t="str">
        <x:v>Floor screed net</x:v>
      </x:c>
      <x:c r="F346" s="20" t="n">
        <x:v>1</x:v>
      </x:c>
      <x:c r="G346" s="20" t="n">
        <x:f>'Controls'!$B$10*'Controls'!$B$11-'Controls'!$B$20*'Controls'!$B$21</x:f>
        <x:v>696</x:v>
      </x:c>
      <x:c r="H346" s="20" t="n">
        <x:v>1</x:v>
      </x:c>
      <x:c r="I346" s="20" t="n">
        <x:v>1</x:v>
      </x:c>
      <x:c r="J346" s="20" t="n">
        <x:v>1</x:v>
      </x:c>
      <x:c r="K346" s="20" t="n">
        <x:f>F346*G346*H346*I346*J346</x:f>
        <x:v>696</x:v>
      </x:c>
      <x:c r="L346" s="7" t="str">
        <x:v>Net structural floor area</x:v>
      </x:c>
      <x:c r="M346" s="2"/>
      <x:c r="N346" s="2"/>
      <x:c r="O346" s="2"/>
      <x:c r="P346" s="2"/>
      <x:c r="Q346" s="2"/>
    </x:row>
    <x:row r="347" ht="22" customHeight="1">
      <x:c r="A347" s="2" t="str">
        <x:v>M0340</x:v>
      </x:c>
      <x:c r="B347" s="2" t="str">
        <x:v>AR04</x:v>
      </x:c>
      <x:c r="C347" s="2" t="str">
        <x:v>T2</x:v>
      </x:c>
      <x:c r="D347" s="2" t="str">
        <x:v>L00</x:v>
      </x:c>
      <x:c r="E347" s="2" t="str">
        <x:v>Floor finish net</x:v>
      </x:c>
      <x:c r="F347" s="21" t="n">
        <x:v>1</x:v>
      </x:c>
      <x:c r="G347" s="21" t="n">
        <x:f>'Controls'!$B$10*'Controls'!$B$11-'Controls'!$B$20*'Controls'!$B$21</x:f>
        <x:v>696</x:v>
      </x:c>
      <x:c r="H347" s="21" t="n">
        <x:v>1</x:v>
      </x:c>
      <x:c r="I347" s="21" t="n">
        <x:v>1</x:v>
      </x:c>
      <x:c r="J347" s="21" t="n">
        <x:v>1</x:v>
      </x:c>
      <x:c r="K347" s="21" t="n">
        <x:f>F347*G347*H347*I347*J347</x:f>
        <x:v>696</x:v>
      </x:c>
      <x:c r="L347" s="2" t="str">
        <x:v>Waste excluded from BOQ</x:v>
      </x:c>
      <x:c r="M347" s="2"/>
      <x:c r="N347" s="2"/>
      <x:c r="O347" s="2"/>
      <x:c r="P347" s="2"/>
      <x:c r="Q347" s="2"/>
    </x:row>
    <x:row r="348" ht="22" customHeight="1">
      <x:c r="A348" s="7" t="str">
        <x:v>M0341</x:v>
      </x:c>
      <x:c r="B348" s="7" t="str">
        <x:v>AR05</x:v>
      </x:c>
      <x:c r="C348" s="7" t="str">
        <x:v>T2</x:v>
      </x:c>
      <x:c r="D348" s="7" t="str">
        <x:v>L00</x:v>
      </x:c>
      <x:c r="E348" s="7" t="str">
        <x:v>Internal wall paint net</x:v>
      </x:c>
      <x:c r="F348" s="20" t="n">
        <x:v>2</x:v>
      </x:c>
      <x:c r="G348" s="20" t="n">
        <x:f>'Controls'!$B$45*('Controls'!$B$12-'Controls'!$B$13)-'Controls'!$B$48*'Controls'!$B$49*'Controls'!$B$50</x:f>
        <x:v>602.6800000000001</x:v>
      </x:c>
      <x:c r="H348" s="20" t="n">
        <x:v>1</x:v>
      </x:c>
      <x:c r="I348" s="20" t="n">
        <x:v>1</x:v>
      </x:c>
      <x:c r="J348" s="20" t="n">
        <x:v>1</x:v>
      </x:c>
      <x:c r="K348" s="20" t="n">
        <x:f>F348*G348*H348*I348*J348</x:f>
        <x:v>1205.3600000000001</x:v>
      </x:c>
      <x:c r="L348" s="7" t="str">
        <x:v>Finished area; two coats priced in rate</x:v>
      </x:c>
      <x:c r="M348" s="2"/>
      <x:c r="N348" s="2"/>
      <x:c r="O348" s="2"/>
      <x:c r="P348" s="2"/>
      <x:c r="Q348" s="2"/>
    </x:row>
    <x:row r="349" ht="22" customHeight="1">
      <x:c r="A349" s="2" t="str">
        <x:v>M0342</x:v>
      </x:c>
      <x:c r="B349" s="2" t="str">
        <x:v>AR06</x:v>
      </x:c>
      <x:c r="C349" s="2" t="str">
        <x:v>T2</x:v>
      </x:c>
      <x:c r="D349" s="2" t="str">
        <x:v>L00</x:v>
      </x:c>
      <x:c r="E349" s="2" t="str">
        <x:v>Door sets</x:v>
      </x:c>
      <x:c r="F349" s="21" t="n">
        <x:f>'Controls'!$B$48</x:f>
        <x:v>28</x:v>
      </x:c>
      <x:c r="G349" s="21" t="n">
        <x:v>1</x:v>
      </x:c>
      <x:c r="H349" s="21" t="n">
        <x:v>1</x:v>
      </x:c>
      <x:c r="I349" s="21" t="n">
        <x:v>1</x:v>
      </x:c>
      <x:c r="J349" s="21" t="n">
        <x:v>1</x:v>
      </x:c>
      <x:c r="K349" s="21" t="n">
        <x:f>F349*G349*H349*I349*J349</x:f>
        <x:v>28</x:v>
      </x:c>
      <x:c r="L349" s="2" t="str">
        <x:v>Door count, not double face</x:v>
      </x:c>
      <x:c r="M349" s="2"/>
      <x:c r="N349" s="2"/>
      <x:c r="O349" s="2"/>
      <x:c r="P349" s="2"/>
      <x:c r="Q349" s="2"/>
    </x:row>
    <x:row r="350" ht="22" customHeight="1">
      <x:c r="A350" s="7" t="str">
        <x:v>M0343</x:v>
      </x:c>
      <x:c r="B350" s="7" t="str">
        <x:v>RC03</x:v>
      </x:c>
      <x:c r="C350" s="7" t="str">
        <x:v>T2</x:v>
      </x:c>
      <x:c r="D350" s="7" t="str">
        <x:v>L01</x:v>
      </x:c>
      <x:c r="E350" s="7" t="str">
        <x:v>Floor slab gross</x:v>
      </x:c>
      <x:c r="F350" s="20" t="n">
        <x:v>1</x:v>
      </x:c>
      <x:c r="G350" s="20" t="n">
        <x:f>'Controls'!$B$10</x:f>
        <x:v>30</x:v>
      </x:c>
      <x:c r="H350" s="20" t="n">
        <x:f>'Controls'!$B$11</x:f>
        <x:v>24</x:v>
      </x:c>
      <x:c r="I350" s="20" t="n">
        <x:f>'Controls'!$B$13</x:f>
        <x:v>0.22</x:v>
      </x:c>
      <x:c r="J350" s="20" t="n">
        <x:v>1</x:v>
      </x:c>
      <x:c r="K350" s="20" t="n">
        <x:f>F350*G350*H350*I350*J350</x:f>
        <x:v>158.4</x:v>
      </x:c>
      <x:c r="L350" s="7" t="str">
        <x:v>Slab includes beam top flange; downstand separate</x:v>
      </x:c>
      <x:c r="M350" s="2"/>
      <x:c r="N350" s="2"/>
      <x:c r="O350" s="2"/>
      <x:c r="P350" s="2"/>
      <x:c r="Q350" s="2"/>
    </x:row>
    <x:row r="351" ht="22" customHeight="1">
      <x:c r="A351" s="2" t="str">
        <x:v>M0344</x:v>
      </x:c>
      <x:c r="B351" s="2" t="str">
        <x:v>RC03</x:v>
      </x:c>
      <x:c r="C351" s="2" t="str">
        <x:v>T2</x:v>
      </x:c>
      <x:c r="D351" s="2" t="str">
        <x:v>L01</x:v>
      </x:c>
      <x:c r="E351" s="2" t="str">
        <x:v>Stair opening deduction</x:v>
      </x:c>
      <x:c r="F351" s="21" t="n">
        <x:v>1</x:v>
      </x:c>
      <x:c r="G351" s="21" t="n">
        <x:f>'Controls'!$B$20</x:f>
        <x:v>4</x:v>
      </x:c>
      <x:c r="H351" s="21" t="n">
        <x:f>'Controls'!$B$21</x:f>
        <x:v>6</x:v>
      </x:c>
      <x:c r="I351" s="21" t="n">
        <x:f>'Controls'!$B$13</x:f>
        <x:v>0.22</x:v>
      </x:c>
      <x:c r="J351" s="21" t="n">
        <x:v>-1</x:v>
      </x:c>
      <x:c r="K351" s="21" t="n">
        <x:f>F351*G351*H351*I351*J351</x:f>
        <x:v>-5.28</x:v>
      </x:c>
      <x:c r="L351" s="2" t="str">
        <x:v>Opening OP-01</x:v>
      </x:c>
      <x:c r="M351" s="2"/>
      <x:c r="N351" s="2"/>
      <x:c r="O351" s="2"/>
      <x:c r="P351" s="2"/>
      <x:c r="Q351" s="2"/>
    </x:row>
    <x:row r="352" ht="22" customHeight="1">
      <x:c r="A352" s="7" t="str">
        <x:v>M0345</x:v>
      </x:c>
      <x:c r="B352" s="7" t="str">
        <x:v>RC04</x:v>
      </x:c>
      <x:c r="C352" s="7" t="str">
        <x:v>T2</x:v>
      </x:c>
      <x:c r="D352" s="7" t="str">
        <x:v>L01</x:v>
      </x:c>
      <x:c r="E352" s="7" t="str">
        <x:v>Beam downstands X</x:v>
      </x:c>
      <x:c r="F352" s="20" t="n">
        <x:v>1</x:v>
      </x:c>
      <x:c r="G352" s="20" t="n">
        <x:f>5*5*('Controls'!$B$10/5-'Controls'!$B$14)</x:f>
        <x:v>137.5</x:v>
      </x:c>
      <x:c r="H352" s="20" t="n">
        <x:f>'Controls'!$B$16</x:f>
        <x:v>0.3</x:v>
      </x:c>
      <x:c r="I352" s="20" t="n">
        <x:f>'Controls'!$B$17-'Controls'!$B$13</x:f>
        <x:v>0.38</x:v>
      </x:c>
      <x:c r="J352" s="20" t="n">
        <x:v>1</x:v>
      </x:c>
      <x:c r="K352" s="20" t="n">
        <x:f>F352*G352*H352*I352*J352</x:f>
        <x:v>15.675</x:v>
      </x:c>
      <x:c r="L352" s="7" t="str">
        <x:v>Clear spans between column faces; no joint overlap</x:v>
      </x:c>
      <x:c r="M352" s="2"/>
      <x:c r="N352" s="2"/>
      <x:c r="O352" s="2"/>
      <x:c r="P352" s="2"/>
      <x:c r="Q352" s="2"/>
    </x:row>
    <x:row r="353" ht="22" customHeight="1">
      <x:c r="A353" s="2" t="str">
        <x:v>M0346</x:v>
      </x:c>
      <x:c r="B353" s="2" t="str">
        <x:v>FW02</x:v>
      </x:c>
      <x:c r="C353" s="2" t="str">
        <x:v>T2</x:v>
      </x:c>
      <x:c r="D353" s="2" t="str">
        <x:v>L01</x:v>
      </x:c>
      <x:c r="E353" s="2" t="str">
        <x:v>Beam forms X</x:v>
      </x:c>
      <x:c r="F353" s="21" t="n">
        <x:v>1</x:v>
      </x:c>
      <x:c r="G353" s="21" t="n">
        <x:f>5*5*('Controls'!$B$10/5-'Controls'!$B$14)</x:f>
        <x:v>137.5</x:v>
      </x:c>
      <x:c r="H353" s="21" t="n">
        <x:f>'Controls'!$B$16+2*('Controls'!$B$17-'Controls'!$B$13)</x:f>
        <x:v>1.06</x:v>
      </x:c>
      <x:c r="I353" s="21" t="n">
        <x:v>1</x:v>
      </x:c>
      <x:c r="J353" s="21" t="n">
        <x:v>1</x:v>
      </x:c>
      <x:c r="K353" s="21" t="n">
        <x:f>F353*G353*H353*I353*J353</x:f>
        <x:v>145.75</x:v>
      </x:c>
      <x:c r="L353" s="2" t="str">
        <x:v>Soffit plus two downstand sides</x:v>
      </x:c>
      <x:c r="M353" s="2"/>
      <x:c r="N353" s="2"/>
      <x:c r="O353" s="2"/>
      <x:c r="P353" s="2"/>
      <x:c r="Q353" s="2"/>
    </x:row>
    <x:row r="354" ht="22" customHeight="1">
      <x:c r="A354" s="7" t="str">
        <x:v>M0347</x:v>
      </x:c>
      <x:c r="B354" s="7" t="str">
        <x:v>RC04</x:v>
      </x:c>
      <x:c r="C354" s="7" t="str">
        <x:v>T2</x:v>
      </x:c>
      <x:c r="D354" s="7" t="str">
        <x:v>L01</x:v>
      </x:c>
      <x:c r="E354" s="7" t="str">
        <x:v>Beam downstands Y</x:v>
      </x:c>
      <x:c r="F354" s="20" t="n">
        <x:v>1</x:v>
      </x:c>
      <x:c r="G354" s="20" t="n">
        <x:f>6*4*('Controls'!$B$11/4-'Controls'!$B$15)</x:f>
        <x:v>132</x:v>
      </x:c>
      <x:c r="H354" s="20" t="n">
        <x:f>'Controls'!$B$16</x:f>
        <x:v>0.3</x:v>
      </x:c>
      <x:c r="I354" s="20" t="n">
        <x:f>'Controls'!$B$17-'Controls'!$B$13</x:f>
        <x:v>0.38</x:v>
      </x:c>
      <x:c r="J354" s="20" t="n">
        <x:v>1</x:v>
      </x:c>
      <x:c r="K354" s="20" t="n">
        <x:f>F354*G354*H354*I354*J354</x:f>
        <x:v>15.048</x:v>
      </x:c>
      <x:c r="L354" s="7" t="str">
        <x:v>Clear spans between column faces; no joint overlap</x:v>
      </x:c>
      <x:c r="M354" s="2"/>
      <x:c r="N354" s="2"/>
      <x:c r="O354" s="2"/>
      <x:c r="P354" s="2"/>
      <x:c r="Q354" s="2"/>
    </x:row>
    <x:row r="355" ht="22" customHeight="1">
      <x:c r="A355" s="2" t="str">
        <x:v>M0348</x:v>
      </x:c>
      <x:c r="B355" s="2" t="str">
        <x:v>FW02</x:v>
      </x:c>
      <x:c r="C355" s="2" t="str">
        <x:v>T2</x:v>
      </x:c>
      <x:c r="D355" s="2" t="str">
        <x:v>L01</x:v>
      </x:c>
      <x:c r="E355" s="2" t="str">
        <x:v>Beam forms Y</x:v>
      </x:c>
      <x:c r="F355" s="21" t="n">
        <x:v>1</x:v>
      </x:c>
      <x:c r="G355" s="21" t="n">
        <x:f>6*4*('Controls'!$B$11/4-'Controls'!$B$15)</x:f>
        <x:v>132</x:v>
      </x:c>
      <x:c r="H355" s="21" t="n">
        <x:f>'Controls'!$B$16+2*('Controls'!$B$17-'Controls'!$B$13)</x:f>
        <x:v>1.06</x:v>
      </x:c>
      <x:c r="I355" s="21" t="n">
        <x:v>1</x:v>
      </x:c>
      <x:c r="J355" s="21" t="n">
        <x:v>1</x:v>
      </x:c>
      <x:c r="K355" s="21" t="n">
        <x:f>F355*G355*H355*I355*J355</x:f>
        <x:v>139.92000000000002</x:v>
      </x:c>
      <x:c r="L355" s="2" t="str">
        <x:v>Soffit plus two downstand sides</x:v>
      </x:c>
      <x:c r="M355" s="2"/>
      <x:c r="N355" s="2"/>
      <x:c r="O355" s="2"/>
      <x:c r="P355" s="2"/>
      <x:c r="Q355" s="2"/>
    </x:row>
    <x:row r="356" ht="22" customHeight="1">
      <x:c r="A356" s="7" t="str">
        <x:v>M0349</x:v>
      </x:c>
      <x:c r="B356" s="7" t="str">
        <x:v>RC05</x:v>
      </x:c>
      <x:c r="C356" s="7" t="str">
        <x:v>T2</x:v>
      </x:c>
      <x:c r="D356" s="7" t="str">
        <x:v>L01</x:v>
      </x:c>
      <x:c r="E356" s="7" t="str">
        <x:v>Thirty columns, clear storey</x:v>
      </x:c>
      <x:c r="F356" s="20" t="n">
        <x:v>30</x:v>
      </x:c>
      <x:c r="G356" s="20" t="n">
        <x:f>'Controls'!$B$14</x:f>
        <x:v>0.5</x:v>
      </x:c>
      <x:c r="H356" s="20" t="n">
        <x:f>'Controls'!$B$15</x:f>
        <x:v>0.5</x:v>
      </x:c>
      <x:c r="I356" s="20" t="n">
        <x:f>'Controls'!$B$12-'Controls'!$B$13</x:f>
        <x:v>2.98</x:v>
      </x:c>
      <x:c r="J356" s="20" t="n">
        <x:v>1</x:v>
      </x:c>
      <x:c r="K356" s="20" t="n">
        <x:f>F356*G356*H356*I356*J356</x:f>
        <x:v>22.35</x:v>
      </x:c>
      <x:c r="L356" s="7" t="str">
        <x:v>Slab volume excluded from columns</x:v>
      </x:c>
      <x:c r="M356" s="2"/>
      <x:c r="N356" s="2"/>
      <x:c r="O356" s="2"/>
      <x:c r="P356" s="2"/>
      <x:c r="Q356" s="2"/>
    </x:row>
    <x:row r="357" ht="22" customHeight="1">
      <x:c r="A357" s="2" t="str">
        <x:v>M0350</x:v>
      </x:c>
      <x:c r="B357" s="2" t="str">
        <x:v>RC06</x:v>
      </x:c>
      <x:c r="C357" s="2" t="str">
        <x:v>T2</x:v>
      </x:c>
      <x:c r="D357" s="2" t="str">
        <x:v>L01</x:v>
      </x:c>
      <x:c r="E357" s="2" t="str">
        <x:v>Core walls clear storey</x:v>
      </x:c>
      <x:c r="F357" s="21" t="n">
        <x:v>1</x:v>
      </x:c>
      <x:c r="G357" s="21" t="n">
        <x:f>'Controls'!$B$19</x:f>
        <x:v>24</x:v>
      </x:c>
      <x:c r="H357" s="21" t="n">
        <x:f>'Controls'!$B$18</x:f>
        <x:v>0.25</x:v>
      </x:c>
      <x:c r="I357" s="21" t="n">
        <x:f>'Controls'!$B$12-'Controls'!$B$13</x:f>
        <x:v>2.98</x:v>
      </x:c>
      <x:c r="J357" s="21" t="n">
        <x:v>1</x:v>
      </x:c>
      <x:c r="K357" s="21" t="n">
        <x:f>F357*G357*H357*I357*J357</x:f>
        <x:v>17.88</x:v>
      </x:c>
      <x:c r="L357" s="2" t="str">
        <x:v>Net clear wall length excludes corners</x:v>
      </x:c>
      <x:c r="M357" s="2"/>
      <x:c r="N357" s="2"/>
      <x:c r="O357" s="2"/>
      <x:c r="P357" s="2"/>
      <x:c r="Q357" s="2"/>
    </x:row>
    <x:row r="358" ht="22" customHeight="1">
      <x:c r="A358" s="7" t="str">
        <x:v>M0351</x:v>
      </x:c>
      <x:c r="B358" s="7" t="str">
        <x:v>RC07</x:v>
      </x:c>
      <x:c r="C358" s="7" t="str">
        <x:v>T2</x:v>
      </x:c>
      <x:c r="D358" s="7" t="str">
        <x:v>L01</x:v>
      </x:c>
      <x:c r="E358" s="7" t="str">
        <x:v>Stair flights waist</x:v>
      </x:c>
      <x:c r="F358" s="20" t="n">
        <x:v>2</x:v>
      </x:c>
      <x:c r="G358" s="20" t="n">
        <x:v>4.1</x:v>
      </x:c>
      <x:c r="H358" s="20" t="n">
        <x:v>1.2</x:v>
      </x:c>
      <x:c r="I358" s="20" t="n">
        <x:v>0.18</x:v>
      </x:c>
      <x:c r="J358" s="20" t="n">
        <x:v>1</x:v>
      </x:c>
      <x:c r="K358" s="20" t="n">
        <x:f>F358*G358*H358*I358*J358</x:f>
        <x:v>1.7711999999999997</x:v>
      </x:c>
      <x:c r="L358" s="7" t="str">
        <x:v>Two flights; geometry separate from floor slab</x:v>
      </x:c>
      <x:c r="M358" s="2"/>
      <x:c r="N358" s="2"/>
      <x:c r="O358" s="2"/>
      <x:c r="P358" s="2"/>
      <x:c r="Q358" s="2"/>
    </x:row>
    <x:row r="359" ht="22" customHeight="1">
      <x:c r="A359" s="2" t="str">
        <x:v>M0352</x:v>
      </x:c>
      <x:c r="B359" s="2" t="str">
        <x:v>RC07</x:v>
      </x:c>
      <x:c r="C359" s="2" t="str">
        <x:v>T2</x:v>
      </x:c>
      <x:c r="D359" s="2" t="str">
        <x:v>L01</x:v>
      </x:c>
      <x:c r="E359" s="2" t="str">
        <x:v>Stair landings</x:v>
      </x:c>
      <x:c r="F359" s="21" t="n">
        <x:v>2</x:v>
      </x:c>
      <x:c r="G359" s="21" t="n">
        <x:v>2</x:v>
      </x:c>
      <x:c r="H359" s="21" t="n">
        <x:v>1.2</x:v>
      </x:c>
      <x:c r="I359" s="21" t="n">
        <x:v>0.18</x:v>
      </x:c>
      <x:c r="J359" s="21" t="n">
        <x:v>1</x:v>
      </x:c>
      <x:c r="K359" s="21" t="n">
        <x:f>F359*G359*H359*I359*J359</x:f>
        <x:v>0.864</x:v>
      </x:c>
      <x:c r="L359" s="2" t="str">
        <x:v>Within stair opening</x:v>
      </x:c>
      <x:c r="M359" s="2"/>
      <x:c r="N359" s="2"/>
      <x:c r="O359" s="2"/>
      <x:c r="P359" s="2"/>
      <x:c r="Q359" s="2"/>
    </x:row>
    <x:row r="360" ht="22" customHeight="1">
      <x:c r="A360" s="7" t="str">
        <x:v>M0353</x:v>
      </x:c>
      <x:c r="B360" s="7" t="str">
        <x:v>FW01</x:v>
      </x:c>
      <x:c r="C360" s="7" t="str">
        <x:v>T2</x:v>
      </x:c>
      <x:c r="D360" s="7" t="str">
        <x:v>L01</x:v>
      </x:c>
      <x:c r="E360" s="7" t="str">
        <x:v>Slab soffit gross</x:v>
      </x:c>
      <x:c r="F360" s="20" t="n">
        <x:v>1</x:v>
      </x:c>
      <x:c r="G360" s="20" t="n">
        <x:f>'Controls'!$B$10</x:f>
        <x:v>30</x:v>
      </x:c>
      <x:c r="H360" s="20" t="n">
        <x:f>'Controls'!$B$11</x:f>
        <x:v>24</x:v>
      </x:c>
      <x:c r="I360" s="20" t="n">
        <x:v>1</x:v>
      </x:c>
      <x:c r="J360" s="20" t="n">
        <x:v>1</x:v>
      </x:c>
      <x:c r="K360" s="20" t="n">
        <x:f>F360*G360*H360*I360*J360</x:f>
        <x:v>720</x:v>
      </x:c>
      <x:c r="L360" s="7" t="str">
        <x:v>Beam soffit deducted below</x:v>
      </x:c>
      <x:c r="M360" s="2"/>
      <x:c r="N360" s="2"/>
      <x:c r="O360" s="2"/>
      <x:c r="P360" s="2"/>
      <x:c r="Q360" s="2"/>
    </x:row>
    <x:row r="361" ht="22" customHeight="1">
      <x:c r="A361" s="2" t="str">
        <x:v>M0354</x:v>
      </x:c>
      <x:c r="B361" s="2" t="str">
        <x:v>FW01</x:v>
      </x:c>
      <x:c r="C361" s="2" t="str">
        <x:v>T2</x:v>
      </x:c>
      <x:c r="D361" s="2" t="str">
        <x:v>L01</x:v>
      </x:c>
      <x:c r="E361" s="2" t="str">
        <x:v>Stair opening deduction</x:v>
      </x:c>
      <x:c r="F361" s="21" t="n">
        <x:v>1</x:v>
      </x:c>
      <x:c r="G361" s="21" t="n">
        <x:f>'Controls'!$B$20</x:f>
        <x:v>4</x:v>
      </x:c>
      <x:c r="H361" s="21" t="n">
        <x:f>'Controls'!$B$21</x:f>
        <x:v>6</x:v>
      </x:c>
      <x:c r="I361" s="21" t="n">
        <x:v>1</x:v>
      </x:c>
      <x:c r="J361" s="21" t="n">
        <x:v>-1</x:v>
      </x:c>
      <x:c r="K361" s="21" t="n">
        <x:f>F361*G361*H361*I361*J361</x:f>
        <x:v>-24</x:v>
      </x:c>
      <x:c r="L361" s="2" t="str">
        <x:v>OP-01</x:v>
      </x:c>
      <x:c r="M361" s="2"/>
      <x:c r="N361" s="2"/>
      <x:c r="O361" s="2"/>
      <x:c r="P361" s="2"/>
      <x:c r="Q361" s="2"/>
    </x:row>
    <x:row r="362" ht="22" customHeight="1">
      <x:c r="A362" s="7" t="str">
        <x:v>M0355</x:v>
      </x:c>
      <x:c r="B362" s="7" t="str">
        <x:v>FW01</x:v>
      </x:c>
      <x:c r="C362" s="7" t="str">
        <x:v>T2</x:v>
      </x:c>
      <x:c r="D362" s="7" t="str">
        <x:v>L01</x:v>
      </x:c>
      <x:c r="E362" s="7" t="str">
        <x:v>Beam soffit deduction</x:v>
      </x:c>
      <x:c r="F362" s="20" t="n">
        <x:v>1</x:v>
      </x:c>
      <x:c r="G362" s="20" t="n">
        <x:f>5*5*('Controls'!$B$10/5-'Controls'!$B$14)+6*4*('Controls'!$B$11/4-'Controls'!$B$15)</x:f>
        <x:v>269.5</x:v>
      </x:c>
      <x:c r="H362" s="20" t="n">
        <x:f>'Controls'!$B$16</x:f>
        <x:v>0.3</x:v>
      </x:c>
      <x:c r="I362" s="20" t="n">
        <x:v>1</x:v>
      </x:c>
      <x:c r="J362" s="20" t="n">
        <x:v>-1</x:v>
      </x:c>
      <x:c r="K362" s="20" t="n">
        <x:f>F362*G362*H362*I362*J362</x:f>
        <x:v>-80.85</x:v>
      </x:c>
      <x:c r="L362" s="7" t="str">
        <x:v>Beam forms measured in FW02</x:v>
      </x:c>
      <x:c r="M362" s="2"/>
      <x:c r="N362" s="2"/>
      <x:c r="O362" s="2"/>
      <x:c r="P362" s="2"/>
      <x:c r="Q362" s="2"/>
    </x:row>
    <x:row r="363" ht="22" customHeight="1">
      <x:c r="A363" s="2" t="str">
        <x:v>M0356</x:v>
      </x:c>
      <x:c r="B363" s="2" t="str">
        <x:v>FW03</x:v>
      </x:c>
      <x:c r="C363" s="2" t="str">
        <x:v>T2</x:v>
      </x:c>
      <x:c r="D363" s="2" t="str">
        <x:v>L01</x:v>
      </x:c>
      <x:c r="E363" s="2" t="str">
        <x:v>Column four faces</x:v>
      </x:c>
      <x:c r="F363" s="21" t="n">
        <x:v>30</x:v>
      </x:c>
      <x:c r="G363" s="21" t="n">
        <x:f>2*('Controls'!$B$14+'Controls'!$B$15)</x:f>
        <x:v>2</x:v>
      </x:c>
      <x:c r="H363" s="21" t="n">
        <x:f>'Controls'!$B$12-'Controls'!$B$13</x:f>
        <x:v>2.98</x:v>
      </x:c>
      <x:c r="I363" s="21" t="n">
        <x:v>1</x:v>
      </x:c>
      <x:c r="J363" s="21" t="n">
        <x:v>1</x:v>
      </x:c>
      <x:c r="K363" s="21" t="n">
        <x:f>F363*G363*H363*I363*J363</x:f>
        <x:v>178.8</x:v>
      </x:c>
      <x:c r="L363" s="2" t="str">
        <x:v>Clear floor-to-soffit</x:v>
      </x:c>
      <x:c r="M363" s="2"/>
      <x:c r="N363" s="2"/>
      <x:c r="O363" s="2"/>
      <x:c r="P363" s="2"/>
      <x:c r="Q363" s="2"/>
    </x:row>
    <x:row r="364" ht="22" customHeight="1">
      <x:c r="A364" s="7" t="str">
        <x:v>M0357</x:v>
      </x:c>
      <x:c r="B364" s="7" t="str">
        <x:v>FW04</x:v>
      </x:c>
      <x:c r="C364" s="7" t="str">
        <x:v>T2</x:v>
      </x:c>
      <x:c r="D364" s="7" t="str">
        <x:v>L01</x:v>
      </x:c>
      <x:c r="E364" s="7" t="str">
        <x:v>Core wall two faces</x:v>
      </x:c>
      <x:c r="F364" s="20" t="n">
        <x:v>2</x:v>
      </x:c>
      <x:c r="G364" s="20" t="n">
        <x:f>'Controls'!$B$19</x:f>
        <x:v>24</x:v>
      </x:c>
      <x:c r="H364" s="20" t="n">
        <x:f>'Controls'!$B$12-'Controls'!$B$13</x:f>
        <x:v>2.98</x:v>
      </x:c>
      <x:c r="I364" s="20" t="n">
        <x:v>1</x:v>
      </x:c>
      <x:c r="J364" s="20" t="n">
        <x:v>1</x:v>
      </x:c>
      <x:c r="K364" s="20" t="n">
        <x:f>F364*G364*H364*I364*J364</x:f>
        <x:v>143.04</x:v>
      </x:c>
      <x:c r="L364" s="7" t="str">
        <x:v>Net perimeter, no repeated corners</x:v>
      </x:c>
      <x:c r="M364" s="2"/>
      <x:c r="N364" s="2"/>
      <x:c r="O364" s="2"/>
      <x:c r="P364" s="2"/>
      <x:c r="Q364" s="2"/>
    </x:row>
    <x:row r="365" ht="22" customHeight="1">
      <x:c r="A365" s="2" t="str">
        <x:v>M0358</x:v>
      </x:c>
      <x:c r="B365" s="2" t="str">
        <x:v>AR01</x:v>
      </x:c>
      <x:c r="C365" s="2" t="str">
        <x:v>T2</x:v>
      </x:c>
      <x:c r="D365" s="2" t="str">
        <x:v>L01</x:v>
      </x:c>
      <x:c r="E365" s="2" t="str">
        <x:v>Partition walls gross</x:v>
      </x:c>
      <x:c r="F365" s="21" t="n">
        <x:v>1</x:v>
      </x:c>
      <x:c r="G365" s="21" t="n">
        <x:f>'Controls'!$B$45</x:f>
        <x:v>220</x:v>
      </x:c>
      <x:c r="H365" s="21" t="n">
        <x:f>'Controls'!$B$12-'Controls'!$B$13</x:f>
        <x:v>2.98</x:v>
      </x:c>
      <x:c r="I365" s="21" t="n">
        <x:f>'Controls'!$B$46</x:f>
        <x:v>0.15</x:v>
      </x:c>
      <x:c r="J365" s="21" t="n">
        <x:v>1</x:v>
      </x:c>
      <x:c r="K365" s="21" t="n">
        <x:f>F365*G365*H365*I365*J365</x:f>
        <x:v>98.34</x:v>
      </x:c>
      <x:c r="L365" s="2" t="str">
        <x:v>Net openings deducted below</x:v>
      </x:c>
      <x:c r="M365" s="2"/>
      <x:c r="N365" s="2"/>
      <x:c r="O365" s="2"/>
      <x:c r="P365" s="2"/>
      <x:c r="Q365" s="2"/>
    </x:row>
    <x:row r="366" ht="22" customHeight="1">
      <x:c r="A366" s="7" t="str">
        <x:v>M0359</x:v>
      </x:c>
      <x:c r="B366" s="7" t="str">
        <x:v>AR01</x:v>
      </x:c>
      <x:c r="C366" s="7" t="str">
        <x:v>T2</x:v>
      </x:c>
      <x:c r="D366" s="7" t="str">
        <x:v>L01</x:v>
      </x:c>
      <x:c r="E366" s="7" t="str">
        <x:v>Internal doors deduction</x:v>
      </x:c>
      <x:c r="F366" s="20" t="n">
        <x:f>'Controls'!$B$48</x:f>
        <x:v>28</x:v>
      </x:c>
      <x:c r="G366" s="20" t="n">
        <x:f>'Controls'!$B$49</x:f>
        <x:v>0.9</x:v>
      </x:c>
      <x:c r="H366" s="20" t="n">
        <x:f>'Controls'!$B$50</x:f>
        <x:v>2.1</x:v>
      </x:c>
      <x:c r="I366" s="20" t="n">
        <x:f>'Controls'!$B$46</x:f>
        <x:v>0.15</x:v>
      </x:c>
      <x:c r="J366" s="20" t="n">
        <x:v>-1</x:v>
      </x:c>
      <x:c r="K366" s="20" t="n">
        <x:f>F366*G366*H366*I366*J366</x:f>
        <x:v>-7.938</x:v>
      </x:c>
      <x:c r="L366" s="7" t="str">
        <x:v>28 doors per floor, OP-02</x:v>
      </x:c>
      <x:c r="M366" s="2"/>
      <x:c r="N366" s="2"/>
      <x:c r="O366" s="2"/>
      <x:c r="P366" s="2"/>
      <x:c r="Q366" s="2"/>
    </x:row>
    <x:row r="367" ht="22" customHeight="1">
      <x:c r="A367" s="2" t="str">
        <x:v>M0360</x:v>
      </x:c>
      <x:c r="B367" s="2" t="str">
        <x:v>AR02</x:v>
      </x:c>
      <x:c r="C367" s="2" t="str">
        <x:v>T2</x:v>
      </x:c>
      <x:c r="D367" s="2" t="str">
        <x:v>L01</x:v>
      </x:c>
      <x:c r="E367" s="2" t="str">
        <x:v>Internal plaster gross</x:v>
      </x:c>
      <x:c r="F367" s="21" t="n">
        <x:v>2</x:v>
      </x:c>
      <x:c r="G367" s="21" t="n">
        <x:f>'Controls'!$B$45</x:f>
        <x:v>220</x:v>
      </x:c>
      <x:c r="H367" s="21" t="n">
        <x:f>'Controls'!$B$12-'Controls'!$B$13</x:f>
        <x:v>2.98</x:v>
      </x:c>
      <x:c r="I367" s="21" t="n">
        <x:v>1</x:v>
      </x:c>
      <x:c r="J367" s="21" t="n">
        <x:v>1</x:v>
      </x:c>
      <x:c r="K367" s="21" t="n">
        <x:f>F367*G367*H367*I367*J367</x:f>
        <x:v>1311.2</x:v>
      </x:c>
      <x:c r="L367" s="2" t="str">
        <x:v>Both faces of partition walls</x:v>
      </x:c>
      <x:c r="M367" s="2"/>
      <x:c r="N367" s="2"/>
      <x:c r="O367" s="2"/>
      <x:c r="P367" s="2"/>
      <x:c r="Q367" s="2"/>
    </x:row>
    <x:row r="368" ht="22" customHeight="1">
      <x:c r="A368" s="7" t="str">
        <x:v>M0361</x:v>
      </x:c>
      <x:c r="B368" s="7" t="str">
        <x:v>AR02</x:v>
      </x:c>
      <x:c r="C368" s="7" t="str">
        <x:v>T2</x:v>
      </x:c>
      <x:c r="D368" s="7" t="str">
        <x:v>L01</x:v>
      </x:c>
      <x:c r="E368" s="7" t="str">
        <x:v>Door area deduction both faces</x:v>
      </x:c>
      <x:c r="F368" s="20" t="n">
        <x:f>2*'Controls'!$B$48</x:f>
        <x:v>56</x:v>
      </x:c>
      <x:c r="G368" s="20" t="n">
        <x:f>'Controls'!$B$49</x:f>
        <x:v>0.9</x:v>
      </x:c>
      <x:c r="H368" s="20" t="n">
        <x:f>'Controls'!$B$50</x:f>
        <x:v>2.1</x:v>
      </x:c>
      <x:c r="I368" s="20" t="n">
        <x:v>1</x:v>
      </x:c>
      <x:c r="J368" s="20" t="n">
        <x:v>-1</x:v>
      </x:c>
      <x:c r="K368" s="20" t="n">
        <x:f>F368*G368*H368*I368*J368</x:f>
        <x:v>-105.84</x:v>
      </x:c>
      <x:c r="L368" s="7" t="str">
        <x:v>No plaster over openings</x:v>
      </x:c>
      <x:c r="M368" s="2"/>
      <x:c r="N368" s="2"/>
      <x:c r="O368" s="2"/>
      <x:c r="P368" s="2"/>
      <x:c r="Q368" s="2"/>
    </x:row>
    <x:row r="369" ht="22" customHeight="1">
      <x:c r="A369" s="2" t="str">
        <x:v>M0362</x:v>
      </x:c>
      <x:c r="B369" s="2" t="str">
        <x:v>AR03</x:v>
      </x:c>
      <x:c r="C369" s="2" t="str">
        <x:v>T2</x:v>
      </x:c>
      <x:c r="D369" s="2" t="str">
        <x:v>L01</x:v>
      </x:c>
      <x:c r="E369" s="2" t="str">
        <x:v>Floor screed net</x:v>
      </x:c>
      <x:c r="F369" s="21" t="n">
        <x:v>1</x:v>
      </x:c>
      <x:c r="G369" s="21" t="n">
        <x:f>'Controls'!$B$10*'Controls'!$B$11-'Controls'!$B$20*'Controls'!$B$21</x:f>
        <x:v>696</x:v>
      </x:c>
      <x:c r="H369" s="21" t="n">
        <x:v>1</x:v>
      </x:c>
      <x:c r="I369" s="21" t="n">
        <x:v>1</x:v>
      </x:c>
      <x:c r="J369" s="21" t="n">
        <x:v>1</x:v>
      </x:c>
      <x:c r="K369" s="21" t="n">
        <x:f>F369*G369*H369*I369*J369</x:f>
        <x:v>696</x:v>
      </x:c>
      <x:c r="L369" s="2" t="str">
        <x:v>Net structural floor area</x:v>
      </x:c>
      <x:c r="M369" s="2"/>
      <x:c r="N369" s="2"/>
      <x:c r="O369" s="2"/>
      <x:c r="P369" s="2"/>
      <x:c r="Q369" s="2"/>
    </x:row>
    <x:row r="370" ht="22" customHeight="1">
      <x:c r="A370" s="7" t="str">
        <x:v>M0363</x:v>
      </x:c>
      <x:c r="B370" s="7" t="str">
        <x:v>AR04</x:v>
      </x:c>
      <x:c r="C370" s="7" t="str">
        <x:v>T2</x:v>
      </x:c>
      <x:c r="D370" s="7" t="str">
        <x:v>L01</x:v>
      </x:c>
      <x:c r="E370" s="7" t="str">
        <x:v>Floor finish net</x:v>
      </x:c>
      <x:c r="F370" s="20" t="n">
        <x:v>1</x:v>
      </x:c>
      <x:c r="G370" s="20" t="n">
        <x:f>'Controls'!$B$10*'Controls'!$B$11-'Controls'!$B$20*'Controls'!$B$21</x:f>
        <x:v>696</x:v>
      </x:c>
      <x:c r="H370" s="20" t="n">
        <x:v>1</x:v>
      </x:c>
      <x:c r="I370" s="20" t="n">
        <x:v>1</x:v>
      </x:c>
      <x:c r="J370" s="20" t="n">
        <x:v>1</x:v>
      </x:c>
      <x:c r="K370" s="20" t="n">
        <x:f>F370*G370*H370*I370*J370</x:f>
        <x:v>696</x:v>
      </x:c>
      <x:c r="L370" s="7" t="str">
        <x:v>Waste excluded from BOQ</x:v>
      </x:c>
      <x:c r="M370" s="2"/>
      <x:c r="N370" s="2"/>
      <x:c r="O370" s="2"/>
      <x:c r="P370" s="2"/>
      <x:c r="Q370" s="2"/>
    </x:row>
    <x:row r="371" ht="22" customHeight="1">
      <x:c r="A371" s="2" t="str">
        <x:v>M0364</x:v>
      </x:c>
      <x:c r="B371" s="2" t="str">
        <x:v>AR05</x:v>
      </x:c>
      <x:c r="C371" s="2" t="str">
        <x:v>T2</x:v>
      </x:c>
      <x:c r="D371" s="2" t="str">
        <x:v>L01</x:v>
      </x:c>
      <x:c r="E371" s="2" t="str">
        <x:v>Internal wall paint net</x:v>
      </x:c>
      <x:c r="F371" s="21" t="n">
        <x:v>2</x:v>
      </x:c>
      <x:c r="G371" s="21" t="n">
        <x:f>'Controls'!$B$45*('Controls'!$B$12-'Controls'!$B$13)-'Controls'!$B$48*'Controls'!$B$49*'Controls'!$B$50</x:f>
        <x:v>602.6800000000001</x:v>
      </x:c>
      <x:c r="H371" s="21" t="n">
        <x:v>1</x:v>
      </x:c>
      <x:c r="I371" s="21" t="n">
        <x:v>1</x:v>
      </x:c>
      <x:c r="J371" s="21" t="n">
        <x:v>1</x:v>
      </x:c>
      <x:c r="K371" s="21" t="n">
        <x:f>F371*G371*H371*I371*J371</x:f>
        <x:v>1205.3600000000001</x:v>
      </x:c>
      <x:c r="L371" s="2" t="str">
        <x:v>Finished area; two coats priced in rate</x:v>
      </x:c>
      <x:c r="M371" s="2"/>
      <x:c r="N371" s="2"/>
      <x:c r="O371" s="2"/>
      <x:c r="P371" s="2"/>
      <x:c r="Q371" s="2"/>
    </x:row>
    <x:row r="372" ht="22" customHeight="1">
      <x:c r="A372" s="7" t="str">
        <x:v>M0365</x:v>
      </x:c>
      <x:c r="B372" s="7" t="str">
        <x:v>AR06</x:v>
      </x:c>
      <x:c r="C372" s="7" t="str">
        <x:v>T2</x:v>
      </x:c>
      <x:c r="D372" s="7" t="str">
        <x:v>L01</x:v>
      </x:c>
      <x:c r="E372" s="7" t="str">
        <x:v>Door sets</x:v>
      </x:c>
      <x:c r="F372" s="20" t="n">
        <x:f>'Controls'!$B$48</x:f>
        <x:v>28</x:v>
      </x:c>
      <x:c r="G372" s="20" t="n">
        <x:v>1</x:v>
      </x:c>
      <x:c r="H372" s="20" t="n">
        <x:v>1</x:v>
      </x:c>
      <x:c r="I372" s="20" t="n">
        <x:v>1</x:v>
      </x:c>
      <x:c r="J372" s="20" t="n">
        <x:v>1</x:v>
      </x:c>
      <x:c r="K372" s="20" t="n">
        <x:f>F372*G372*H372*I372*J372</x:f>
        <x:v>28</x:v>
      </x:c>
      <x:c r="L372" s="7" t="str">
        <x:v>Door count, not double face</x:v>
      </x:c>
      <x:c r="M372" s="2"/>
      <x:c r="N372" s="2"/>
      <x:c r="O372" s="2"/>
      <x:c r="P372" s="2"/>
      <x:c r="Q372" s="2"/>
    </x:row>
    <x:row r="373" ht="22" customHeight="1">
      <x:c r="A373" s="2" t="str">
        <x:v>M0366</x:v>
      </x:c>
      <x:c r="B373" s="2" t="str">
        <x:v>RC03</x:v>
      </x:c>
      <x:c r="C373" s="2" t="str">
        <x:v>T2</x:v>
      </x:c>
      <x:c r="D373" s="2" t="str">
        <x:v>L02</x:v>
      </x:c>
      <x:c r="E373" s="2" t="str">
        <x:v>Floor slab gross</x:v>
      </x:c>
      <x:c r="F373" s="21" t="n">
        <x:v>1</x:v>
      </x:c>
      <x:c r="G373" s="21" t="n">
        <x:f>'Controls'!$B$10</x:f>
        <x:v>30</x:v>
      </x:c>
      <x:c r="H373" s="21" t="n">
        <x:f>'Controls'!$B$11</x:f>
        <x:v>24</x:v>
      </x:c>
      <x:c r="I373" s="21" t="n">
        <x:f>'Controls'!$B$13</x:f>
        <x:v>0.22</x:v>
      </x:c>
      <x:c r="J373" s="21" t="n">
        <x:v>1</x:v>
      </x:c>
      <x:c r="K373" s="21" t="n">
        <x:f>F373*G373*H373*I373*J373</x:f>
        <x:v>158.4</x:v>
      </x:c>
      <x:c r="L373" s="2" t="str">
        <x:v>Slab includes beam top flange; downstand separate</x:v>
      </x:c>
      <x:c r="M373" s="2"/>
      <x:c r="N373" s="2"/>
      <x:c r="O373" s="2"/>
      <x:c r="P373" s="2"/>
      <x:c r="Q373" s="2"/>
    </x:row>
    <x:row r="374" ht="22" customHeight="1">
      <x:c r="A374" s="7" t="str">
        <x:v>M0367</x:v>
      </x:c>
      <x:c r="B374" s="7" t="str">
        <x:v>RC03</x:v>
      </x:c>
      <x:c r="C374" s="7" t="str">
        <x:v>T2</x:v>
      </x:c>
      <x:c r="D374" s="7" t="str">
        <x:v>L02</x:v>
      </x:c>
      <x:c r="E374" s="7" t="str">
        <x:v>Stair opening deduction</x:v>
      </x:c>
      <x:c r="F374" s="20" t="n">
        <x:v>1</x:v>
      </x:c>
      <x:c r="G374" s="20" t="n">
        <x:f>'Controls'!$B$20</x:f>
        <x:v>4</x:v>
      </x:c>
      <x:c r="H374" s="20" t="n">
        <x:f>'Controls'!$B$21</x:f>
        <x:v>6</x:v>
      </x:c>
      <x:c r="I374" s="20" t="n">
        <x:f>'Controls'!$B$13</x:f>
        <x:v>0.22</x:v>
      </x:c>
      <x:c r="J374" s="20" t="n">
        <x:v>-1</x:v>
      </x:c>
      <x:c r="K374" s="20" t="n">
        <x:f>F374*G374*H374*I374*J374</x:f>
        <x:v>-5.28</x:v>
      </x:c>
      <x:c r="L374" s="7" t="str">
        <x:v>Opening OP-01</x:v>
      </x:c>
      <x:c r="M374" s="2"/>
      <x:c r="N374" s="2"/>
      <x:c r="O374" s="2"/>
      <x:c r="P374" s="2"/>
      <x:c r="Q374" s="2"/>
    </x:row>
    <x:row r="375" ht="22" customHeight="1">
      <x:c r="A375" s="2" t="str">
        <x:v>M0368</x:v>
      </x:c>
      <x:c r="B375" s="2" t="str">
        <x:v>RC04</x:v>
      </x:c>
      <x:c r="C375" s="2" t="str">
        <x:v>T2</x:v>
      </x:c>
      <x:c r="D375" s="2" t="str">
        <x:v>L02</x:v>
      </x:c>
      <x:c r="E375" s="2" t="str">
        <x:v>Beam downstands X</x:v>
      </x:c>
      <x:c r="F375" s="21" t="n">
        <x:v>1</x:v>
      </x:c>
      <x:c r="G375" s="21" t="n">
        <x:f>5*5*('Controls'!$B$10/5-'Controls'!$B$14)</x:f>
        <x:v>137.5</x:v>
      </x:c>
      <x:c r="H375" s="21" t="n">
        <x:f>'Controls'!$B$16</x:f>
        <x:v>0.3</x:v>
      </x:c>
      <x:c r="I375" s="21" t="n">
        <x:f>'Controls'!$B$17-'Controls'!$B$13</x:f>
        <x:v>0.38</x:v>
      </x:c>
      <x:c r="J375" s="21" t="n">
        <x:v>1</x:v>
      </x:c>
      <x:c r="K375" s="21" t="n">
        <x:f>F375*G375*H375*I375*J375</x:f>
        <x:v>15.675</x:v>
      </x:c>
      <x:c r="L375" s="2" t="str">
        <x:v>Clear spans between column faces; no joint overlap</x:v>
      </x:c>
      <x:c r="M375" s="2"/>
      <x:c r="N375" s="2"/>
      <x:c r="O375" s="2"/>
      <x:c r="P375" s="2"/>
      <x:c r="Q375" s="2"/>
    </x:row>
    <x:row r="376" ht="22" customHeight="1">
      <x:c r="A376" s="7" t="str">
        <x:v>M0369</x:v>
      </x:c>
      <x:c r="B376" s="7" t="str">
        <x:v>FW02</x:v>
      </x:c>
      <x:c r="C376" s="7" t="str">
        <x:v>T2</x:v>
      </x:c>
      <x:c r="D376" s="7" t="str">
        <x:v>L02</x:v>
      </x:c>
      <x:c r="E376" s="7" t="str">
        <x:v>Beam forms X</x:v>
      </x:c>
      <x:c r="F376" s="20" t="n">
        <x:v>1</x:v>
      </x:c>
      <x:c r="G376" s="20" t="n">
        <x:f>5*5*('Controls'!$B$10/5-'Controls'!$B$14)</x:f>
        <x:v>137.5</x:v>
      </x:c>
      <x:c r="H376" s="20" t="n">
        <x:f>'Controls'!$B$16+2*('Controls'!$B$17-'Controls'!$B$13)</x:f>
        <x:v>1.06</x:v>
      </x:c>
      <x:c r="I376" s="20" t="n">
        <x:v>1</x:v>
      </x:c>
      <x:c r="J376" s="20" t="n">
        <x:v>1</x:v>
      </x:c>
      <x:c r="K376" s="20" t="n">
        <x:f>F376*G376*H376*I376*J376</x:f>
        <x:v>145.75</x:v>
      </x:c>
      <x:c r="L376" s="7" t="str">
        <x:v>Soffit plus two downstand sides</x:v>
      </x:c>
      <x:c r="M376" s="2"/>
      <x:c r="N376" s="2"/>
      <x:c r="O376" s="2"/>
      <x:c r="P376" s="2"/>
      <x:c r="Q376" s="2"/>
    </x:row>
    <x:row r="377" ht="22" customHeight="1">
      <x:c r="A377" s="2" t="str">
        <x:v>M0370</x:v>
      </x:c>
      <x:c r="B377" s="2" t="str">
        <x:v>RC04</x:v>
      </x:c>
      <x:c r="C377" s="2" t="str">
        <x:v>T2</x:v>
      </x:c>
      <x:c r="D377" s="2" t="str">
        <x:v>L02</x:v>
      </x:c>
      <x:c r="E377" s="2" t="str">
        <x:v>Beam downstands Y</x:v>
      </x:c>
      <x:c r="F377" s="21" t="n">
        <x:v>1</x:v>
      </x:c>
      <x:c r="G377" s="21" t="n">
        <x:f>6*4*('Controls'!$B$11/4-'Controls'!$B$15)</x:f>
        <x:v>132</x:v>
      </x:c>
      <x:c r="H377" s="21" t="n">
        <x:f>'Controls'!$B$16</x:f>
        <x:v>0.3</x:v>
      </x:c>
      <x:c r="I377" s="21" t="n">
        <x:f>'Controls'!$B$17-'Controls'!$B$13</x:f>
        <x:v>0.38</x:v>
      </x:c>
      <x:c r="J377" s="21" t="n">
        <x:v>1</x:v>
      </x:c>
      <x:c r="K377" s="21" t="n">
        <x:f>F377*G377*H377*I377*J377</x:f>
        <x:v>15.048</x:v>
      </x:c>
      <x:c r="L377" s="2" t="str">
        <x:v>Clear spans between column faces; no joint overlap</x:v>
      </x:c>
      <x:c r="M377" s="2"/>
      <x:c r="N377" s="2"/>
      <x:c r="O377" s="2"/>
      <x:c r="P377" s="2"/>
      <x:c r="Q377" s="2"/>
    </x:row>
    <x:row r="378" ht="22" customHeight="1">
      <x:c r="A378" s="7" t="str">
        <x:v>M0371</x:v>
      </x:c>
      <x:c r="B378" s="7" t="str">
        <x:v>FW02</x:v>
      </x:c>
      <x:c r="C378" s="7" t="str">
        <x:v>T2</x:v>
      </x:c>
      <x:c r="D378" s="7" t="str">
        <x:v>L02</x:v>
      </x:c>
      <x:c r="E378" s="7" t="str">
        <x:v>Beam forms Y</x:v>
      </x:c>
      <x:c r="F378" s="20" t="n">
        <x:v>1</x:v>
      </x:c>
      <x:c r="G378" s="20" t="n">
        <x:f>6*4*('Controls'!$B$11/4-'Controls'!$B$15)</x:f>
        <x:v>132</x:v>
      </x:c>
      <x:c r="H378" s="20" t="n">
        <x:f>'Controls'!$B$16+2*('Controls'!$B$17-'Controls'!$B$13)</x:f>
        <x:v>1.06</x:v>
      </x:c>
      <x:c r="I378" s="20" t="n">
        <x:v>1</x:v>
      </x:c>
      <x:c r="J378" s="20" t="n">
        <x:v>1</x:v>
      </x:c>
      <x:c r="K378" s="20" t="n">
        <x:f>F378*G378*H378*I378*J378</x:f>
        <x:v>139.92000000000002</x:v>
      </x:c>
      <x:c r="L378" s="7" t="str">
        <x:v>Soffit plus two downstand sides</x:v>
      </x:c>
      <x:c r="M378" s="2"/>
      <x:c r="N378" s="2"/>
      <x:c r="O378" s="2"/>
      <x:c r="P378" s="2"/>
      <x:c r="Q378" s="2"/>
    </x:row>
    <x:row r="379" ht="22" customHeight="1">
      <x:c r="A379" s="2" t="str">
        <x:v>M0372</x:v>
      </x:c>
      <x:c r="B379" s="2" t="str">
        <x:v>RC05</x:v>
      </x:c>
      <x:c r="C379" s="2" t="str">
        <x:v>T2</x:v>
      </x:c>
      <x:c r="D379" s="2" t="str">
        <x:v>L02</x:v>
      </x:c>
      <x:c r="E379" s="2" t="str">
        <x:v>Thirty columns, clear storey</x:v>
      </x:c>
      <x:c r="F379" s="21" t="n">
        <x:v>30</x:v>
      </x:c>
      <x:c r="G379" s="21" t="n">
        <x:f>'Controls'!$B$14</x:f>
        <x:v>0.5</x:v>
      </x:c>
      <x:c r="H379" s="21" t="n">
        <x:f>'Controls'!$B$15</x:f>
        <x:v>0.5</x:v>
      </x:c>
      <x:c r="I379" s="21" t="n">
        <x:f>'Controls'!$B$12-'Controls'!$B$13</x:f>
        <x:v>2.98</x:v>
      </x:c>
      <x:c r="J379" s="21" t="n">
        <x:v>1</x:v>
      </x:c>
      <x:c r="K379" s="21" t="n">
        <x:f>F379*G379*H379*I379*J379</x:f>
        <x:v>22.35</x:v>
      </x:c>
      <x:c r="L379" s="2" t="str">
        <x:v>Slab volume excluded from columns</x:v>
      </x:c>
      <x:c r="M379" s="2"/>
      <x:c r="N379" s="2"/>
      <x:c r="O379" s="2"/>
      <x:c r="P379" s="2"/>
      <x:c r="Q379" s="2"/>
    </x:row>
    <x:row r="380" ht="22" customHeight="1">
      <x:c r="A380" s="7" t="str">
        <x:v>M0373</x:v>
      </x:c>
      <x:c r="B380" s="7" t="str">
        <x:v>RC06</x:v>
      </x:c>
      <x:c r="C380" s="7" t="str">
        <x:v>T2</x:v>
      </x:c>
      <x:c r="D380" s="7" t="str">
        <x:v>L02</x:v>
      </x:c>
      <x:c r="E380" s="7" t="str">
        <x:v>Core walls clear storey</x:v>
      </x:c>
      <x:c r="F380" s="20" t="n">
        <x:v>1</x:v>
      </x:c>
      <x:c r="G380" s="20" t="n">
        <x:f>'Controls'!$B$19</x:f>
        <x:v>24</x:v>
      </x:c>
      <x:c r="H380" s="20" t="n">
        <x:f>'Controls'!$B$18</x:f>
        <x:v>0.25</x:v>
      </x:c>
      <x:c r="I380" s="20" t="n">
        <x:f>'Controls'!$B$12-'Controls'!$B$13</x:f>
        <x:v>2.98</x:v>
      </x:c>
      <x:c r="J380" s="20" t="n">
        <x:v>1</x:v>
      </x:c>
      <x:c r="K380" s="20" t="n">
        <x:f>F380*G380*H380*I380*J380</x:f>
        <x:v>17.88</x:v>
      </x:c>
      <x:c r="L380" s="7" t="str">
        <x:v>Net clear wall length excludes corners</x:v>
      </x:c>
      <x:c r="M380" s="2"/>
      <x:c r="N380" s="2"/>
      <x:c r="O380" s="2"/>
      <x:c r="P380" s="2"/>
      <x:c r="Q380" s="2"/>
    </x:row>
    <x:row r="381" ht="22" customHeight="1">
      <x:c r="A381" s="2" t="str">
        <x:v>M0374</x:v>
      </x:c>
      <x:c r="B381" s="2" t="str">
        <x:v>RC07</x:v>
      </x:c>
      <x:c r="C381" s="2" t="str">
        <x:v>T2</x:v>
      </x:c>
      <x:c r="D381" s="2" t="str">
        <x:v>L02</x:v>
      </x:c>
      <x:c r="E381" s="2" t="str">
        <x:v>Stair flights waist</x:v>
      </x:c>
      <x:c r="F381" s="21" t="n">
        <x:v>2</x:v>
      </x:c>
      <x:c r="G381" s="21" t="n">
        <x:v>4.1</x:v>
      </x:c>
      <x:c r="H381" s="21" t="n">
        <x:v>1.2</x:v>
      </x:c>
      <x:c r="I381" s="21" t="n">
        <x:v>0.18</x:v>
      </x:c>
      <x:c r="J381" s="21" t="n">
        <x:v>1</x:v>
      </x:c>
      <x:c r="K381" s="21" t="n">
        <x:f>F381*G381*H381*I381*J381</x:f>
        <x:v>1.7711999999999997</x:v>
      </x:c>
      <x:c r="L381" s="2" t="str">
        <x:v>Two flights; geometry separate from floor slab</x:v>
      </x:c>
      <x:c r="M381" s="2"/>
      <x:c r="N381" s="2"/>
      <x:c r="O381" s="2"/>
      <x:c r="P381" s="2"/>
      <x:c r="Q381" s="2"/>
    </x:row>
    <x:row r="382" ht="22" customHeight="1">
      <x:c r="A382" s="7" t="str">
        <x:v>M0375</x:v>
      </x:c>
      <x:c r="B382" s="7" t="str">
        <x:v>RC07</x:v>
      </x:c>
      <x:c r="C382" s="7" t="str">
        <x:v>T2</x:v>
      </x:c>
      <x:c r="D382" s="7" t="str">
        <x:v>L02</x:v>
      </x:c>
      <x:c r="E382" s="7" t="str">
        <x:v>Stair landings</x:v>
      </x:c>
      <x:c r="F382" s="20" t="n">
        <x:v>2</x:v>
      </x:c>
      <x:c r="G382" s="20" t="n">
        <x:v>2</x:v>
      </x:c>
      <x:c r="H382" s="20" t="n">
        <x:v>1.2</x:v>
      </x:c>
      <x:c r="I382" s="20" t="n">
        <x:v>0.18</x:v>
      </x:c>
      <x:c r="J382" s="20" t="n">
        <x:v>1</x:v>
      </x:c>
      <x:c r="K382" s="20" t="n">
        <x:f>F382*G382*H382*I382*J382</x:f>
        <x:v>0.864</x:v>
      </x:c>
      <x:c r="L382" s="7" t="str">
        <x:v>Within stair opening</x:v>
      </x:c>
      <x:c r="M382" s="2"/>
      <x:c r="N382" s="2"/>
      <x:c r="O382" s="2"/>
      <x:c r="P382" s="2"/>
      <x:c r="Q382" s="2"/>
    </x:row>
    <x:row r="383" ht="22" customHeight="1">
      <x:c r="A383" s="2" t="str">
        <x:v>M0376</x:v>
      </x:c>
      <x:c r="B383" s="2" t="str">
        <x:v>FW01</x:v>
      </x:c>
      <x:c r="C383" s="2" t="str">
        <x:v>T2</x:v>
      </x:c>
      <x:c r="D383" s="2" t="str">
        <x:v>L02</x:v>
      </x:c>
      <x:c r="E383" s="2" t="str">
        <x:v>Slab soffit gross</x:v>
      </x:c>
      <x:c r="F383" s="21" t="n">
        <x:v>1</x:v>
      </x:c>
      <x:c r="G383" s="21" t="n">
        <x:f>'Controls'!$B$10</x:f>
        <x:v>30</x:v>
      </x:c>
      <x:c r="H383" s="21" t="n">
        <x:f>'Controls'!$B$11</x:f>
        <x:v>24</x:v>
      </x:c>
      <x:c r="I383" s="21" t="n">
        <x:v>1</x:v>
      </x:c>
      <x:c r="J383" s="21" t="n">
        <x:v>1</x:v>
      </x:c>
      <x:c r="K383" s="21" t="n">
        <x:f>F383*G383*H383*I383*J383</x:f>
        <x:v>720</x:v>
      </x:c>
      <x:c r="L383" s="2" t="str">
        <x:v>Beam soffit deducted below</x:v>
      </x:c>
      <x:c r="M383" s="2"/>
      <x:c r="N383" s="2"/>
      <x:c r="O383" s="2"/>
      <x:c r="P383" s="2"/>
      <x:c r="Q383" s="2"/>
    </x:row>
    <x:row r="384" ht="22" customHeight="1">
      <x:c r="A384" s="7" t="str">
        <x:v>M0377</x:v>
      </x:c>
      <x:c r="B384" s="7" t="str">
        <x:v>FW01</x:v>
      </x:c>
      <x:c r="C384" s="7" t="str">
        <x:v>T2</x:v>
      </x:c>
      <x:c r="D384" s="7" t="str">
        <x:v>L02</x:v>
      </x:c>
      <x:c r="E384" s="7" t="str">
        <x:v>Stair opening deduction</x:v>
      </x:c>
      <x:c r="F384" s="20" t="n">
        <x:v>1</x:v>
      </x:c>
      <x:c r="G384" s="20" t="n">
        <x:f>'Controls'!$B$20</x:f>
        <x:v>4</x:v>
      </x:c>
      <x:c r="H384" s="20" t="n">
        <x:f>'Controls'!$B$21</x:f>
        <x:v>6</x:v>
      </x:c>
      <x:c r="I384" s="20" t="n">
        <x:v>1</x:v>
      </x:c>
      <x:c r="J384" s="20" t="n">
        <x:v>-1</x:v>
      </x:c>
      <x:c r="K384" s="20" t="n">
        <x:f>F384*G384*H384*I384*J384</x:f>
        <x:v>-24</x:v>
      </x:c>
      <x:c r="L384" s="7" t="str">
        <x:v>OP-01</x:v>
      </x:c>
      <x:c r="M384" s="2"/>
      <x:c r="N384" s="2"/>
      <x:c r="O384" s="2"/>
      <x:c r="P384" s="2"/>
      <x:c r="Q384" s="2"/>
    </x:row>
    <x:row r="385" ht="22" customHeight="1">
      <x:c r="A385" s="2" t="str">
        <x:v>M0378</x:v>
      </x:c>
      <x:c r="B385" s="2" t="str">
        <x:v>FW01</x:v>
      </x:c>
      <x:c r="C385" s="2" t="str">
        <x:v>T2</x:v>
      </x:c>
      <x:c r="D385" s="2" t="str">
        <x:v>L02</x:v>
      </x:c>
      <x:c r="E385" s="2" t="str">
        <x:v>Beam soffit deduction</x:v>
      </x:c>
      <x:c r="F385" s="21" t="n">
        <x:v>1</x:v>
      </x:c>
      <x:c r="G385" s="21" t="n">
        <x:f>5*5*('Controls'!$B$10/5-'Controls'!$B$14)+6*4*('Controls'!$B$11/4-'Controls'!$B$15)</x:f>
        <x:v>269.5</x:v>
      </x:c>
      <x:c r="H385" s="21" t="n">
        <x:f>'Controls'!$B$16</x:f>
        <x:v>0.3</x:v>
      </x:c>
      <x:c r="I385" s="21" t="n">
        <x:v>1</x:v>
      </x:c>
      <x:c r="J385" s="21" t="n">
        <x:v>-1</x:v>
      </x:c>
      <x:c r="K385" s="21" t="n">
        <x:f>F385*G385*H385*I385*J385</x:f>
        <x:v>-80.85</x:v>
      </x:c>
      <x:c r="L385" s="2" t="str">
        <x:v>Beam forms measured in FW02</x:v>
      </x:c>
      <x:c r="M385" s="2"/>
      <x:c r="N385" s="2"/>
      <x:c r="O385" s="2"/>
      <x:c r="P385" s="2"/>
      <x:c r="Q385" s="2"/>
    </x:row>
    <x:row r="386" ht="22" customHeight="1">
      <x:c r="A386" s="7" t="str">
        <x:v>M0379</x:v>
      </x:c>
      <x:c r="B386" s="7" t="str">
        <x:v>FW03</x:v>
      </x:c>
      <x:c r="C386" s="7" t="str">
        <x:v>T2</x:v>
      </x:c>
      <x:c r="D386" s="7" t="str">
        <x:v>L02</x:v>
      </x:c>
      <x:c r="E386" s="7" t="str">
        <x:v>Column four faces</x:v>
      </x:c>
      <x:c r="F386" s="20" t="n">
        <x:v>30</x:v>
      </x:c>
      <x:c r="G386" s="20" t="n">
        <x:f>2*('Controls'!$B$14+'Controls'!$B$15)</x:f>
        <x:v>2</x:v>
      </x:c>
      <x:c r="H386" s="20" t="n">
        <x:f>'Controls'!$B$12-'Controls'!$B$13</x:f>
        <x:v>2.98</x:v>
      </x:c>
      <x:c r="I386" s="20" t="n">
        <x:v>1</x:v>
      </x:c>
      <x:c r="J386" s="20" t="n">
        <x:v>1</x:v>
      </x:c>
      <x:c r="K386" s="20" t="n">
        <x:f>F386*G386*H386*I386*J386</x:f>
        <x:v>178.8</x:v>
      </x:c>
      <x:c r="L386" s="7" t="str">
        <x:v>Clear floor-to-soffit</x:v>
      </x:c>
      <x:c r="M386" s="2"/>
      <x:c r="N386" s="2"/>
      <x:c r="O386" s="2"/>
      <x:c r="P386" s="2"/>
      <x:c r="Q386" s="2"/>
    </x:row>
    <x:row r="387" ht="22" customHeight="1">
      <x:c r="A387" s="2" t="str">
        <x:v>M0380</x:v>
      </x:c>
      <x:c r="B387" s="2" t="str">
        <x:v>FW04</x:v>
      </x:c>
      <x:c r="C387" s="2" t="str">
        <x:v>T2</x:v>
      </x:c>
      <x:c r="D387" s="2" t="str">
        <x:v>L02</x:v>
      </x:c>
      <x:c r="E387" s="2" t="str">
        <x:v>Core wall two faces</x:v>
      </x:c>
      <x:c r="F387" s="21" t="n">
        <x:v>2</x:v>
      </x:c>
      <x:c r="G387" s="21" t="n">
        <x:f>'Controls'!$B$19</x:f>
        <x:v>24</x:v>
      </x:c>
      <x:c r="H387" s="21" t="n">
        <x:f>'Controls'!$B$12-'Controls'!$B$13</x:f>
        <x:v>2.98</x:v>
      </x:c>
      <x:c r="I387" s="21" t="n">
        <x:v>1</x:v>
      </x:c>
      <x:c r="J387" s="21" t="n">
        <x:v>1</x:v>
      </x:c>
      <x:c r="K387" s="21" t="n">
        <x:f>F387*G387*H387*I387*J387</x:f>
        <x:v>143.04</x:v>
      </x:c>
      <x:c r="L387" s="2" t="str">
        <x:v>Net perimeter, no repeated corners</x:v>
      </x:c>
      <x:c r="M387" s="2"/>
      <x:c r="N387" s="2"/>
      <x:c r="O387" s="2"/>
      <x:c r="P387" s="2"/>
      <x:c r="Q387" s="2"/>
    </x:row>
    <x:row r="388" ht="22" customHeight="1">
      <x:c r="A388" s="7" t="str">
        <x:v>M0381</x:v>
      </x:c>
      <x:c r="B388" s="7" t="str">
        <x:v>AR01</x:v>
      </x:c>
      <x:c r="C388" s="7" t="str">
        <x:v>T2</x:v>
      </x:c>
      <x:c r="D388" s="7" t="str">
        <x:v>L02</x:v>
      </x:c>
      <x:c r="E388" s="7" t="str">
        <x:v>Partition walls gross</x:v>
      </x:c>
      <x:c r="F388" s="20" t="n">
        <x:v>1</x:v>
      </x:c>
      <x:c r="G388" s="20" t="n">
        <x:f>'Controls'!$B$45</x:f>
        <x:v>220</x:v>
      </x:c>
      <x:c r="H388" s="20" t="n">
        <x:f>'Controls'!$B$12-'Controls'!$B$13</x:f>
        <x:v>2.98</x:v>
      </x:c>
      <x:c r="I388" s="20" t="n">
        <x:f>'Controls'!$B$46</x:f>
        <x:v>0.15</x:v>
      </x:c>
      <x:c r="J388" s="20" t="n">
        <x:v>1</x:v>
      </x:c>
      <x:c r="K388" s="20" t="n">
        <x:f>F388*G388*H388*I388*J388</x:f>
        <x:v>98.34</x:v>
      </x:c>
      <x:c r="L388" s="7" t="str">
        <x:v>Net openings deducted below</x:v>
      </x:c>
      <x:c r="M388" s="2"/>
      <x:c r="N388" s="2"/>
      <x:c r="O388" s="2"/>
      <x:c r="P388" s="2"/>
      <x:c r="Q388" s="2"/>
    </x:row>
    <x:row r="389" ht="22" customHeight="1">
      <x:c r="A389" s="2" t="str">
        <x:v>M0382</x:v>
      </x:c>
      <x:c r="B389" s="2" t="str">
        <x:v>AR01</x:v>
      </x:c>
      <x:c r="C389" s="2" t="str">
        <x:v>T2</x:v>
      </x:c>
      <x:c r="D389" s="2" t="str">
        <x:v>L02</x:v>
      </x:c>
      <x:c r="E389" s="2" t="str">
        <x:v>Internal doors deduction</x:v>
      </x:c>
      <x:c r="F389" s="21" t="n">
        <x:f>'Controls'!$B$48</x:f>
        <x:v>28</x:v>
      </x:c>
      <x:c r="G389" s="21" t="n">
        <x:f>'Controls'!$B$49</x:f>
        <x:v>0.9</x:v>
      </x:c>
      <x:c r="H389" s="21" t="n">
        <x:f>'Controls'!$B$50</x:f>
        <x:v>2.1</x:v>
      </x:c>
      <x:c r="I389" s="21" t="n">
        <x:f>'Controls'!$B$46</x:f>
        <x:v>0.15</x:v>
      </x:c>
      <x:c r="J389" s="21" t="n">
        <x:v>-1</x:v>
      </x:c>
      <x:c r="K389" s="21" t="n">
        <x:f>F389*G389*H389*I389*J389</x:f>
        <x:v>-7.938</x:v>
      </x:c>
      <x:c r="L389" s="2" t="str">
        <x:v>28 doors per floor, OP-02</x:v>
      </x:c>
      <x:c r="M389" s="2"/>
      <x:c r="N389" s="2"/>
      <x:c r="O389" s="2"/>
      <x:c r="P389" s="2"/>
      <x:c r="Q389" s="2"/>
    </x:row>
    <x:row r="390" ht="22" customHeight="1">
      <x:c r="A390" s="7" t="str">
        <x:v>M0383</x:v>
      </x:c>
      <x:c r="B390" s="7" t="str">
        <x:v>AR02</x:v>
      </x:c>
      <x:c r="C390" s="7" t="str">
        <x:v>T2</x:v>
      </x:c>
      <x:c r="D390" s="7" t="str">
        <x:v>L02</x:v>
      </x:c>
      <x:c r="E390" s="7" t="str">
        <x:v>Internal plaster gross</x:v>
      </x:c>
      <x:c r="F390" s="20" t="n">
        <x:v>2</x:v>
      </x:c>
      <x:c r="G390" s="20" t="n">
        <x:f>'Controls'!$B$45</x:f>
        <x:v>220</x:v>
      </x:c>
      <x:c r="H390" s="20" t="n">
        <x:f>'Controls'!$B$12-'Controls'!$B$13</x:f>
        <x:v>2.98</x:v>
      </x:c>
      <x:c r="I390" s="20" t="n">
        <x:v>1</x:v>
      </x:c>
      <x:c r="J390" s="20" t="n">
        <x:v>1</x:v>
      </x:c>
      <x:c r="K390" s="20" t="n">
        <x:f>F390*G390*H390*I390*J390</x:f>
        <x:v>1311.2</x:v>
      </x:c>
      <x:c r="L390" s="7" t="str">
        <x:v>Both faces of partition walls</x:v>
      </x:c>
      <x:c r="M390" s="2"/>
      <x:c r="N390" s="2"/>
      <x:c r="O390" s="2"/>
      <x:c r="P390" s="2"/>
      <x:c r="Q390" s="2"/>
    </x:row>
    <x:row r="391" ht="22" customHeight="1">
      <x:c r="A391" s="2" t="str">
        <x:v>M0384</x:v>
      </x:c>
      <x:c r="B391" s="2" t="str">
        <x:v>AR02</x:v>
      </x:c>
      <x:c r="C391" s="2" t="str">
        <x:v>T2</x:v>
      </x:c>
      <x:c r="D391" s="2" t="str">
        <x:v>L02</x:v>
      </x:c>
      <x:c r="E391" s="2" t="str">
        <x:v>Door area deduction both faces</x:v>
      </x:c>
      <x:c r="F391" s="21" t="n">
        <x:f>2*'Controls'!$B$48</x:f>
        <x:v>56</x:v>
      </x:c>
      <x:c r="G391" s="21" t="n">
        <x:f>'Controls'!$B$49</x:f>
        <x:v>0.9</x:v>
      </x:c>
      <x:c r="H391" s="21" t="n">
        <x:f>'Controls'!$B$50</x:f>
        <x:v>2.1</x:v>
      </x:c>
      <x:c r="I391" s="21" t="n">
        <x:v>1</x:v>
      </x:c>
      <x:c r="J391" s="21" t="n">
        <x:v>-1</x:v>
      </x:c>
      <x:c r="K391" s="21" t="n">
        <x:f>F391*G391*H391*I391*J391</x:f>
        <x:v>-105.84</x:v>
      </x:c>
      <x:c r="L391" s="2" t="str">
        <x:v>No plaster over openings</x:v>
      </x:c>
      <x:c r="M391" s="2"/>
      <x:c r="N391" s="2"/>
      <x:c r="O391" s="2"/>
      <x:c r="P391" s="2"/>
      <x:c r="Q391" s="2"/>
    </x:row>
    <x:row r="392" ht="22" customHeight="1">
      <x:c r="A392" s="7" t="str">
        <x:v>M0385</x:v>
      </x:c>
      <x:c r="B392" s="7" t="str">
        <x:v>AR03</x:v>
      </x:c>
      <x:c r="C392" s="7" t="str">
        <x:v>T2</x:v>
      </x:c>
      <x:c r="D392" s="7" t="str">
        <x:v>L02</x:v>
      </x:c>
      <x:c r="E392" s="7" t="str">
        <x:v>Floor screed net</x:v>
      </x:c>
      <x:c r="F392" s="20" t="n">
        <x:v>1</x:v>
      </x:c>
      <x:c r="G392" s="20" t="n">
        <x:f>'Controls'!$B$10*'Controls'!$B$11-'Controls'!$B$20*'Controls'!$B$21</x:f>
        <x:v>696</x:v>
      </x:c>
      <x:c r="H392" s="20" t="n">
        <x:v>1</x:v>
      </x:c>
      <x:c r="I392" s="20" t="n">
        <x:v>1</x:v>
      </x:c>
      <x:c r="J392" s="20" t="n">
        <x:v>1</x:v>
      </x:c>
      <x:c r="K392" s="20" t="n">
        <x:f>F392*G392*H392*I392*J392</x:f>
        <x:v>696</x:v>
      </x:c>
      <x:c r="L392" s="7" t="str">
        <x:v>Net structural floor area</x:v>
      </x:c>
      <x:c r="M392" s="2"/>
      <x:c r="N392" s="2"/>
      <x:c r="O392" s="2"/>
      <x:c r="P392" s="2"/>
      <x:c r="Q392" s="2"/>
    </x:row>
    <x:row r="393" ht="22" customHeight="1">
      <x:c r="A393" s="2" t="str">
        <x:v>M0386</x:v>
      </x:c>
      <x:c r="B393" s="2" t="str">
        <x:v>AR04</x:v>
      </x:c>
      <x:c r="C393" s="2" t="str">
        <x:v>T2</x:v>
      </x:c>
      <x:c r="D393" s="2" t="str">
        <x:v>L02</x:v>
      </x:c>
      <x:c r="E393" s="2" t="str">
        <x:v>Floor finish net</x:v>
      </x:c>
      <x:c r="F393" s="21" t="n">
        <x:v>1</x:v>
      </x:c>
      <x:c r="G393" s="21" t="n">
        <x:f>'Controls'!$B$10*'Controls'!$B$11-'Controls'!$B$20*'Controls'!$B$21</x:f>
        <x:v>696</x:v>
      </x:c>
      <x:c r="H393" s="21" t="n">
        <x:v>1</x:v>
      </x:c>
      <x:c r="I393" s="21" t="n">
        <x:v>1</x:v>
      </x:c>
      <x:c r="J393" s="21" t="n">
        <x:v>1</x:v>
      </x:c>
      <x:c r="K393" s="21" t="n">
        <x:f>F393*G393*H393*I393*J393</x:f>
        <x:v>696</x:v>
      </x:c>
      <x:c r="L393" s="2" t="str">
        <x:v>Waste excluded from BOQ</x:v>
      </x:c>
      <x:c r="M393" s="2"/>
      <x:c r="N393" s="2"/>
      <x:c r="O393" s="2"/>
      <x:c r="P393" s="2"/>
      <x:c r="Q393" s="2"/>
    </x:row>
    <x:row r="394" ht="22" customHeight="1">
      <x:c r="A394" s="7" t="str">
        <x:v>M0387</x:v>
      </x:c>
      <x:c r="B394" s="7" t="str">
        <x:v>AR05</x:v>
      </x:c>
      <x:c r="C394" s="7" t="str">
        <x:v>T2</x:v>
      </x:c>
      <x:c r="D394" s="7" t="str">
        <x:v>L02</x:v>
      </x:c>
      <x:c r="E394" s="7" t="str">
        <x:v>Internal wall paint net</x:v>
      </x:c>
      <x:c r="F394" s="20" t="n">
        <x:v>2</x:v>
      </x:c>
      <x:c r="G394" s="20" t="n">
        <x:f>'Controls'!$B$45*('Controls'!$B$12-'Controls'!$B$13)-'Controls'!$B$48*'Controls'!$B$49*'Controls'!$B$50</x:f>
        <x:v>602.6800000000001</x:v>
      </x:c>
      <x:c r="H394" s="20" t="n">
        <x:v>1</x:v>
      </x:c>
      <x:c r="I394" s="20" t="n">
        <x:v>1</x:v>
      </x:c>
      <x:c r="J394" s="20" t="n">
        <x:v>1</x:v>
      </x:c>
      <x:c r="K394" s="20" t="n">
        <x:f>F394*G394*H394*I394*J394</x:f>
        <x:v>1205.3600000000001</x:v>
      </x:c>
      <x:c r="L394" s="7" t="str">
        <x:v>Finished area; two coats priced in rate</x:v>
      </x:c>
      <x:c r="M394" s="2"/>
      <x:c r="N394" s="2"/>
      <x:c r="O394" s="2"/>
      <x:c r="P394" s="2"/>
      <x:c r="Q394" s="2"/>
    </x:row>
    <x:row r="395" ht="22" customHeight="1">
      <x:c r="A395" s="2" t="str">
        <x:v>M0388</x:v>
      </x:c>
      <x:c r="B395" s="2" t="str">
        <x:v>AR06</x:v>
      </x:c>
      <x:c r="C395" s="2" t="str">
        <x:v>T2</x:v>
      </x:c>
      <x:c r="D395" s="2" t="str">
        <x:v>L02</x:v>
      </x:c>
      <x:c r="E395" s="2" t="str">
        <x:v>Door sets</x:v>
      </x:c>
      <x:c r="F395" s="21" t="n">
        <x:f>'Controls'!$B$48</x:f>
        <x:v>28</x:v>
      </x:c>
      <x:c r="G395" s="21" t="n">
        <x:v>1</x:v>
      </x:c>
      <x:c r="H395" s="21" t="n">
        <x:v>1</x:v>
      </x:c>
      <x:c r="I395" s="21" t="n">
        <x:v>1</x:v>
      </x:c>
      <x:c r="J395" s="21" t="n">
        <x:v>1</x:v>
      </x:c>
      <x:c r="K395" s="21" t="n">
        <x:f>F395*G395*H395*I395*J395</x:f>
        <x:v>28</x:v>
      </x:c>
      <x:c r="L395" s="2" t="str">
        <x:v>Door count, not double face</x:v>
      </x:c>
      <x:c r="M395" s="2"/>
      <x:c r="N395" s="2"/>
      <x:c r="O395" s="2"/>
      <x:c r="P395" s="2"/>
      <x:c r="Q395" s="2"/>
    </x:row>
    <x:row r="396" ht="22" customHeight="1">
      <x:c r="A396" s="7" t="str">
        <x:v>M0389</x:v>
      </x:c>
      <x:c r="B396" s="7" t="str">
        <x:v>RC03</x:v>
      </x:c>
      <x:c r="C396" s="7" t="str">
        <x:v>T2</x:v>
      </x:c>
      <x:c r="D396" s="7" t="str">
        <x:v>L03</x:v>
      </x:c>
      <x:c r="E396" s="7" t="str">
        <x:v>Floor slab gross</x:v>
      </x:c>
      <x:c r="F396" s="20" t="n">
        <x:v>1</x:v>
      </x:c>
      <x:c r="G396" s="20" t="n">
        <x:f>'Controls'!$B$10</x:f>
        <x:v>30</x:v>
      </x:c>
      <x:c r="H396" s="20" t="n">
        <x:f>'Controls'!$B$11</x:f>
        <x:v>24</x:v>
      </x:c>
      <x:c r="I396" s="20" t="n">
        <x:f>'Controls'!$B$13</x:f>
        <x:v>0.22</x:v>
      </x:c>
      <x:c r="J396" s="20" t="n">
        <x:v>1</x:v>
      </x:c>
      <x:c r="K396" s="20" t="n">
        <x:f>F396*G396*H396*I396*J396</x:f>
        <x:v>158.4</x:v>
      </x:c>
      <x:c r="L396" s="7" t="str">
        <x:v>Slab includes beam top flange; downstand separate</x:v>
      </x:c>
      <x:c r="M396" s="2"/>
      <x:c r="N396" s="2"/>
      <x:c r="O396" s="2"/>
      <x:c r="P396" s="2"/>
      <x:c r="Q396" s="2"/>
    </x:row>
    <x:row r="397" ht="22" customHeight="1">
      <x:c r="A397" s="2" t="str">
        <x:v>M0390</x:v>
      </x:c>
      <x:c r="B397" s="2" t="str">
        <x:v>RC03</x:v>
      </x:c>
      <x:c r="C397" s="2" t="str">
        <x:v>T2</x:v>
      </x:c>
      <x:c r="D397" s="2" t="str">
        <x:v>L03</x:v>
      </x:c>
      <x:c r="E397" s="2" t="str">
        <x:v>Stair opening deduction</x:v>
      </x:c>
      <x:c r="F397" s="21" t="n">
        <x:v>1</x:v>
      </x:c>
      <x:c r="G397" s="21" t="n">
        <x:f>'Controls'!$B$20</x:f>
        <x:v>4</x:v>
      </x:c>
      <x:c r="H397" s="21" t="n">
        <x:f>'Controls'!$B$21</x:f>
        <x:v>6</x:v>
      </x:c>
      <x:c r="I397" s="21" t="n">
        <x:f>'Controls'!$B$13</x:f>
        <x:v>0.22</x:v>
      </x:c>
      <x:c r="J397" s="21" t="n">
        <x:v>-1</x:v>
      </x:c>
      <x:c r="K397" s="21" t="n">
        <x:f>F397*G397*H397*I397*J397</x:f>
        <x:v>-5.28</x:v>
      </x:c>
      <x:c r="L397" s="2" t="str">
        <x:v>Opening OP-01</x:v>
      </x:c>
      <x:c r="M397" s="2"/>
      <x:c r="N397" s="2"/>
      <x:c r="O397" s="2"/>
      <x:c r="P397" s="2"/>
      <x:c r="Q397" s="2"/>
    </x:row>
    <x:row r="398" ht="22" customHeight="1">
      <x:c r="A398" s="7" t="str">
        <x:v>M0391</x:v>
      </x:c>
      <x:c r="B398" s="7" t="str">
        <x:v>RC04</x:v>
      </x:c>
      <x:c r="C398" s="7" t="str">
        <x:v>T2</x:v>
      </x:c>
      <x:c r="D398" s="7" t="str">
        <x:v>L03</x:v>
      </x:c>
      <x:c r="E398" s="7" t="str">
        <x:v>Beam downstands X</x:v>
      </x:c>
      <x:c r="F398" s="20" t="n">
        <x:v>1</x:v>
      </x:c>
      <x:c r="G398" s="20" t="n">
        <x:f>5*5*('Controls'!$B$10/5-'Controls'!$B$14)</x:f>
        <x:v>137.5</x:v>
      </x:c>
      <x:c r="H398" s="20" t="n">
        <x:f>'Controls'!$B$16</x:f>
        <x:v>0.3</x:v>
      </x:c>
      <x:c r="I398" s="20" t="n">
        <x:f>'Controls'!$B$17-'Controls'!$B$13</x:f>
        <x:v>0.38</x:v>
      </x:c>
      <x:c r="J398" s="20" t="n">
        <x:v>1</x:v>
      </x:c>
      <x:c r="K398" s="20" t="n">
        <x:f>F398*G398*H398*I398*J398</x:f>
        <x:v>15.675</x:v>
      </x:c>
      <x:c r="L398" s="7" t="str">
        <x:v>Clear spans between column faces; no joint overlap</x:v>
      </x:c>
      <x:c r="M398" s="2"/>
      <x:c r="N398" s="2"/>
      <x:c r="O398" s="2"/>
      <x:c r="P398" s="2"/>
      <x:c r="Q398" s="2"/>
    </x:row>
    <x:row r="399" ht="22" customHeight="1">
      <x:c r="A399" s="2" t="str">
        <x:v>M0392</x:v>
      </x:c>
      <x:c r="B399" s="2" t="str">
        <x:v>FW02</x:v>
      </x:c>
      <x:c r="C399" s="2" t="str">
        <x:v>T2</x:v>
      </x:c>
      <x:c r="D399" s="2" t="str">
        <x:v>L03</x:v>
      </x:c>
      <x:c r="E399" s="2" t="str">
        <x:v>Beam forms X</x:v>
      </x:c>
      <x:c r="F399" s="21" t="n">
        <x:v>1</x:v>
      </x:c>
      <x:c r="G399" s="21" t="n">
        <x:f>5*5*('Controls'!$B$10/5-'Controls'!$B$14)</x:f>
        <x:v>137.5</x:v>
      </x:c>
      <x:c r="H399" s="21" t="n">
        <x:f>'Controls'!$B$16+2*('Controls'!$B$17-'Controls'!$B$13)</x:f>
        <x:v>1.06</x:v>
      </x:c>
      <x:c r="I399" s="21" t="n">
        <x:v>1</x:v>
      </x:c>
      <x:c r="J399" s="21" t="n">
        <x:v>1</x:v>
      </x:c>
      <x:c r="K399" s="21" t="n">
        <x:f>F399*G399*H399*I399*J399</x:f>
        <x:v>145.75</x:v>
      </x:c>
      <x:c r="L399" s="2" t="str">
        <x:v>Soffit plus two downstand sides</x:v>
      </x:c>
      <x:c r="M399" s="2"/>
      <x:c r="N399" s="2"/>
      <x:c r="O399" s="2"/>
      <x:c r="P399" s="2"/>
      <x:c r="Q399" s="2"/>
    </x:row>
    <x:row r="400" ht="22" customHeight="1">
      <x:c r="A400" s="7" t="str">
        <x:v>M0393</x:v>
      </x:c>
      <x:c r="B400" s="7" t="str">
        <x:v>RC04</x:v>
      </x:c>
      <x:c r="C400" s="7" t="str">
        <x:v>T2</x:v>
      </x:c>
      <x:c r="D400" s="7" t="str">
        <x:v>L03</x:v>
      </x:c>
      <x:c r="E400" s="7" t="str">
        <x:v>Beam downstands Y</x:v>
      </x:c>
      <x:c r="F400" s="20" t="n">
        <x:v>1</x:v>
      </x:c>
      <x:c r="G400" s="20" t="n">
        <x:f>6*4*('Controls'!$B$11/4-'Controls'!$B$15)</x:f>
        <x:v>132</x:v>
      </x:c>
      <x:c r="H400" s="20" t="n">
        <x:f>'Controls'!$B$16</x:f>
        <x:v>0.3</x:v>
      </x:c>
      <x:c r="I400" s="20" t="n">
        <x:f>'Controls'!$B$17-'Controls'!$B$13</x:f>
        <x:v>0.38</x:v>
      </x:c>
      <x:c r="J400" s="20" t="n">
        <x:v>1</x:v>
      </x:c>
      <x:c r="K400" s="20" t="n">
        <x:f>F400*G400*H400*I400*J400</x:f>
        <x:v>15.048</x:v>
      </x:c>
      <x:c r="L400" s="7" t="str">
        <x:v>Clear spans between column faces; no joint overlap</x:v>
      </x:c>
      <x:c r="M400" s="2"/>
      <x:c r="N400" s="2"/>
      <x:c r="O400" s="2"/>
      <x:c r="P400" s="2"/>
      <x:c r="Q400" s="2"/>
    </x:row>
    <x:row r="401" ht="22" customHeight="1">
      <x:c r="A401" s="2" t="str">
        <x:v>M0394</x:v>
      </x:c>
      <x:c r="B401" s="2" t="str">
        <x:v>FW02</x:v>
      </x:c>
      <x:c r="C401" s="2" t="str">
        <x:v>T2</x:v>
      </x:c>
      <x:c r="D401" s="2" t="str">
        <x:v>L03</x:v>
      </x:c>
      <x:c r="E401" s="2" t="str">
        <x:v>Beam forms Y</x:v>
      </x:c>
      <x:c r="F401" s="21" t="n">
        <x:v>1</x:v>
      </x:c>
      <x:c r="G401" s="21" t="n">
        <x:f>6*4*('Controls'!$B$11/4-'Controls'!$B$15)</x:f>
        <x:v>132</x:v>
      </x:c>
      <x:c r="H401" s="21" t="n">
        <x:f>'Controls'!$B$16+2*('Controls'!$B$17-'Controls'!$B$13)</x:f>
        <x:v>1.06</x:v>
      </x:c>
      <x:c r="I401" s="21" t="n">
        <x:v>1</x:v>
      </x:c>
      <x:c r="J401" s="21" t="n">
        <x:v>1</x:v>
      </x:c>
      <x:c r="K401" s="21" t="n">
        <x:f>F401*G401*H401*I401*J401</x:f>
        <x:v>139.92000000000002</x:v>
      </x:c>
      <x:c r="L401" s="2" t="str">
        <x:v>Soffit plus two downstand sides</x:v>
      </x:c>
      <x:c r="M401" s="2"/>
      <x:c r="N401" s="2"/>
      <x:c r="O401" s="2"/>
      <x:c r="P401" s="2"/>
      <x:c r="Q401" s="2"/>
    </x:row>
    <x:row r="402" ht="22" customHeight="1">
      <x:c r="A402" s="7" t="str">
        <x:v>M0395</x:v>
      </x:c>
      <x:c r="B402" s="7" t="str">
        <x:v>RC05</x:v>
      </x:c>
      <x:c r="C402" s="7" t="str">
        <x:v>T2</x:v>
      </x:c>
      <x:c r="D402" s="7" t="str">
        <x:v>L03</x:v>
      </x:c>
      <x:c r="E402" s="7" t="str">
        <x:v>Thirty columns, clear storey</x:v>
      </x:c>
      <x:c r="F402" s="20" t="n">
        <x:v>30</x:v>
      </x:c>
      <x:c r="G402" s="20" t="n">
        <x:f>'Controls'!$B$14</x:f>
        <x:v>0.5</x:v>
      </x:c>
      <x:c r="H402" s="20" t="n">
        <x:f>'Controls'!$B$15</x:f>
        <x:v>0.5</x:v>
      </x:c>
      <x:c r="I402" s="20" t="n">
        <x:f>'Controls'!$B$12-'Controls'!$B$13</x:f>
        <x:v>2.98</x:v>
      </x:c>
      <x:c r="J402" s="20" t="n">
        <x:v>1</x:v>
      </x:c>
      <x:c r="K402" s="20" t="n">
        <x:f>F402*G402*H402*I402*J402</x:f>
        <x:v>22.35</x:v>
      </x:c>
      <x:c r="L402" s="7" t="str">
        <x:v>Slab volume excluded from columns</x:v>
      </x:c>
      <x:c r="M402" s="2"/>
      <x:c r="N402" s="2"/>
      <x:c r="O402" s="2"/>
      <x:c r="P402" s="2"/>
      <x:c r="Q402" s="2"/>
    </x:row>
    <x:row r="403" ht="22" customHeight="1">
      <x:c r="A403" s="2" t="str">
        <x:v>M0396</x:v>
      </x:c>
      <x:c r="B403" s="2" t="str">
        <x:v>RC06</x:v>
      </x:c>
      <x:c r="C403" s="2" t="str">
        <x:v>T2</x:v>
      </x:c>
      <x:c r="D403" s="2" t="str">
        <x:v>L03</x:v>
      </x:c>
      <x:c r="E403" s="2" t="str">
        <x:v>Core walls clear storey</x:v>
      </x:c>
      <x:c r="F403" s="21" t="n">
        <x:v>1</x:v>
      </x:c>
      <x:c r="G403" s="21" t="n">
        <x:f>'Controls'!$B$19</x:f>
        <x:v>24</x:v>
      </x:c>
      <x:c r="H403" s="21" t="n">
        <x:f>'Controls'!$B$18</x:f>
        <x:v>0.25</x:v>
      </x:c>
      <x:c r="I403" s="21" t="n">
        <x:f>'Controls'!$B$12-'Controls'!$B$13</x:f>
        <x:v>2.98</x:v>
      </x:c>
      <x:c r="J403" s="21" t="n">
        <x:v>1</x:v>
      </x:c>
      <x:c r="K403" s="21" t="n">
        <x:f>F403*G403*H403*I403*J403</x:f>
        <x:v>17.88</x:v>
      </x:c>
      <x:c r="L403" s="2" t="str">
        <x:v>Net clear wall length excludes corners</x:v>
      </x:c>
      <x:c r="M403" s="2"/>
      <x:c r="N403" s="2"/>
      <x:c r="O403" s="2"/>
      <x:c r="P403" s="2"/>
      <x:c r="Q403" s="2"/>
    </x:row>
    <x:row r="404" ht="22" customHeight="1">
      <x:c r="A404" s="7" t="str">
        <x:v>M0397</x:v>
      </x:c>
      <x:c r="B404" s="7" t="str">
        <x:v>RC07</x:v>
      </x:c>
      <x:c r="C404" s="7" t="str">
        <x:v>T2</x:v>
      </x:c>
      <x:c r="D404" s="7" t="str">
        <x:v>L03</x:v>
      </x:c>
      <x:c r="E404" s="7" t="str">
        <x:v>Stair flights waist</x:v>
      </x:c>
      <x:c r="F404" s="20" t="n">
        <x:v>2</x:v>
      </x:c>
      <x:c r="G404" s="20" t="n">
        <x:v>4.1</x:v>
      </x:c>
      <x:c r="H404" s="20" t="n">
        <x:v>1.2</x:v>
      </x:c>
      <x:c r="I404" s="20" t="n">
        <x:v>0.18</x:v>
      </x:c>
      <x:c r="J404" s="20" t="n">
        <x:v>1</x:v>
      </x:c>
      <x:c r="K404" s="20" t="n">
        <x:f>F404*G404*H404*I404*J404</x:f>
        <x:v>1.7711999999999997</x:v>
      </x:c>
      <x:c r="L404" s="7" t="str">
        <x:v>Two flights; geometry separate from floor slab</x:v>
      </x:c>
      <x:c r="M404" s="2"/>
      <x:c r="N404" s="2"/>
      <x:c r="O404" s="2"/>
      <x:c r="P404" s="2"/>
      <x:c r="Q404" s="2"/>
    </x:row>
    <x:row r="405" ht="22" customHeight="1">
      <x:c r="A405" s="2" t="str">
        <x:v>M0398</x:v>
      </x:c>
      <x:c r="B405" s="2" t="str">
        <x:v>RC07</x:v>
      </x:c>
      <x:c r="C405" s="2" t="str">
        <x:v>T2</x:v>
      </x:c>
      <x:c r="D405" s="2" t="str">
        <x:v>L03</x:v>
      </x:c>
      <x:c r="E405" s="2" t="str">
        <x:v>Stair landings</x:v>
      </x:c>
      <x:c r="F405" s="21" t="n">
        <x:v>2</x:v>
      </x:c>
      <x:c r="G405" s="21" t="n">
        <x:v>2</x:v>
      </x:c>
      <x:c r="H405" s="21" t="n">
        <x:v>1.2</x:v>
      </x:c>
      <x:c r="I405" s="21" t="n">
        <x:v>0.18</x:v>
      </x:c>
      <x:c r="J405" s="21" t="n">
        <x:v>1</x:v>
      </x:c>
      <x:c r="K405" s="21" t="n">
        <x:f>F405*G405*H405*I405*J405</x:f>
        <x:v>0.864</x:v>
      </x:c>
      <x:c r="L405" s="2" t="str">
        <x:v>Within stair opening</x:v>
      </x:c>
      <x:c r="M405" s="2"/>
      <x:c r="N405" s="2"/>
      <x:c r="O405" s="2"/>
      <x:c r="P405" s="2"/>
      <x:c r="Q405" s="2"/>
    </x:row>
    <x:row r="406" ht="22" customHeight="1">
      <x:c r="A406" s="7" t="str">
        <x:v>M0399</x:v>
      </x:c>
      <x:c r="B406" s="7" t="str">
        <x:v>FW01</x:v>
      </x:c>
      <x:c r="C406" s="7" t="str">
        <x:v>T2</x:v>
      </x:c>
      <x:c r="D406" s="7" t="str">
        <x:v>L03</x:v>
      </x:c>
      <x:c r="E406" s="7" t="str">
        <x:v>Slab soffit gross</x:v>
      </x:c>
      <x:c r="F406" s="20" t="n">
        <x:v>1</x:v>
      </x:c>
      <x:c r="G406" s="20" t="n">
        <x:f>'Controls'!$B$10</x:f>
        <x:v>30</x:v>
      </x:c>
      <x:c r="H406" s="20" t="n">
        <x:f>'Controls'!$B$11</x:f>
        <x:v>24</x:v>
      </x:c>
      <x:c r="I406" s="20" t="n">
        <x:v>1</x:v>
      </x:c>
      <x:c r="J406" s="20" t="n">
        <x:v>1</x:v>
      </x:c>
      <x:c r="K406" s="20" t="n">
        <x:f>F406*G406*H406*I406*J406</x:f>
        <x:v>720</x:v>
      </x:c>
      <x:c r="L406" s="7" t="str">
        <x:v>Beam soffit deducted below</x:v>
      </x:c>
      <x:c r="M406" s="2"/>
      <x:c r="N406" s="2"/>
      <x:c r="O406" s="2"/>
      <x:c r="P406" s="2"/>
      <x:c r="Q406" s="2"/>
    </x:row>
    <x:row r="407" ht="22" customHeight="1">
      <x:c r="A407" s="2" t="str">
        <x:v>M0400</x:v>
      </x:c>
      <x:c r="B407" s="2" t="str">
        <x:v>FW01</x:v>
      </x:c>
      <x:c r="C407" s="2" t="str">
        <x:v>T2</x:v>
      </x:c>
      <x:c r="D407" s="2" t="str">
        <x:v>L03</x:v>
      </x:c>
      <x:c r="E407" s="2" t="str">
        <x:v>Stair opening deduction</x:v>
      </x:c>
      <x:c r="F407" s="21" t="n">
        <x:v>1</x:v>
      </x:c>
      <x:c r="G407" s="21" t="n">
        <x:f>'Controls'!$B$20</x:f>
        <x:v>4</x:v>
      </x:c>
      <x:c r="H407" s="21" t="n">
        <x:f>'Controls'!$B$21</x:f>
        <x:v>6</x:v>
      </x:c>
      <x:c r="I407" s="21" t="n">
        <x:v>1</x:v>
      </x:c>
      <x:c r="J407" s="21" t="n">
        <x:v>-1</x:v>
      </x:c>
      <x:c r="K407" s="21" t="n">
        <x:f>F407*G407*H407*I407*J407</x:f>
        <x:v>-24</x:v>
      </x:c>
      <x:c r="L407" s="2" t="str">
        <x:v>OP-01</x:v>
      </x:c>
      <x:c r="M407" s="2"/>
      <x:c r="N407" s="2"/>
      <x:c r="O407" s="2"/>
      <x:c r="P407" s="2"/>
      <x:c r="Q407" s="2"/>
    </x:row>
    <x:row r="408" ht="22" customHeight="1">
      <x:c r="A408" s="7" t="str">
        <x:v>M0401</x:v>
      </x:c>
      <x:c r="B408" s="7" t="str">
        <x:v>FW01</x:v>
      </x:c>
      <x:c r="C408" s="7" t="str">
        <x:v>T2</x:v>
      </x:c>
      <x:c r="D408" s="7" t="str">
        <x:v>L03</x:v>
      </x:c>
      <x:c r="E408" s="7" t="str">
        <x:v>Beam soffit deduction</x:v>
      </x:c>
      <x:c r="F408" s="20" t="n">
        <x:v>1</x:v>
      </x:c>
      <x:c r="G408" s="20" t="n">
        <x:f>5*5*('Controls'!$B$10/5-'Controls'!$B$14)+6*4*('Controls'!$B$11/4-'Controls'!$B$15)</x:f>
        <x:v>269.5</x:v>
      </x:c>
      <x:c r="H408" s="20" t="n">
        <x:f>'Controls'!$B$16</x:f>
        <x:v>0.3</x:v>
      </x:c>
      <x:c r="I408" s="20" t="n">
        <x:v>1</x:v>
      </x:c>
      <x:c r="J408" s="20" t="n">
        <x:v>-1</x:v>
      </x:c>
      <x:c r="K408" s="20" t="n">
        <x:f>F408*G408*H408*I408*J408</x:f>
        <x:v>-80.85</x:v>
      </x:c>
      <x:c r="L408" s="7" t="str">
        <x:v>Beam forms measured in FW02</x:v>
      </x:c>
      <x:c r="M408" s="2"/>
      <x:c r="N408" s="2"/>
      <x:c r="O408" s="2"/>
      <x:c r="P408" s="2"/>
      <x:c r="Q408" s="2"/>
    </x:row>
    <x:row r="409" ht="22" customHeight="1">
      <x:c r="A409" s="2" t="str">
        <x:v>M0402</x:v>
      </x:c>
      <x:c r="B409" s="2" t="str">
        <x:v>FW03</x:v>
      </x:c>
      <x:c r="C409" s="2" t="str">
        <x:v>T2</x:v>
      </x:c>
      <x:c r="D409" s="2" t="str">
        <x:v>L03</x:v>
      </x:c>
      <x:c r="E409" s="2" t="str">
        <x:v>Column four faces</x:v>
      </x:c>
      <x:c r="F409" s="21" t="n">
        <x:v>30</x:v>
      </x:c>
      <x:c r="G409" s="21" t="n">
        <x:f>2*('Controls'!$B$14+'Controls'!$B$15)</x:f>
        <x:v>2</x:v>
      </x:c>
      <x:c r="H409" s="21" t="n">
        <x:f>'Controls'!$B$12-'Controls'!$B$13</x:f>
        <x:v>2.98</x:v>
      </x:c>
      <x:c r="I409" s="21" t="n">
        <x:v>1</x:v>
      </x:c>
      <x:c r="J409" s="21" t="n">
        <x:v>1</x:v>
      </x:c>
      <x:c r="K409" s="21" t="n">
        <x:f>F409*G409*H409*I409*J409</x:f>
        <x:v>178.8</x:v>
      </x:c>
      <x:c r="L409" s="2" t="str">
        <x:v>Clear floor-to-soffit</x:v>
      </x:c>
      <x:c r="M409" s="2"/>
      <x:c r="N409" s="2"/>
      <x:c r="O409" s="2"/>
      <x:c r="P409" s="2"/>
      <x:c r="Q409" s="2"/>
    </x:row>
    <x:row r="410" ht="22" customHeight="1">
      <x:c r="A410" s="7" t="str">
        <x:v>M0403</x:v>
      </x:c>
      <x:c r="B410" s="7" t="str">
        <x:v>FW04</x:v>
      </x:c>
      <x:c r="C410" s="7" t="str">
        <x:v>T2</x:v>
      </x:c>
      <x:c r="D410" s="7" t="str">
        <x:v>L03</x:v>
      </x:c>
      <x:c r="E410" s="7" t="str">
        <x:v>Core wall two faces</x:v>
      </x:c>
      <x:c r="F410" s="20" t="n">
        <x:v>2</x:v>
      </x:c>
      <x:c r="G410" s="20" t="n">
        <x:f>'Controls'!$B$19</x:f>
        <x:v>24</x:v>
      </x:c>
      <x:c r="H410" s="20" t="n">
        <x:f>'Controls'!$B$12-'Controls'!$B$13</x:f>
        <x:v>2.98</x:v>
      </x:c>
      <x:c r="I410" s="20" t="n">
        <x:v>1</x:v>
      </x:c>
      <x:c r="J410" s="20" t="n">
        <x:v>1</x:v>
      </x:c>
      <x:c r="K410" s="20" t="n">
        <x:f>F410*G410*H410*I410*J410</x:f>
        <x:v>143.04</x:v>
      </x:c>
      <x:c r="L410" s="7" t="str">
        <x:v>Net perimeter, no repeated corners</x:v>
      </x:c>
      <x:c r="M410" s="2"/>
      <x:c r="N410" s="2"/>
      <x:c r="O410" s="2"/>
      <x:c r="P410" s="2"/>
      <x:c r="Q410" s="2"/>
    </x:row>
    <x:row r="411" ht="22" customHeight="1">
      <x:c r="A411" s="2" t="str">
        <x:v>M0404</x:v>
      </x:c>
      <x:c r="B411" s="2" t="str">
        <x:v>AR01</x:v>
      </x:c>
      <x:c r="C411" s="2" t="str">
        <x:v>T2</x:v>
      </x:c>
      <x:c r="D411" s="2" t="str">
        <x:v>L03</x:v>
      </x:c>
      <x:c r="E411" s="2" t="str">
        <x:v>Partition walls gross</x:v>
      </x:c>
      <x:c r="F411" s="21" t="n">
        <x:v>1</x:v>
      </x:c>
      <x:c r="G411" s="21" t="n">
        <x:f>'Controls'!$B$45</x:f>
        <x:v>220</x:v>
      </x:c>
      <x:c r="H411" s="21" t="n">
        <x:f>'Controls'!$B$12-'Controls'!$B$13</x:f>
        <x:v>2.98</x:v>
      </x:c>
      <x:c r="I411" s="21" t="n">
        <x:f>'Controls'!$B$46</x:f>
        <x:v>0.15</x:v>
      </x:c>
      <x:c r="J411" s="21" t="n">
        <x:v>1</x:v>
      </x:c>
      <x:c r="K411" s="21" t="n">
        <x:f>F411*G411*H411*I411*J411</x:f>
        <x:v>98.34</x:v>
      </x:c>
      <x:c r="L411" s="2" t="str">
        <x:v>Net openings deducted below</x:v>
      </x:c>
      <x:c r="M411" s="2"/>
      <x:c r="N411" s="2"/>
      <x:c r="O411" s="2"/>
      <x:c r="P411" s="2"/>
      <x:c r="Q411" s="2"/>
    </x:row>
    <x:row r="412" ht="22" customHeight="1">
      <x:c r="A412" s="7" t="str">
        <x:v>M0405</x:v>
      </x:c>
      <x:c r="B412" s="7" t="str">
        <x:v>AR01</x:v>
      </x:c>
      <x:c r="C412" s="7" t="str">
        <x:v>T2</x:v>
      </x:c>
      <x:c r="D412" s="7" t="str">
        <x:v>L03</x:v>
      </x:c>
      <x:c r="E412" s="7" t="str">
        <x:v>Internal doors deduction</x:v>
      </x:c>
      <x:c r="F412" s="20" t="n">
        <x:f>'Controls'!$B$48</x:f>
        <x:v>28</x:v>
      </x:c>
      <x:c r="G412" s="20" t="n">
        <x:f>'Controls'!$B$49</x:f>
        <x:v>0.9</x:v>
      </x:c>
      <x:c r="H412" s="20" t="n">
        <x:f>'Controls'!$B$50</x:f>
        <x:v>2.1</x:v>
      </x:c>
      <x:c r="I412" s="20" t="n">
        <x:f>'Controls'!$B$46</x:f>
        <x:v>0.15</x:v>
      </x:c>
      <x:c r="J412" s="20" t="n">
        <x:v>-1</x:v>
      </x:c>
      <x:c r="K412" s="20" t="n">
        <x:f>F412*G412*H412*I412*J412</x:f>
        <x:v>-7.938</x:v>
      </x:c>
      <x:c r="L412" s="7" t="str">
        <x:v>28 doors per floor, OP-02</x:v>
      </x:c>
      <x:c r="M412" s="2"/>
      <x:c r="N412" s="2"/>
      <x:c r="O412" s="2"/>
      <x:c r="P412" s="2"/>
      <x:c r="Q412" s="2"/>
    </x:row>
    <x:row r="413" ht="22" customHeight="1">
      <x:c r="A413" s="2" t="str">
        <x:v>M0406</x:v>
      </x:c>
      <x:c r="B413" s="2" t="str">
        <x:v>AR02</x:v>
      </x:c>
      <x:c r="C413" s="2" t="str">
        <x:v>T2</x:v>
      </x:c>
      <x:c r="D413" s="2" t="str">
        <x:v>L03</x:v>
      </x:c>
      <x:c r="E413" s="2" t="str">
        <x:v>Internal plaster gross</x:v>
      </x:c>
      <x:c r="F413" s="21" t="n">
        <x:v>2</x:v>
      </x:c>
      <x:c r="G413" s="21" t="n">
        <x:f>'Controls'!$B$45</x:f>
        <x:v>220</x:v>
      </x:c>
      <x:c r="H413" s="21" t="n">
        <x:f>'Controls'!$B$12-'Controls'!$B$13</x:f>
        <x:v>2.98</x:v>
      </x:c>
      <x:c r="I413" s="21" t="n">
        <x:v>1</x:v>
      </x:c>
      <x:c r="J413" s="21" t="n">
        <x:v>1</x:v>
      </x:c>
      <x:c r="K413" s="21" t="n">
        <x:f>F413*G413*H413*I413*J413</x:f>
        <x:v>1311.2</x:v>
      </x:c>
      <x:c r="L413" s="2" t="str">
        <x:v>Both faces of partition walls</x:v>
      </x:c>
      <x:c r="M413" s="2"/>
      <x:c r="N413" s="2"/>
      <x:c r="O413" s="2"/>
      <x:c r="P413" s="2"/>
      <x:c r="Q413" s="2"/>
    </x:row>
    <x:row r="414" ht="22" customHeight="1">
      <x:c r="A414" s="7" t="str">
        <x:v>M0407</x:v>
      </x:c>
      <x:c r="B414" s="7" t="str">
        <x:v>AR02</x:v>
      </x:c>
      <x:c r="C414" s="7" t="str">
        <x:v>T2</x:v>
      </x:c>
      <x:c r="D414" s="7" t="str">
        <x:v>L03</x:v>
      </x:c>
      <x:c r="E414" s="7" t="str">
        <x:v>Door area deduction both faces</x:v>
      </x:c>
      <x:c r="F414" s="20" t="n">
        <x:f>2*'Controls'!$B$48</x:f>
        <x:v>56</x:v>
      </x:c>
      <x:c r="G414" s="20" t="n">
        <x:f>'Controls'!$B$49</x:f>
        <x:v>0.9</x:v>
      </x:c>
      <x:c r="H414" s="20" t="n">
        <x:f>'Controls'!$B$50</x:f>
        <x:v>2.1</x:v>
      </x:c>
      <x:c r="I414" s="20" t="n">
        <x:v>1</x:v>
      </x:c>
      <x:c r="J414" s="20" t="n">
        <x:v>-1</x:v>
      </x:c>
      <x:c r="K414" s="20" t="n">
        <x:f>F414*G414*H414*I414*J414</x:f>
        <x:v>-105.84</x:v>
      </x:c>
      <x:c r="L414" s="7" t="str">
        <x:v>No plaster over openings</x:v>
      </x:c>
      <x:c r="M414" s="2"/>
      <x:c r="N414" s="2"/>
      <x:c r="O414" s="2"/>
      <x:c r="P414" s="2"/>
      <x:c r="Q414" s="2"/>
    </x:row>
    <x:row r="415" ht="22" customHeight="1">
      <x:c r="A415" s="2" t="str">
        <x:v>M0408</x:v>
      </x:c>
      <x:c r="B415" s="2" t="str">
        <x:v>AR03</x:v>
      </x:c>
      <x:c r="C415" s="2" t="str">
        <x:v>T2</x:v>
      </x:c>
      <x:c r="D415" s="2" t="str">
        <x:v>L03</x:v>
      </x:c>
      <x:c r="E415" s="2" t="str">
        <x:v>Floor screed net</x:v>
      </x:c>
      <x:c r="F415" s="21" t="n">
        <x:v>1</x:v>
      </x:c>
      <x:c r="G415" s="21" t="n">
        <x:f>'Controls'!$B$10*'Controls'!$B$11-'Controls'!$B$20*'Controls'!$B$21</x:f>
        <x:v>696</x:v>
      </x:c>
      <x:c r="H415" s="21" t="n">
        <x:v>1</x:v>
      </x:c>
      <x:c r="I415" s="21" t="n">
        <x:v>1</x:v>
      </x:c>
      <x:c r="J415" s="21" t="n">
        <x:v>1</x:v>
      </x:c>
      <x:c r="K415" s="21" t="n">
        <x:f>F415*G415*H415*I415*J415</x:f>
        <x:v>696</x:v>
      </x:c>
      <x:c r="L415" s="2" t="str">
        <x:v>Net structural floor area</x:v>
      </x:c>
      <x:c r="M415" s="2"/>
      <x:c r="N415" s="2"/>
      <x:c r="O415" s="2"/>
      <x:c r="P415" s="2"/>
      <x:c r="Q415" s="2"/>
    </x:row>
    <x:row r="416" ht="22" customHeight="1">
      <x:c r="A416" s="7" t="str">
        <x:v>M0409</x:v>
      </x:c>
      <x:c r="B416" s="7" t="str">
        <x:v>AR04</x:v>
      </x:c>
      <x:c r="C416" s="7" t="str">
        <x:v>T2</x:v>
      </x:c>
      <x:c r="D416" s="7" t="str">
        <x:v>L03</x:v>
      </x:c>
      <x:c r="E416" s="7" t="str">
        <x:v>Floor finish net</x:v>
      </x:c>
      <x:c r="F416" s="20" t="n">
        <x:v>1</x:v>
      </x:c>
      <x:c r="G416" s="20" t="n">
        <x:f>'Controls'!$B$10*'Controls'!$B$11-'Controls'!$B$20*'Controls'!$B$21</x:f>
        <x:v>696</x:v>
      </x:c>
      <x:c r="H416" s="20" t="n">
        <x:v>1</x:v>
      </x:c>
      <x:c r="I416" s="20" t="n">
        <x:v>1</x:v>
      </x:c>
      <x:c r="J416" s="20" t="n">
        <x:v>1</x:v>
      </x:c>
      <x:c r="K416" s="20" t="n">
        <x:f>F416*G416*H416*I416*J416</x:f>
        <x:v>696</x:v>
      </x:c>
      <x:c r="L416" s="7" t="str">
        <x:v>Waste excluded from BOQ</x:v>
      </x:c>
      <x:c r="M416" s="2"/>
      <x:c r="N416" s="2"/>
      <x:c r="O416" s="2"/>
      <x:c r="P416" s="2"/>
      <x:c r="Q416" s="2"/>
    </x:row>
    <x:row r="417" ht="22" customHeight="1">
      <x:c r="A417" s="2" t="str">
        <x:v>M0410</x:v>
      </x:c>
      <x:c r="B417" s="2" t="str">
        <x:v>AR05</x:v>
      </x:c>
      <x:c r="C417" s="2" t="str">
        <x:v>T2</x:v>
      </x:c>
      <x:c r="D417" s="2" t="str">
        <x:v>L03</x:v>
      </x:c>
      <x:c r="E417" s="2" t="str">
        <x:v>Internal wall paint net</x:v>
      </x:c>
      <x:c r="F417" s="21" t="n">
        <x:v>2</x:v>
      </x:c>
      <x:c r="G417" s="21" t="n">
        <x:f>'Controls'!$B$45*('Controls'!$B$12-'Controls'!$B$13)-'Controls'!$B$48*'Controls'!$B$49*'Controls'!$B$50</x:f>
        <x:v>602.6800000000001</x:v>
      </x:c>
      <x:c r="H417" s="21" t="n">
        <x:v>1</x:v>
      </x:c>
      <x:c r="I417" s="21" t="n">
        <x:v>1</x:v>
      </x:c>
      <x:c r="J417" s="21" t="n">
        <x:v>1</x:v>
      </x:c>
      <x:c r="K417" s="21" t="n">
        <x:f>F417*G417*H417*I417*J417</x:f>
        <x:v>1205.3600000000001</x:v>
      </x:c>
      <x:c r="L417" s="2" t="str">
        <x:v>Finished area; two coats priced in rate</x:v>
      </x:c>
      <x:c r="M417" s="2"/>
      <x:c r="N417" s="2"/>
      <x:c r="O417" s="2"/>
      <x:c r="P417" s="2"/>
      <x:c r="Q417" s="2"/>
    </x:row>
    <x:row r="418" ht="22" customHeight="1">
      <x:c r="A418" s="7" t="str">
        <x:v>M0411</x:v>
      </x:c>
      <x:c r="B418" s="7" t="str">
        <x:v>AR06</x:v>
      </x:c>
      <x:c r="C418" s="7" t="str">
        <x:v>T2</x:v>
      </x:c>
      <x:c r="D418" s="7" t="str">
        <x:v>L03</x:v>
      </x:c>
      <x:c r="E418" s="7" t="str">
        <x:v>Door sets</x:v>
      </x:c>
      <x:c r="F418" s="20" t="n">
        <x:f>'Controls'!$B$48</x:f>
        <x:v>28</x:v>
      </x:c>
      <x:c r="G418" s="20" t="n">
        <x:v>1</x:v>
      </x:c>
      <x:c r="H418" s="20" t="n">
        <x:v>1</x:v>
      </x:c>
      <x:c r="I418" s="20" t="n">
        <x:v>1</x:v>
      </x:c>
      <x:c r="J418" s="20" t="n">
        <x:v>1</x:v>
      </x:c>
      <x:c r="K418" s="20" t="n">
        <x:f>F418*G418*H418*I418*J418</x:f>
        <x:v>28</x:v>
      </x:c>
      <x:c r="L418" s="7" t="str">
        <x:v>Door count, not double face</x:v>
      </x:c>
      <x:c r="M418" s="2"/>
      <x:c r="N418" s="2"/>
      <x:c r="O418" s="2"/>
      <x:c r="P418" s="2"/>
      <x:c r="Q418" s="2"/>
    </x:row>
    <x:row r="419" ht="22" customHeight="1">
      <x:c r="A419" s="2" t="str">
        <x:v>M0412</x:v>
      </x:c>
      <x:c r="B419" s="2" t="str">
        <x:v>RC03</x:v>
      </x:c>
      <x:c r="C419" s="2" t="str">
        <x:v>T2</x:v>
      </x:c>
      <x:c r="D419" s="2" t="str">
        <x:v>L04</x:v>
      </x:c>
      <x:c r="E419" s="2" t="str">
        <x:v>Floor slab gross</x:v>
      </x:c>
      <x:c r="F419" s="21" t="n">
        <x:v>1</x:v>
      </x:c>
      <x:c r="G419" s="21" t="n">
        <x:f>'Controls'!$B$10</x:f>
        <x:v>30</x:v>
      </x:c>
      <x:c r="H419" s="21" t="n">
        <x:f>'Controls'!$B$11</x:f>
        <x:v>24</x:v>
      </x:c>
      <x:c r="I419" s="21" t="n">
        <x:f>'Controls'!$B$13</x:f>
        <x:v>0.22</x:v>
      </x:c>
      <x:c r="J419" s="21" t="n">
        <x:v>1</x:v>
      </x:c>
      <x:c r="K419" s="21" t="n">
        <x:f>F419*G419*H419*I419*J419</x:f>
        <x:v>158.4</x:v>
      </x:c>
      <x:c r="L419" s="2" t="str">
        <x:v>Slab includes beam top flange; downstand separate</x:v>
      </x:c>
      <x:c r="M419" s="2"/>
      <x:c r="N419" s="2"/>
      <x:c r="O419" s="2"/>
      <x:c r="P419" s="2"/>
      <x:c r="Q419" s="2"/>
    </x:row>
    <x:row r="420" ht="22" customHeight="1">
      <x:c r="A420" s="7" t="str">
        <x:v>M0413</x:v>
      </x:c>
      <x:c r="B420" s="7" t="str">
        <x:v>RC03</x:v>
      </x:c>
      <x:c r="C420" s="7" t="str">
        <x:v>T2</x:v>
      </x:c>
      <x:c r="D420" s="7" t="str">
        <x:v>L04</x:v>
      </x:c>
      <x:c r="E420" s="7" t="str">
        <x:v>Stair opening deduction</x:v>
      </x:c>
      <x:c r="F420" s="20" t="n">
        <x:v>1</x:v>
      </x:c>
      <x:c r="G420" s="20" t="n">
        <x:f>'Controls'!$B$20</x:f>
        <x:v>4</x:v>
      </x:c>
      <x:c r="H420" s="20" t="n">
        <x:f>'Controls'!$B$21</x:f>
        <x:v>6</x:v>
      </x:c>
      <x:c r="I420" s="20" t="n">
        <x:f>'Controls'!$B$13</x:f>
        <x:v>0.22</x:v>
      </x:c>
      <x:c r="J420" s="20" t="n">
        <x:v>-1</x:v>
      </x:c>
      <x:c r="K420" s="20" t="n">
        <x:f>F420*G420*H420*I420*J420</x:f>
        <x:v>-5.28</x:v>
      </x:c>
      <x:c r="L420" s="7" t="str">
        <x:v>Opening OP-01</x:v>
      </x:c>
      <x:c r="M420" s="2"/>
      <x:c r="N420" s="2"/>
      <x:c r="O420" s="2"/>
      <x:c r="P420" s="2"/>
      <x:c r="Q420" s="2"/>
    </x:row>
    <x:row r="421" ht="22" customHeight="1">
      <x:c r="A421" s="2" t="str">
        <x:v>M0414</x:v>
      </x:c>
      <x:c r="B421" s="2" t="str">
        <x:v>RC04</x:v>
      </x:c>
      <x:c r="C421" s="2" t="str">
        <x:v>T2</x:v>
      </x:c>
      <x:c r="D421" s="2" t="str">
        <x:v>L04</x:v>
      </x:c>
      <x:c r="E421" s="2" t="str">
        <x:v>Beam downstands X</x:v>
      </x:c>
      <x:c r="F421" s="21" t="n">
        <x:v>1</x:v>
      </x:c>
      <x:c r="G421" s="21" t="n">
        <x:f>5*5*('Controls'!$B$10/5-'Controls'!$B$14)</x:f>
        <x:v>137.5</x:v>
      </x:c>
      <x:c r="H421" s="21" t="n">
        <x:f>'Controls'!$B$16</x:f>
        <x:v>0.3</x:v>
      </x:c>
      <x:c r="I421" s="21" t="n">
        <x:f>'Controls'!$B$17-'Controls'!$B$13</x:f>
        <x:v>0.38</x:v>
      </x:c>
      <x:c r="J421" s="21" t="n">
        <x:v>1</x:v>
      </x:c>
      <x:c r="K421" s="21" t="n">
        <x:f>F421*G421*H421*I421*J421</x:f>
        <x:v>15.675</x:v>
      </x:c>
      <x:c r="L421" s="2" t="str">
        <x:v>Clear spans between column faces; no joint overlap</x:v>
      </x:c>
      <x:c r="M421" s="2"/>
      <x:c r="N421" s="2"/>
      <x:c r="O421" s="2"/>
      <x:c r="P421" s="2"/>
      <x:c r="Q421" s="2"/>
    </x:row>
    <x:row r="422" ht="22" customHeight="1">
      <x:c r="A422" s="7" t="str">
        <x:v>M0415</x:v>
      </x:c>
      <x:c r="B422" s="7" t="str">
        <x:v>FW02</x:v>
      </x:c>
      <x:c r="C422" s="7" t="str">
        <x:v>T2</x:v>
      </x:c>
      <x:c r="D422" s="7" t="str">
        <x:v>L04</x:v>
      </x:c>
      <x:c r="E422" s="7" t="str">
        <x:v>Beam forms X</x:v>
      </x:c>
      <x:c r="F422" s="20" t="n">
        <x:v>1</x:v>
      </x:c>
      <x:c r="G422" s="20" t="n">
        <x:f>5*5*('Controls'!$B$10/5-'Controls'!$B$14)</x:f>
        <x:v>137.5</x:v>
      </x:c>
      <x:c r="H422" s="20" t="n">
        <x:f>'Controls'!$B$16+2*('Controls'!$B$17-'Controls'!$B$13)</x:f>
        <x:v>1.06</x:v>
      </x:c>
      <x:c r="I422" s="20" t="n">
        <x:v>1</x:v>
      </x:c>
      <x:c r="J422" s="20" t="n">
        <x:v>1</x:v>
      </x:c>
      <x:c r="K422" s="20" t="n">
        <x:f>F422*G422*H422*I422*J422</x:f>
        <x:v>145.75</x:v>
      </x:c>
      <x:c r="L422" s="7" t="str">
        <x:v>Soffit plus two downstand sides</x:v>
      </x:c>
      <x:c r="M422" s="2"/>
      <x:c r="N422" s="2"/>
      <x:c r="O422" s="2"/>
      <x:c r="P422" s="2"/>
      <x:c r="Q422" s="2"/>
    </x:row>
    <x:row r="423" ht="22" customHeight="1">
      <x:c r="A423" s="2" t="str">
        <x:v>M0416</x:v>
      </x:c>
      <x:c r="B423" s="2" t="str">
        <x:v>RC04</x:v>
      </x:c>
      <x:c r="C423" s="2" t="str">
        <x:v>T2</x:v>
      </x:c>
      <x:c r="D423" s="2" t="str">
        <x:v>L04</x:v>
      </x:c>
      <x:c r="E423" s="2" t="str">
        <x:v>Beam downstands Y</x:v>
      </x:c>
      <x:c r="F423" s="21" t="n">
        <x:v>1</x:v>
      </x:c>
      <x:c r="G423" s="21" t="n">
        <x:f>6*4*('Controls'!$B$11/4-'Controls'!$B$15)</x:f>
        <x:v>132</x:v>
      </x:c>
      <x:c r="H423" s="21" t="n">
        <x:f>'Controls'!$B$16</x:f>
        <x:v>0.3</x:v>
      </x:c>
      <x:c r="I423" s="21" t="n">
        <x:f>'Controls'!$B$17-'Controls'!$B$13</x:f>
        <x:v>0.38</x:v>
      </x:c>
      <x:c r="J423" s="21" t="n">
        <x:v>1</x:v>
      </x:c>
      <x:c r="K423" s="21" t="n">
        <x:f>F423*G423*H423*I423*J423</x:f>
        <x:v>15.048</x:v>
      </x:c>
      <x:c r="L423" s="2" t="str">
        <x:v>Clear spans between column faces; no joint overlap</x:v>
      </x:c>
      <x:c r="M423" s="2"/>
      <x:c r="N423" s="2"/>
      <x:c r="O423" s="2"/>
      <x:c r="P423" s="2"/>
      <x:c r="Q423" s="2"/>
    </x:row>
    <x:row r="424" ht="22" customHeight="1">
      <x:c r="A424" s="7" t="str">
        <x:v>M0417</x:v>
      </x:c>
      <x:c r="B424" s="7" t="str">
        <x:v>FW02</x:v>
      </x:c>
      <x:c r="C424" s="7" t="str">
        <x:v>T2</x:v>
      </x:c>
      <x:c r="D424" s="7" t="str">
        <x:v>L04</x:v>
      </x:c>
      <x:c r="E424" s="7" t="str">
        <x:v>Beam forms Y</x:v>
      </x:c>
      <x:c r="F424" s="20" t="n">
        <x:v>1</x:v>
      </x:c>
      <x:c r="G424" s="20" t="n">
        <x:f>6*4*('Controls'!$B$11/4-'Controls'!$B$15)</x:f>
        <x:v>132</x:v>
      </x:c>
      <x:c r="H424" s="20" t="n">
        <x:f>'Controls'!$B$16+2*('Controls'!$B$17-'Controls'!$B$13)</x:f>
        <x:v>1.06</x:v>
      </x:c>
      <x:c r="I424" s="20" t="n">
        <x:v>1</x:v>
      </x:c>
      <x:c r="J424" s="20" t="n">
        <x:v>1</x:v>
      </x:c>
      <x:c r="K424" s="20" t="n">
        <x:f>F424*G424*H424*I424*J424</x:f>
        <x:v>139.92000000000002</x:v>
      </x:c>
      <x:c r="L424" s="7" t="str">
        <x:v>Soffit plus two downstand sides</x:v>
      </x:c>
      <x:c r="M424" s="2"/>
      <x:c r="N424" s="2"/>
      <x:c r="O424" s="2"/>
      <x:c r="P424" s="2"/>
      <x:c r="Q424" s="2"/>
    </x:row>
    <x:row r="425" ht="22" customHeight="1">
      <x:c r="A425" s="2" t="str">
        <x:v>M0418</x:v>
      </x:c>
      <x:c r="B425" s="2" t="str">
        <x:v>RC05</x:v>
      </x:c>
      <x:c r="C425" s="2" t="str">
        <x:v>T2</x:v>
      </x:c>
      <x:c r="D425" s="2" t="str">
        <x:v>L04</x:v>
      </x:c>
      <x:c r="E425" s="2" t="str">
        <x:v>Thirty columns, clear storey</x:v>
      </x:c>
      <x:c r="F425" s="21" t="n">
        <x:v>30</x:v>
      </x:c>
      <x:c r="G425" s="21" t="n">
        <x:f>'Controls'!$B$14</x:f>
        <x:v>0.5</x:v>
      </x:c>
      <x:c r="H425" s="21" t="n">
        <x:f>'Controls'!$B$15</x:f>
        <x:v>0.5</x:v>
      </x:c>
      <x:c r="I425" s="21" t="n">
        <x:f>'Controls'!$B$12-'Controls'!$B$13</x:f>
        <x:v>2.98</x:v>
      </x:c>
      <x:c r="J425" s="21" t="n">
        <x:v>1</x:v>
      </x:c>
      <x:c r="K425" s="21" t="n">
        <x:f>F425*G425*H425*I425*J425</x:f>
        <x:v>22.35</x:v>
      </x:c>
      <x:c r="L425" s="2" t="str">
        <x:v>Slab volume excluded from columns</x:v>
      </x:c>
      <x:c r="M425" s="2"/>
      <x:c r="N425" s="2"/>
      <x:c r="O425" s="2"/>
      <x:c r="P425" s="2"/>
      <x:c r="Q425" s="2"/>
    </x:row>
    <x:row r="426" ht="22" customHeight="1">
      <x:c r="A426" s="7" t="str">
        <x:v>M0419</x:v>
      </x:c>
      <x:c r="B426" s="7" t="str">
        <x:v>RC06</x:v>
      </x:c>
      <x:c r="C426" s="7" t="str">
        <x:v>T2</x:v>
      </x:c>
      <x:c r="D426" s="7" t="str">
        <x:v>L04</x:v>
      </x:c>
      <x:c r="E426" s="7" t="str">
        <x:v>Core walls clear storey</x:v>
      </x:c>
      <x:c r="F426" s="20" t="n">
        <x:v>1</x:v>
      </x:c>
      <x:c r="G426" s="20" t="n">
        <x:f>'Controls'!$B$19</x:f>
        <x:v>24</x:v>
      </x:c>
      <x:c r="H426" s="20" t="n">
        <x:f>'Controls'!$B$18</x:f>
        <x:v>0.25</x:v>
      </x:c>
      <x:c r="I426" s="20" t="n">
        <x:f>'Controls'!$B$12-'Controls'!$B$13</x:f>
        <x:v>2.98</x:v>
      </x:c>
      <x:c r="J426" s="20" t="n">
        <x:v>1</x:v>
      </x:c>
      <x:c r="K426" s="20" t="n">
        <x:f>F426*G426*H426*I426*J426</x:f>
        <x:v>17.88</x:v>
      </x:c>
      <x:c r="L426" s="7" t="str">
        <x:v>Net clear wall length excludes corners</x:v>
      </x:c>
      <x:c r="M426" s="2"/>
      <x:c r="N426" s="2"/>
      <x:c r="O426" s="2"/>
      <x:c r="P426" s="2"/>
      <x:c r="Q426" s="2"/>
    </x:row>
    <x:row r="427" ht="22" customHeight="1">
      <x:c r="A427" s="2" t="str">
        <x:v>M0420</x:v>
      </x:c>
      <x:c r="B427" s="2" t="str">
        <x:v>RC07</x:v>
      </x:c>
      <x:c r="C427" s="2" t="str">
        <x:v>T2</x:v>
      </x:c>
      <x:c r="D427" s="2" t="str">
        <x:v>L04</x:v>
      </x:c>
      <x:c r="E427" s="2" t="str">
        <x:v>Stair flights waist</x:v>
      </x:c>
      <x:c r="F427" s="21" t="n">
        <x:v>2</x:v>
      </x:c>
      <x:c r="G427" s="21" t="n">
        <x:v>4.1</x:v>
      </x:c>
      <x:c r="H427" s="21" t="n">
        <x:v>1.2</x:v>
      </x:c>
      <x:c r="I427" s="21" t="n">
        <x:v>0.18</x:v>
      </x:c>
      <x:c r="J427" s="21" t="n">
        <x:v>1</x:v>
      </x:c>
      <x:c r="K427" s="21" t="n">
        <x:f>F427*G427*H427*I427*J427</x:f>
        <x:v>1.7711999999999997</x:v>
      </x:c>
      <x:c r="L427" s="2" t="str">
        <x:v>Two flights; geometry separate from floor slab</x:v>
      </x:c>
      <x:c r="M427" s="2"/>
      <x:c r="N427" s="2"/>
      <x:c r="O427" s="2"/>
      <x:c r="P427" s="2"/>
      <x:c r="Q427" s="2"/>
    </x:row>
    <x:row r="428" ht="22" customHeight="1">
      <x:c r="A428" s="7" t="str">
        <x:v>M0421</x:v>
      </x:c>
      <x:c r="B428" s="7" t="str">
        <x:v>RC07</x:v>
      </x:c>
      <x:c r="C428" s="7" t="str">
        <x:v>T2</x:v>
      </x:c>
      <x:c r="D428" s="7" t="str">
        <x:v>L04</x:v>
      </x:c>
      <x:c r="E428" s="7" t="str">
        <x:v>Stair landings</x:v>
      </x:c>
      <x:c r="F428" s="20" t="n">
        <x:v>2</x:v>
      </x:c>
      <x:c r="G428" s="20" t="n">
        <x:v>2</x:v>
      </x:c>
      <x:c r="H428" s="20" t="n">
        <x:v>1.2</x:v>
      </x:c>
      <x:c r="I428" s="20" t="n">
        <x:v>0.18</x:v>
      </x:c>
      <x:c r="J428" s="20" t="n">
        <x:v>1</x:v>
      </x:c>
      <x:c r="K428" s="20" t="n">
        <x:f>F428*G428*H428*I428*J428</x:f>
        <x:v>0.864</x:v>
      </x:c>
      <x:c r="L428" s="7" t="str">
        <x:v>Within stair opening</x:v>
      </x:c>
      <x:c r="M428" s="2"/>
      <x:c r="N428" s="2"/>
      <x:c r="O428" s="2"/>
      <x:c r="P428" s="2"/>
      <x:c r="Q428" s="2"/>
    </x:row>
    <x:row r="429" ht="22" customHeight="1">
      <x:c r="A429" s="2" t="str">
        <x:v>M0422</x:v>
      </x:c>
      <x:c r="B429" s="2" t="str">
        <x:v>FW01</x:v>
      </x:c>
      <x:c r="C429" s="2" t="str">
        <x:v>T2</x:v>
      </x:c>
      <x:c r="D429" s="2" t="str">
        <x:v>L04</x:v>
      </x:c>
      <x:c r="E429" s="2" t="str">
        <x:v>Slab soffit gross</x:v>
      </x:c>
      <x:c r="F429" s="21" t="n">
        <x:v>1</x:v>
      </x:c>
      <x:c r="G429" s="21" t="n">
        <x:f>'Controls'!$B$10</x:f>
        <x:v>30</x:v>
      </x:c>
      <x:c r="H429" s="21" t="n">
        <x:f>'Controls'!$B$11</x:f>
        <x:v>24</x:v>
      </x:c>
      <x:c r="I429" s="21" t="n">
        <x:v>1</x:v>
      </x:c>
      <x:c r="J429" s="21" t="n">
        <x:v>1</x:v>
      </x:c>
      <x:c r="K429" s="21" t="n">
        <x:f>F429*G429*H429*I429*J429</x:f>
        <x:v>720</x:v>
      </x:c>
      <x:c r="L429" s="2" t="str">
        <x:v>Beam soffit deducted below</x:v>
      </x:c>
      <x:c r="M429" s="2"/>
      <x:c r="N429" s="2"/>
      <x:c r="O429" s="2"/>
      <x:c r="P429" s="2"/>
      <x:c r="Q429" s="2"/>
    </x:row>
    <x:row r="430" ht="22" customHeight="1">
      <x:c r="A430" s="7" t="str">
        <x:v>M0423</x:v>
      </x:c>
      <x:c r="B430" s="7" t="str">
        <x:v>FW01</x:v>
      </x:c>
      <x:c r="C430" s="7" t="str">
        <x:v>T2</x:v>
      </x:c>
      <x:c r="D430" s="7" t="str">
        <x:v>L04</x:v>
      </x:c>
      <x:c r="E430" s="7" t="str">
        <x:v>Stair opening deduction</x:v>
      </x:c>
      <x:c r="F430" s="20" t="n">
        <x:v>1</x:v>
      </x:c>
      <x:c r="G430" s="20" t="n">
        <x:f>'Controls'!$B$20</x:f>
        <x:v>4</x:v>
      </x:c>
      <x:c r="H430" s="20" t="n">
        <x:f>'Controls'!$B$21</x:f>
        <x:v>6</x:v>
      </x:c>
      <x:c r="I430" s="20" t="n">
        <x:v>1</x:v>
      </x:c>
      <x:c r="J430" s="20" t="n">
        <x:v>-1</x:v>
      </x:c>
      <x:c r="K430" s="20" t="n">
        <x:f>F430*G430*H430*I430*J430</x:f>
        <x:v>-24</x:v>
      </x:c>
      <x:c r="L430" s="7" t="str">
        <x:v>OP-01</x:v>
      </x:c>
      <x:c r="M430" s="2"/>
      <x:c r="N430" s="2"/>
      <x:c r="O430" s="2"/>
      <x:c r="P430" s="2"/>
      <x:c r="Q430" s="2"/>
    </x:row>
    <x:row r="431" ht="22" customHeight="1">
      <x:c r="A431" s="2" t="str">
        <x:v>M0424</x:v>
      </x:c>
      <x:c r="B431" s="2" t="str">
        <x:v>FW01</x:v>
      </x:c>
      <x:c r="C431" s="2" t="str">
        <x:v>T2</x:v>
      </x:c>
      <x:c r="D431" s="2" t="str">
        <x:v>L04</x:v>
      </x:c>
      <x:c r="E431" s="2" t="str">
        <x:v>Beam soffit deduction</x:v>
      </x:c>
      <x:c r="F431" s="21" t="n">
        <x:v>1</x:v>
      </x:c>
      <x:c r="G431" s="21" t="n">
        <x:f>5*5*('Controls'!$B$10/5-'Controls'!$B$14)+6*4*('Controls'!$B$11/4-'Controls'!$B$15)</x:f>
        <x:v>269.5</x:v>
      </x:c>
      <x:c r="H431" s="21" t="n">
        <x:f>'Controls'!$B$16</x:f>
        <x:v>0.3</x:v>
      </x:c>
      <x:c r="I431" s="21" t="n">
        <x:v>1</x:v>
      </x:c>
      <x:c r="J431" s="21" t="n">
        <x:v>-1</x:v>
      </x:c>
      <x:c r="K431" s="21" t="n">
        <x:f>F431*G431*H431*I431*J431</x:f>
        <x:v>-80.85</x:v>
      </x:c>
      <x:c r="L431" s="2" t="str">
        <x:v>Beam forms measured in FW02</x:v>
      </x:c>
      <x:c r="M431" s="2"/>
      <x:c r="N431" s="2"/>
      <x:c r="O431" s="2"/>
      <x:c r="P431" s="2"/>
      <x:c r="Q431" s="2"/>
    </x:row>
    <x:row r="432" ht="22" customHeight="1">
      <x:c r="A432" s="7" t="str">
        <x:v>M0425</x:v>
      </x:c>
      <x:c r="B432" s="7" t="str">
        <x:v>FW03</x:v>
      </x:c>
      <x:c r="C432" s="7" t="str">
        <x:v>T2</x:v>
      </x:c>
      <x:c r="D432" s="7" t="str">
        <x:v>L04</x:v>
      </x:c>
      <x:c r="E432" s="7" t="str">
        <x:v>Column four faces</x:v>
      </x:c>
      <x:c r="F432" s="20" t="n">
        <x:v>30</x:v>
      </x:c>
      <x:c r="G432" s="20" t="n">
        <x:f>2*('Controls'!$B$14+'Controls'!$B$15)</x:f>
        <x:v>2</x:v>
      </x:c>
      <x:c r="H432" s="20" t="n">
        <x:f>'Controls'!$B$12-'Controls'!$B$13</x:f>
        <x:v>2.98</x:v>
      </x:c>
      <x:c r="I432" s="20" t="n">
        <x:v>1</x:v>
      </x:c>
      <x:c r="J432" s="20" t="n">
        <x:v>1</x:v>
      </x:c>
      <x:c r="K432" s="20" t="n">
        <x:f>F432*G432*H432*I432*J432</x:f>
        <x:v>178.8</x:v>
      </x:c>
      <x:c r="L432" s="7" t="str">
        <x:v>Clear floor-to-soffit</x:v>
      </x:c>
      <x:c r="M432" s="2"/>
      <x:c r="N432" s="2"/>
      <x:c r="O432" s="2"/>
      <x:c r="P432" s="2"/>
      <x:c r="Q432" s="2"/>
    </x:row>
    <x:row r="433" ht="22" customHeight="1">
      <x:c r="A433" s="2" t="str">
        <x:v>M0426</x:v>
      </x:c>
      <x:c r="B433" s="2" t="str">
        <x:v>FW04</x:v>
      </x:c>
      <x:c r="C433" s="2" t="str">
        <x:v>T2</x:v>
      </x:c>
      <x:c r="D433" s="2" t="str">
        <x:v>L04</x:v>
      </x:c>
      <x:c r="E433" s="2" t="str">
        <x:v>Core wall two faces</x:v>
      </x:c>
      <x:c r="F433" s="21" t="n">
        <x:v>2</x:v>
      </x:c>
      <x:c r="G433" s="21" t="n">
        <x:f>'Controls'!$B$19</x:f>
        <x:v>24</x:v>
      </x:c>
      <x:c r="H433" s="21" t="n">
        <x:f>'Controls'!$B$12-'Controls'!$B$13</x:f>
        <x:v>2.98</x:v>
      </x:c>
      <x:c r="I433" s="21" t="n">
        <x:v>1</x:v>
      </x:c>
      <x:c r="J433" s="21" t="n">
        <x:v>1</x:v>
      </x:c>
      <x:c r="K433" s="21" t="n">
        <x:f>F433*G433*H433*I433*J433</x:f>
        <x:v>143.04</x:v>
      </x:c>
      <x:c r="L433" s="2" t="str">
        <x:v>Net perimeter, no repeated corners</x:v>
      </x:c>
      <x:c r="M433" s="2"/>
      <x:c r="N433" s="2"/>
      <x:c r="O433" s="2"/>
      <x:c r="P433" s="2"/>
      <x:c r="Q433" s="2"/>
    </x:row>
    <x:row r="434" ht="22" customHeight="1">
      <x:c r="A434" s="7" t="str">
        <x:v>M0427</x:v>
      </x:c>
      <x:c r="B434" s="7" t="str">
        <x:v>AR01</x:v>
      </x:c>
      <x:c r="C434" s="7" t="str">
        <x:v>T2</x:v>
      </x:c>
      <x:c r="D434" s="7" t="str">
        <x:v>L04</x:v>
      </x:c>
      <x:c r="E434" s="7" t="str">
        <x:v>Partition walls gross</x:v>
      </x:c>
      <x:c r="F434" s="20" t="n">
        <x:v>1</x:v>
      </x:c>
      <x:c r="G434" s="20" t="n">
        <x:f>'Controls'!$B$45</x:f>
        <x:v>220</x:v>
      </x:c>
      <x:c r="H434" s="20" t="n">
        <x:f>'Controls'!$B$12-'Controls'!$B$13</x:f>
        <x:v>2.98</x:v>
      </x:c>
      <x:c r="I434" s="20" t="n">
        <x:f>'Controls'!$B$46</x:f>
        <x:v>0.15</x:v>
      </x:c>
      <x:c r="J434" s="20" t="n">
        <x:v>1</x:v>
      </x:c>
      <x:c r="K434" s="20" t="n">
        <x:f>F434*G434*H434*I434*J434</x:f>
        <x:v>98.34</x:v>
      </x:c>
      <x:c r="L434" s="7" t="str">
        <x:v>Net openings deducted below</x:v>
      </x:c>
      <x:c r="M434" s="2"/>
      <x:c r="N434" s="2"/>
      <x:c r="O434" s="2"/>
      <x:c r="P434" s="2"/>
      <x:c r="Q434" s="2"/>
    </x:row>
    <x:row r="435" ht="22" customHeight="1">
      <x:c r="A435" s="2" t="str">
        <x:v>M0428</x:v>
      </x:c>
      <x:c r="B435" s="2" t="str">
        <x:v>AR01</x:v>
      </x:c>
      <x:c r="C435" s="2" t="str">
        <x:v>T2</x:v>
      </x:c>
      <x:c r="D435" s="2" t="str">
        <x:v>L04</x:v>
      </x:c>
      <x:c r="E435" s="2" t="str">
        <x:v>Internal doors deduction</x:v>
      </x:c>
      <x:c r="F435" s="21" t="n">
        <x:f>'Controls'!$B$48</x:f>
        <x:v>28</x:v>
      </x:c>
      <x:c r="G435" s="21" t="n">
        <x:f>'Controls'!$B$49</x:f>
        <x:v>0.9</x:v>
      </x:c>
      <x:c r="H435" s="21" t="n">
        <x:f>'Controls'!$B$50</x:f>
        <x:v>2.1</x:v>
      </x:c>
      <x:c r="I435" s="21" t="n">
        <x:f>'Controls'!$B$46</x:f>
        <x:v>0.15</x:v>
      </x:c>
      <x:c r="J435" s="21" t="n">
        <x:v>-1</x:v>
      </x:c>
      <x:c r="K435" s="21" t="n">
        <x:f>F435*G435*H435*I435*J435</x:f>
        <x:v>-7.938</x:v>
      </x:c>
      <x:c r="L435" s="2" t="str">
        <x:v>28 doors per floor, OP-02</x:v>
      </x:c>
      <x:c r="M435" s="2"/>
      <x:c r="N435" s="2"/>
      <x:c r="O435" s="2"/>
      <x:c r="P435" s="2"/>
      <x:c r="Q435" s="2"/>
    </x:row>
    <x:row r="436" ht="22" customHeight="1">
      <x:c r="A436" s="7" t="str">
        <x:v>M0429</x:v>
      </x:c>
      <x:c r="B436" s="7" t="str">
        <x:v>AR02</x:v>
      </x:c>
      <x:c r="C436" s="7" t="str">
        <x:v>T2</x:v>
      </x:c>
      <x:c r="D436" s="7" t="str">
        <x:v>L04</x:v>
      </x:c>
      <x:c r="E436" s="7" t="str">
        <x:v>Internal plaster gross</x:v>
      </x:c>
      <x:c r="F436" s="20" t="n">
        <x:v>2</x:v>
      </x:c>
      <x:c r="G436" s="20" t="n">
        <x:f>'Controls'!$B$45</x:f>
        <x:v>220</x:v>
      </x:c>
      <x:c r="H436" s="20" t="n">
        <x:f>'Controls'!$B$12-'Controls'!$B$13</x:f>
        <x:v>2.98</x:v>
      </x:c>
      <x:c r="I436" s="20" t="n">
        <x:v>1</x:v>
      </x:c>
      <x:c r="J436" s="20" t="n">
        <x:v>1</x:v>
      </x:c>
      <x:c r="K436" s="20" t="n">
        <x:f>F436*G436*H436*I436*J436</x:f>
        <x:v>1311.2</x:v>
      </x:c>
      <x:c r="L436" s="7" t="str">
        <x:v>Both faces of partition walls</x:v>
      </x:c>
      <x:c r="M436" s="2"/>
      <x:c r="N436" s="2"/>
      <x:c r="O436" s="2"/>
      <x:c r="P436" s="2"/>
      <x:c r="Q436" s="2"/>
    </x:row>
    <x:row r="437" ht="22" customHeight="1">
      <x:c r="A437" s="2" t="str">
        <x:v>M0430</x:v>
      </x:c>
      <x:c r="B437" s="2" t="str">
        <x:v>AR02</x:v>
      </x:c>
      <x:c r="C437" s="2" t="str">
        <x:v>T2</x:v>
      </x:c>
      <x:c r="D437" s="2" t="str">
        <x:v>L04</x:v>
      </x:c>
      <x:c r="E437" s="2" t="str">
        <x:v>Door area deduction both faces</x:v>
      </x:c>
      <x:c r="F437" s="21" t="n">
        <x:f>2*'Controls'!$B$48</x:f>
        <x:v>56</x:v>
      </x:c>
      <x:c r="G437" s="21" t="n">
        <x:f>'Controls'!$B$49</x:f>
        <x:v>0.9</x:v>
      </x:c>
      <x:c r="H437" s="21" t="n">
        <x:f>'Controls'!$B$50</x:f>
        <x:v>2.1</x:v>
      </x:c>
      <x:c r="I437" s="21" t="n">
        <x:v>1</x:v>
      </x:c>
      <x:c r="J437" s="21" t="n">
        <x:v>-1</x:v>
      </x:c>
      <x:c r="K437" s="21" t="n">
        <x:f>F437*G437*H437*I437*J437</x:f>
        <x:v>-105.84</x:v>
      </x:c>
      <x:c r="L437" s="2" t="str">
        <x:v>No plaster over openings</x:v>
      </x:c>
      <x:c r="M437" s="2"/>
      <x:c r="N437" s="2"/>
      <x:c r="O437" s="2"/>
      <x:c r="P437" s="2"/>
      <x:c r="Q437" s="2"/>
    </x:row>
    <x:row r="438" ht="22" customHeight="1">
      <x:c r="A438" s="7" t="str">
        <x:v>M0431</x:v>
      </x:c>
      <x:c r="B438" s="7" t="str">
        <x:v>AR03</x:v>
      </x:c>
      <x:c r="C438" s="7" t="str">
        <x:v>T2</x:v>
      </x:c>
      <x:c r="D438" s="7" t="str">
        <x:v>L04</x:v>
      </x:c>
      <x:c r="E438" s="7" t="str">
        <x:v>Floor screed net</x:v>
      </x:c>
      <x:c r="F438" s="20" t="n">
        <x:v>1</x:v>
      </x:c>
      <x:c r="G438" s="20" t="n">
        <x:f>'Controls'!$B$10*'Controls'!$B$11-'Controls'!$B$20*'Controls'!$B$21</x:f>
        <x:v>696</x:v>
      </x:c>
      <x:c r="H438" s="20" t="n">
        <x:v>1</x:v>
      </x:c>
      <x:c r="I438" s="20" t="n">
        <x:v>1</x:v>
      </x:c>
      <x:c r="J438" s="20" t="n">
        <x:v>1</x:v>
      </x:c>
      <x:c r="K438" s="20" t="n">
        <x:f>F438*G438*H438*I438*J438</x:f>
        <x:v>696</x:v>
      </x:c>
      <x:c r="L438" s="7" t="str">
        <x:v>Net structural floor area</x:v>
      </x:c>
      <x:c r="M438" s="2"/>
      <x:c r="N438" s="2"/>
      <x:c r="O438" s="2"/>
      <x:c r="P438" s="2"/>
      <x:c r="Q438" s="2"/>
    </x:row>
    <x:row r="439" ht="22" customHeight="1">
      <x:c r="A439" s="2" t="str">
        <x:v>M0432</x:v>
      </x:c>
      <x:c r="B439" s="2" t="str">
        <x:v>AR04</x:v>
      </x:c>
      <x:c r="C439" s="2" t="str">
        <x:v>T2</x:v>
      </x:c>
      <x:c r="D439" s="2" t="str">
        <x:v>L04</x:v>
      </x:c>
      <x:c r="E439" s="2" t="str">
        <x:v>Floor finish net</x:v>
      </x:c>
      <x:c r="F439" s="21" t="n">
        <x:v>1</x:v>
      </x:c>
      <x:c r="G439" s="21" t="n">
        <x:f>'Controls'!$B$10*'Controls'!$B$11-'Controls'!$B$20*'Controls'!$B$21</x:f>
        <x:v>696</x:v>
      </x:c>
      <x:c r="H439" s="21" t="n">
        <x:v>1</x:v>
      </x:c>
      <x:c r="I439" s="21" t="n">
        <x:v>1</x:v>
      </x:c>
      <x:c r="J439" s="21" t="n">
        <x:v>1</x:v>
      </x:c>
      <x:c r="K439" s="21" t="n">
        <x:f>F439*G439*H439*I439*J439</x:f>
        <x:v>696</x:v>
      </x:c>
      <x:c r="L439" s="2" t="str">
        <x:v>Waste excluded from BOQ</x:v>
      </x:c>
      <x:c r="M439" s="2"/>
      <x:c r="N439" s="2"/>
      <x:c r="O439" s="2"/>
      <x:c r="P439" s="2"/>
      <x:c r="Q439" s="2"/>
    </x:row>
    <x:row r="440" ht="22" customHeight="1">
      <x:c r="A440" s="7" t="str">
        <x:v>M0433</x:v>
      </x:c>
      <x:c r="B440" s="7" t="str">
        <x:v>AR05</x:v>
      </x:c>
      <x:c r="C440" s="7" t="str">
        <x:v>T2</x:v>
      </x:c>
      <x:c r="D440" s="7" t="str">
        <x:v>L04</x:v>
      </x:c>
      <x:c r="E440" s="7" t="str">
        <x:v>Internal wall paint net</x:v>
      </x:c>
      <x:c r="F440" s="20" t="n">
        <x:v>2</x:v>
      </x:c>
      <x:c r="G440" s="20" t="n">
        <x:f>'Controls'!$B$45*('Controls'!$B$12-'Controls'!$B$13)-'Controls'!$B$48*'Controls'!$B$49*'Controls'!$B$50</x:f>
        <x:v>602.6800000000001</x:v>
      </x:c>
      <x:c r="H440" s="20" t="n">
        <x:v>1</x:v>
      </x:c>
      <x:c r="I440" s="20" t="n">
        <x:v>1</x:v>
      </x:c>
      <x:c r="J440" s="20" t="n">
        <x:v>1</x:v>
      </x:c>
      <x:c r="K440" s="20" t="n">
        <x:f>F440*G440*H440*I440*J440</x:f>
        <x:v>1205.3600000000001</x:v>
      </x:c>
      <x:c r="L440" s="7" t="str">
        <x:v>Finished area; two coats priced in rate</x:v>
      </x:c>
      <x:c r="M440" s="2"/>
      <x:c r="N440" s="2"/>
      <x:c r="O440" s="2"/>
      <x:c r="P440" s="2"/>
      <x:c r="Q440" s="2"/>
    </x:row>
    <x:row r="441" ht="22" customHeight="1">
      <x:c r="A441" s="2" t="str">
        <x:v>M0434</x:v>
      </x:c>
      <x:c r="B441" s="2" t="str">
        <x:v>AR06</x:v>
      </x:c>
      <x:c r="C441" s="2" t="str">
        <x:v>T2</x:v>
      </x:c>
      <x:c r="D441" s="2" t="str">
        <x:v>L04</x:v>
      </x:c>
      <x:c r="E441" s="2" t="str">
        <x:v>Door sets</x:v>
      </x:c>
      <x:c r="F441" s="21" t="n">
        <x:f>'Controls'!$B$48</x:f>
        <x:v>28</x:v>
      </x:c>
      <x:c r="G441" s="21" t="n">
        <x:v>1</x:v>
      </x:c>
      <x:c r="H441" s="21" t="n">
        <x:v>1</x:v>
      </x:c>
      <x:c r="I441" s="21" t="n">
        <x:v>1</x:v>
      </x:c>
      <x:c r="J441" s="21" t="n">
        <x:v>1</x:v>
      </x:c>
      <x:c r="K441" s="21" t="n">
        <x:f>F441*G441*H441*I441*J441</x:f>
        <x:v>28</x:v>
      </x:c>
      <x:c r="L441" s="2" t="str">
        <x:v>Door count, not double face</x:v>
      </x:c>
      <x:c r="M441" s="2"/>
      <x:c r="N441" s="2"/>
      <x:c r="O441" s="2"/>
      <x:c r="P441" s="2"/>
      <x:c r="Q441" s="2"/>
    </x:row>
    <x:row r="442" ht="22" customHeight="1">
      <x:c r="A442" s="7" t="str">
        <x:v>M0435</x:v>
      </x:c>
      <x:c r="B442" s="7" t="str">
        <x:v>RC03</x:v>
      </x:c>
      <x:c r="C442" s="7" t="str">
        <x:v>T2</x:v>
      </x:c>
      <x:c r="D442" s="7" t="str">
        <x:v>L05</x:v>
      </x:c>
      <x:c r="E442" s="7" t="str">
        <x:v>Floor slab gross</x:v>
      </x:c>
      <x:c r="F442" s="20" t="n">
        <x:v>1</x:v>
      </x:c>
      <x:c r="G442" s="20" t="n">
        <x:f>'Controls'!$B$10</x:f>
        <x:v>30</x:v>
      </x:c>
      <x:c r="H442" s="20" t="n">
        <x:f>'Controls'!$B$11</x:f>
        <x:v>24</x:v>
      </x:c>
      <x:c r="I442" s="20" t="n">
        <x:f>'Controls'!$B$13</x:f>
        <x:v>0.22</x:v>
      </x:c>
      <x:c r="J442" s="20" t="n">
        <x:v>1</x:v>
      </x:c>
      <x:c r="K442" s="20" t="n">
        <x:f>F442*G442*H442*I442*J442</x:f>
        <x:v>158.4</x:v>
      </x:c>
      <x:c r="L442" s="7" t="str">
        <x:v>Slab includes beam top flange; downstand separate</x:v>
      </x:c>
      <x:c r="M442" s="2"/>
      <x:c r="N442" s="2"/>
      <x:c r="O442" s="2"/>
      <x:c r="P442" s="2"/>
      <x:c r="Q442" s="2"/>
    </x:row>
    <x:row r="443" ht="22" customHeight="1">
      <x:c r="A443" s="2" t="str">
        <x:v>M0436</x:v>
      </x:c>
      <x:c r="B443" s="2" t="str">
        <x:v>RC03</x:v>
      </x:c>
      <x:c r="C443" s="2" t="str">
        <x:v>T2</x:v>
      </x:c>
      <x:c r="D443" s="2" t="str">
        <x:v>L05</x:v>
      </x:c>
      <x:c r="E443" s="2" t="str">
        <x:v>Stair opening deduction</x:v>
      </x:c>
      <x:c r="F443" s="21" t="n">
        <x:v>1</x:v>
      </x:c>
      <x:c r="G443" s="21" t="n">
        <x:f>'Controls'!$B$20</x:f>
        <x:v>4</x:v>
      </x:c>
      <x:c r="H443" s="21" t="n">
        <x:f>'Controls'!$B$21</x:f>
        <x:v>6</x:v>
      </x:c>
      <x:c r="I443" s="21" t="n">
        <x:f>'Controls'!$B$13</x:f>
        <x:v>0.22</x:v>
      </x:c>
      <x:c r="J443" s="21" t="n">
        <x:v>-1</x:v>
      </x:c>
      <x:c r="K443" s="21" t="n">
        <x:f>F443*G443*H443*I443*J443</x:f>
        <x:v>-5.28</x:v>
      </x:c>
      <x:c r="L443" s="2" t="str">
        <x:v>Opening OP-01</x:v>
      </x:c>
      <x:c r="M443" s="2"/>
      <x:c r="N443" s="2"/>
      <x:c r="O443" s="2"/>
      <x:c r="P443" s="2"/>
      <x:c r="Q443" s="2"/>
    </x:row>
    <x:row r="444" ht="22" customHeight="1">
      <x:c r="A444" s="7" t="str">
        <x:v>M0437</x:v>
      </x:c>
      <x:c r="B444" s="7" t="str">
        <x:v>RC04</x:v>
      </x:c>
      <x:c r="C444" s="7" t="str">
        <x:v>T2</x:v>
      </x:c>
      <x:c r="D444" s="7" t="str">
        <x:v>L05</x:v>
      </x:c>
      <x:c r="E444" s="7" t="str">
        <x:v>Beam downstands X</x:v>
      </x:c>
      <x:c r="F444" s="20" t="n">
        <x:v>1</x:v>
      </x:c>
      <x:c r="G444" s="20" t="n">
        <x:f>5*5*('Controls'!$B$10/5-'Controls'!$B$14)</x:f>
        <x:v>137.5</x:v>
      </x:c>
      <x:c r="H444" s="20" t="n">
        <x:f>'Controls'!$B$16</x:f>
        <x:v>0.3</x:v>
      </x:c>
      <x:c r="I444" s="20" t="n">
        <x:f>'Controls'!$B$17-'Controls'!$B$13</x:f>
        <x:v>0.38</x:v>
      </x:c>
      <x:c r="J444" s="20" t="n">
        <x:v>1</x:v>
      </x:c>
      <x:c r="K444" s="20" t="n">
        <x:f>F444*G444*H444*I444*J444</x:f>
        <x:v>15.675</x:v>
      </x:c>
      <x:c r="L444" s="7" t="str">
        <x:v>Clear spans between column faces; no joint overlap</x:v>
      </x:c>
      <x:c r="M444" s="2"/>
      <x:c r="N444" s="2"/>
      <x:c r="O444" s="2"/>
      <x:c r="P444" s="2"/>
      <x:c r="Q444" s="2"/>
    </x:row>
    <x:row r="445" ht="22" customHeight="1">
      <x:c r="A445" s="2" t="str">
        <x:v>M0438</x:v>
      </x:c>
      <x:c r="B445" s="2" t="str">
        <x:v>FW02</x:v>
      </x:c>
      <x:c r="C445" s="2" t="str">
        <x:v>T2</x:v>
      </x:c>
      <x:c r="D445" s="2" t="str">
        <x:v>L05</x:v>
      </x:c>
      <x:c r="E445" s="2" t="str">
        <x:v>Beam forms X</x:v>
      </x:c>
      <x:c r="F445" s="21" t="n">
        <x:v>1</x:v>
      </x:c>
      <x:c r="G445" s="21" t="n">
        <x:f>5*5*('Controls'!$B$10/5-'Controls'!$B$14)</x:f>
        <x:v>137.5</x:v>
      </x:c>
      <x:c r="H445" s="21" t="n">
        <x:f>'Controls'!$B$16+2*('Controls'!$B$17-'Controls'!$B$13)</x:f>
        <x:v>1.06</x:v>
      </x:c>
      <x:c r="I445" s="21" t="n">
        <x:v>1</x:v>
      </x:c>
      <x:c r="J445" s="21" t="n">
        <x:v>1</x:v>
      </x:c>
      <x:c r="K445" s="21" t="n">
        <x:f>F445*G445*H445*I445*J445</x:f>
        <x:v>145.75</x:v>
      </x:c>
      <x:c r="L445" s="2" t="str">
        <x:v>Soffit plus two downstand sides</x:v>
      </x:c>
      <x:c r="M445" s="2"/>
      <x:c r="N445" s="2"/>
      <x:c r="O445" s="2"/>
      <x:c r="P445" s="2"/>
      <x:c r="Q445" s="2"/>
    </x:row>
    <x:row r="446" ht="22" customHeight="1">
      <x:c r="A446" s="7" t="str">
        <x:v>M0439</x:v>
      </x:c>
      <x:c r="B446" s="7" t="str">
        <x:v>RC04</x:v>
      </x:c>
      <x:c r="C446" s="7" t="str">
        <x:v>T2</x:v>
      </x:c>
      <x:c r="D446" s="7" t="str">
        <x:v>L05</x:v>
      </x:c>
      <x:c r="E446" s="7" t="str">
        <x:v>Beam downstands Y</x:v>
      </x:c>
      <x:c r="F446" s="20" t="n">
        <x:v>1</x:v>
      </x:c>
      <x:c r="G446" s="20" t="n">
        <x:f>6*4*('Controls'!$B$11/4-'Controls'!$B$15)</x:f>
        <x:v>132</x:v>
      </x:c>
      <x:c r="H446" s="20" t="n">
        <x:f>'Controls'!$B$16</x:f>
        <x:v>0.3</x:v>
      </x:c>
      <x:c r="I446" s="20" t="n">
        <x:f>'Controls'!$B$17-'Controls'!$B$13</x:f>
        <x:v>0.38</x:v>
      </x:c>
      <x:c r="J446" s="20" t="n">
        <x:v>1</x:v>
      </x:c>
      <x:c r="K446" s="20" t="n">
        <x:f>F446*G446*H446*I446*J446</x:f>
        <x:v>15.048</x:v>
      </x:c>
      <x:c r="L446" s="7" t="str">
        <x:v>Clear spans between column faces; no joint overlap</x:v>
      </x:c>
      <x:c r="M446" s="2"/>
      <x:c r="N446" s="2"/>
      <x:c r="O446" s="2"/>
      <x:c r="P446" s="2"/>
      <x:c r="Q446" s="2"/>
    </x:row>
    <x:row r="447" ht="22" customHeight="1">
      <x:c r="A447" s="2" t="str">
        <x:v>M0440</x:v>
      </x:c>
      <x:c r="B447" s="2" t="str">
        <x:v>FW02</x:v>
      </x:c>
      <x:c r="C447" s="2" t="str">
        <x:v>T2</x:v>
      </x:c>
      <x:c r="D447" s="2" t="str">
        <x:v>L05</x:v>
      </x:c>
      <x:c r="E447" s="2" t="str">
        <x:v>Beam forms Y</x:v>
      </x:c>
      <x:c r="F447" s="21" t="n">
        <x:v>1</x:v>
      </x:c>
      <x:c r="G447" s="21" t="n">
        <x:f>6*4*('Controls'!$B$11/4-'Controls'!$B$15)</x:f>
        <x:v>132</x:v>
      </x:c>
      <x:c r="H447" s="21" t="n">
        <x:f>'Controls'!$B$16+2*('Controls'!$B$17-'Controls'!$B$13)</x:f>
        <x:v>1.06</x:v>
      </x:c>
      <x:c r="I447" s="21" t="n">
        <x:v>1</x:v>
      </x:c>
      <x:c r="J447" s="21" t="n">
        <x:v>1</x:v>
      </x:c>
      <x:c r="K447" s="21" t="n">
        <x:f>F447*G447*H447*I447*J447</x:f>
        <x:v>139.92000000000002</x:v>
      </x:c>
      <x:c r="L447" s="2" t="str">
        <x:v>Soffit plus two downstand sides</x:v>
      </x:c>
      <x:c r="M447" s="2"/>
      <x:c r="N447" s="2"/>
      <x:c r="O447" s="2"/>
      <x:c r="P447" s="2"/>
      <x:c r="Q447" s="2"/>
    </x:row>
    <x:row r="448" ht="22" customHeight="1">
      <x:c r="A448" s="7" t="str">
        <x:v>M0441</x:v>
      </x:c>
      <x:c r="B448" s="7" t="str">
        <x:v>RC05</x:v>
      </x:c>
      <x:c r="C448" s="7" t="str">
        <x:v>T2</x:v>
      </x:c>
      <x:c r="D448" s="7" t="str">
        <x:v>L05</x:v>
      </x:c>
      <x:c r="E448" s="7" t="str">
        <x:v>Thirty columns, clear storey</x:v>
      </x:c>
      <x:c r="F448" s="20" t="n">
        <x:v>30</x:v>
      </x:c>
      <x:c r="G448" s="20" t="n">
        <x:f>'Controls'!$B$14</x:f>
        <x:v>0.5</x:v>
      </x:c>
      <x:c r="H448" s="20" t="n">
        <x:f>'Controls'!$B$15</x:f>
        <x:v>0.5</x:v>
      </x:c>
      <x:c r="I448" s="20" t="n">
        <x:f>'Controls'!$B$12-'Controls'!$B$13</x:f>
        <x:v>2.98</x:v>
      </x:c>
      <x:c r="J448" s="20" t="n">
        <x:v>1</x:v>
      </x:c>
      <x:c r="K448" s="20" t="n">
        <x:f>F448*G448*H448*I448*J448</x:f>
        <x:v>22.35</x:v>
      </x:c>
      <x:c r="L448" s="7" t="str">
        <x:v>Slab volume excluded from columns</x:v>
      </x:c>
      <x:c r="M448" s="2"/>
      <x:c r="N448" s="2"/>
      <x:c r="O448" s="2"/>
      <x:c r="P448" s="2"/>
      <x:c r="Q448" s="2"/>
    </x:row>
    <x:row r="449" ht="22" customHeight="1">
      <x:c r="A449" s="2" t="str">
        <x:v>M0442</x:v>
      </x:c>
      <x:c r="B449" s="2" t="str">
        <x:v>RC06</x:v>
      </x:c>
      <x:c r="C449" s="2" t="str">
        <x:v>T2</x:v>
      </x:c>
      <x:c r="D449" s="2" t="str">
        <x:v>L05</x:v>
      </x:c>
      <x:c r="E449" s="2" t="str">
        <x:v>Core walls clear storey</x:v>
      </x:c>
      <x:c r="F449" s="21" t="n">
        <x:v>1</x:v>
      </x:c>
      <x:c r="G449" s="21" t="n">
        <x:f>'Controls'!$B$19</x:f>
        <x:v>24</x:v>
      </x:c>
      <x:c r="H449" s="21" t="n">
        <x:f>'Controls'!$B$18</x:f>
        <x:v>0.25</x:v>
      </x:c>
      <x:c r="I449" s="21" t="n">
        <x:f>'Controls'!$B$12-'Controls'!$B$13</x:f>
        <x:v>2.98</x:v>
      </x:c>
      <x:c r="J449" s="21" t="n">
        <x:v>1</x:v>
      </x:c>
      <x:c r="K449" s="21" t="n">
        <x:f>F449*G449*H449*I449*J449</x:f>
        <x:v>17.88</x:v>
      </x:c>
      <x:c r="L449" s="2" t="str">
        <x:v>Net clear wall length excludes corners</x:v>
      </x:c>
      <x:c r="M449" s="2"/>
      <x:c r="N449" s="2"/>
      <x:c r="O449" s="2"/>
      <x:c r="P449" s="2"/>
      <x:c r="Q449" s="2"/>
    </x:row>
    <x:row r="450" ht="22" customHeight="1">
      <x:c r="A450" s="7" t="str">
        <x:v>M0443</x:v>
      </x:c>
      <x:c r="B450" s="7" t="str">
        <x:v>RC07</x:v>
      </x:c>
      <x:c r="C450" s="7" t="str">
        <x:v>T2</x:v>
      </x:c>
      <x:c r="D450" s="7" t="str">
        <x:v>L05</x:v>
      </x:c>
      <x:c r="E450" s="7" t="str">
        <x:v>Stair flights waist</x:v>
      </x:c>
      <x:c r="F450" s="20" t="n">
        <x:v>2</x:v>
      </x:c>
      <x:c r="G450" s="20" t="n">
        <x:v>4.1</x:v>
      </x:c>
      <x:c r="H450" s="20" t="n">
        <x:v>1.2</x:v>
      </x:c>
      <x:c r="I450" s="20" t="n">
        <x:v>0.18</x:v>
      </x:c>
      <x:c r="J450" s="20" t="n">
        <x:v>1</x:v>
      </x:c>
      <x:c r="K450" s="20" t="n">
        <x:f>F450*G450*H450*I450*J450</x:f>
        <x:v>1.7711999999999997</x:v>
      </x:c>
      <x:c r="L450" s="7" t="str">
        <x:v>Two flights; geometry separate from floor slab</x:v>
      </x:c>
      <x:c r="M450" s="2"/>
      <x:c r="N450" s="2"/>
      <x:c r="O450" s="2"/>
      <x:c r="P450" s="2"/>
      <x:c r="Q450" s="2"/>
    </x:row>
    <x:row r="451" ht="22" customHeight="1">
      <x:c r="A451" s="2" t="str">
        <x:v>M0444</x:v>
      </x:c>
      <x:c r="B451" s="2" t="str">
        <x:v>RC07</x:v>
      </x:c>
      <x:c r="C451" s="2" t="str">
        <x:v>T2</x:v>
      </x:c>
      <x:c r="D451" s="2" t="str">
        <x:v>L05</x:v>
      </x:c>
      <x:c r="E451" s="2" t="str">
        <x:v>Stair landings</x:v>
      </x:c>
      <x:c r="F451" s="21" t="n">
        <x:v>2</x:v>
      </x:c>
      <x:c r="G451" s="21" t="n">
        <x:v>2</x:v>
      </x:c>
      <x:c r="H451" s="21" t="n">
        <x:v>1.2</x:v>
      </x:c>
      <x:c r="I451" s="21" t="n">
        <x:v>0.18</x:v>
      </x:c>
      <x:c r="J451" s="21" t="n">
        <x:v>1</x:v>
      </x:c>
      <x:c r="K451" s="21" t="n">
        <x:f>F451*G451*H451*I451*J451</x:f>
        <x:v>0.864</x:v>
      </x:c>
      <x:c r="L451" s="2" t="str">
        <x:v>Within stair opening</x:v>
      </x:c>
      <x:c r="M451" s="2"/>
      <x:c r="N451" s="2"/>
      <x:c r="O451" s="2"/>
      <x:c r="P451" s="2"/>
      <x:c r="Q451" s="2"/>
    </x:row>
    <x:row r="452" ht="22" customHeight="1">
      <x:c r="A452" s="7" t="str">
        <x:v>M0445</x:v>
      </x:c>
      <x:c r="B452" s="7" t="str">
        <x:v>FW01</x:v>
      </x:c>
      <x:c r="C452" s="7" t="str">
        <x:v>T2</x:v>
      </x:c>
      <x:c r="D452" s="7" t="str">
        <x:v>L05</x:v>
      </x:c>
      <x:c r="E452" s="7" t="str">
        <x:v>Slab soffit gross</x:v>
      </x:c>
      <x:c r="F452" s="20" t="n">
        <x:v>1</x:v>
      </x:c>
      <x:c r="G452" s="20" t="n">
        <x:f>'Controls'!$B$10</x:f>
        <x:v>30</x:v>
      </x:c>
      <x:c r="H452" s="20" t="n">
        <x:f>'Controls'!$B$11</x:f>
        <x:v>24</x:v>
      </x:c>
      <x:c r="I452" s="20" t="n">
        <x:v>1</x:v>
      </x:c>
      <x:c r="J452" s="20" t="n">
        <x:v>1</x:v>
      </x:c>
      <x:c r="K452" s="20" t="n">
        <x:f>F452*G452*H452*I452*J452</x:f>
        <x:v>720</x:v>
      </x:c>
      <x:c r="L452" s="7" t="str">
        <x:v>Beam soffit deducted below</x:v>
      </x:c>
      <x:c r="M452" s="2"/>
      <x:c r="N452" s="2"/>
      <x:c r="O452" s="2"/>
      <x:c r="P452" s="2"/>
      <x:c r="Q452" s="2"/>
    </x:row>
    <x:row r="453" ht="22" customHeight="1">
      <x:c r="A453" s="2" t="str">
        <x:v>M0446</x:v>
      </x:c>
      <x:c r="B453" s="2" t="str">
        <x:v>FW01</x:v>
      </x:c>
      <x:c r="C453" s="2" t="str">
        <x:v>T2</x:v>
      </x:c>
      <x:c r="D453" s="2" t="str">
        <x:v>L05</x:v>
      </x:c>
      <x:c r="E453" s="2" t="str">
        <x:v>Stair opening deduction</x:v>
      </x:c>
      <x:c r="F453" s="21" t="n">
        <x:v>1</x:v>
      </x:c>
      <x:c r="G453" s="21" t="n">
        <x:f>'Controls'!$B$20</x:f>
        <x:v>4</x:v>
      </x:c>
      <x:c r="H453" s="21" t="n">
        <x:f>'Controls'!$B$21</x:f>
        <x:v>6</x:v>
      </x:c>
      <x:c r="I453" s="21" t="n">
        <x:v>1</x:v>
      </x:c>
      <x:c r="J453" s="21" t="n">
        <x:v>-1</x:v>
      </x:c>
      <x:c r="K453" s="21" t="n">
        <x:f>F453*G453*H453*I453*J453</x:f>
        <x:v>-24</x:v>
      </x:c>
      <x:c r="L453" s="2" t="str">
        <x:v>OP-01</x:v>
      </x:c>
      <x:c r="M453" s="2"/>
      <x:c r="N453" s="2"/>
      <x:c r="O453" s="2"/>
      <x:c r="P453" s="2"/>
      <x:c r="Q453" s="2"/>
    </x:row>
    <x:row r="454" ht="22" customHeight="1">
      <x:c r="A454" s="7" t="str">
        <x:v>M0447</x:v>
      </x:c>
      <x:c r="B454" s="7" t="str">
        <x:v>FW01</x:v>
      </x:c>
      <x:c r="C454" s="7" t="str">
        <x:v>T2</x:v>
      </x:c>
      <x:c r="D454" s="7" t="str">
        <x:v>L05</x:v>
      </x:c>
      <x:c r="E454" s="7" t="str">
        <x:v>Beam soffit deduction</x:v>
      </x:c>
      <x:c r="F454" s="20" t="n">
        <x:v>1</x:v>
      </x:c>
      <x:c r="G454" s="20" t="n">
        <x:f>5*5*('Controls'!$B$10/5-'Controls'!$B$14)+6*4*('Controls'!$B$11/4-'Controls'!$B$15)</x:f>
        <x:v>269.5</x:v>
      </x:c>
      <x:c r="H454" s="20" t="n">
        <x:f>'Controls'!$B$16</x:f>
        <x:v>0.3</x:v>
      </x:c>
      <x:c r="I454" s="20" t="n">
        <x:v>1</x:v>
      </x:c>
      <x:c r="J454" s="20" t="n">
        <x:v>-1</x:v>
      </x:c>
      <x:c r="K454" s="20" t="n">
        <x:f>F454*G454*H454*I454*J454</x:f>
        <x:v>-80.85</x:v>
      </x:c>
      <x:c r="L454" s="7" t="str">
        <x:v>Beam forms measured in FW02</x:v>
      </x:c>
      <x:c r="M454" s="2"/>
      <x:c r="N454" s="2"/>
      <x:c r="O454" s="2"/>
      <x:c r="P454" s="2"/>
      <x:c r="Q454" s="2"/>
    </x:row>
    <x:row r="455" ht="22" customHeight="1">
      <x:c r="A455" s="2" t="str">
        <x:v>M0448</x:v>
      </x:c>
      <x:c r="B455" s="2" t="str">
        <x:v>FW03</x:v>
      </x:c>
      <x:c r="C455" s="2" t="str">
        <x:v>T2</x:v>
      </x:c>
      <x:c r="D455" s="2" t="str">
        <x:v>L05</x:v>
      </x:c>
      <x:c r="E455" s="2" t="str">
        <x:v>Column four faces</x:v>
      </x:c>
      <x:c r="F455" s="21" t="n">
        <x:v>30</x:v>
      </x:c>
      <x:c r="G455" s="21" t="n">
        <x:f>2*('Controls'!$B$14+'Controls'!$B$15)</x:f>
        <x:v>2</x:v>
      </x:c>
      <x:c r="H455" s="21" t="n">
        <x:f>'Controls'!$B$12-'Controls'!$B$13</x:f>
        <x:v>2.98</x:v>
      </x:c>
      <x:c r="I455" s="21" t="n">
        <x:v>1</x:v>
      </x:c>
      <x:c r="J455" s="21" t="n">
        <x:v>1</x:v>
      </x:c>
      <x:c r="K455" s="21" t="n">
        <x:f>F455*G455*H455*I455*J455</x:f>
        <x:v>178.8</x:v>
      </x:c>
      <x:c r="L455" s="2" t="str">
        <x:v>Clear floor-to-soffit</x:v>
      </x:c>
      <x:c r="M455" s="2"/>
      <x:c r="N455" s="2"/>
      <x:c r="O455" s="2"/>
      <x:c r="P455" s="2"/>
      <x:c r="Q455" s="2"/>
    </x:row>
    <x:row r="456" ht="22" customHeight="1">
      <x:c r="A456" s="7" t="str">
        <x:v>M0449</x:v>
      </x:c>
      <x:c r="B456" s="7" t="str">
        <x:v>FW04</x:v>
      </x:c>
      <x:c r="C456" s="7" t="str">
        <x:v>T2</x:v>
      </x:c>
      <x:c r="D456" s="7" t="str">
        <x:v>L05</x:v>
      </x:c>
      <x:c r="E456" s="7" t="str">
        <x:v>Core wall two faces</x:v>
      </x:c>
      <x:c r="F456" s="20" t="n">
        <x:v>2</x:v>
      </x:c>
      <x:c r="G456" s="20" t="n">
        <x:f>'Controls'!$B$19</x:f>
        <x:v>24</x:v>
      </x:c>
      <x:c r="H456" s="20" t="n">
        <x:f>'Controls'!$B$12-'Controls'!$B$13</x:f>
        <x:v>2.98</x:v>
      </x:c>
      <x:c r="I456" s="20" t="n">
        <x:v>1</x:v>
      </x:c>
      <x:c r="J456" s="20" t="n">
        <x:v>1</x:v>
      </x:c>
      <x:c r="K456" s="20" t="n">
        <x:f>F456*G456*H456*I456*J456</x:f>
        <x:v>143.04</x:v>
      </x:c>
      <x:c r="L456" s="7" t="str">
        <x:v>Net perimeter, no repeated corners</x:v>
      </x:c>
      <x:c r="M456" s="2"/>
      <x:c r="N456" s="2"/>
      <x:c r="O456" s="2"/>
      <x:c r="P456" s="2"/>
      <x:c r="Q456" s="2"/>
    </x:row>
    <x:row r="457" ht="22" customHeight="1">
      <x:c r="A457" s="2" t="str">
        <x:v>M0450</x:v>
      </x:c>
      <x:c r="B457" s="2" t="str">
        <x:v>AR01</x:v>
      </x:c>
      <x:c r="C457" s="2" t="str">
        <x:v>T2</x:v>
      </x:c>
      <x:c r="D457" s="2" t="str">
        <x:v>L05</x:v>
      </x:c>
      <x:c r="E457" s="2" t="str">
        <x:v>Partition walls gross</x:v>
      </x:c>
      <x:c r="F457" s="21" t="n">
        <x:v>1</x:v>
      </x:c>
      <x:c r="G457" s="21" t="n">
        <x:f>'Controls'!$B$45</x:f>
        <x:v>220</x:v>
      </x:c>
      <x:c r="H457" s="21" t="n">
        <x:f>'Controls'!$B$12-'Controls'!$B$13</x:f>
        <x:v>2.98</x:v>
      </x:c>
      <x:c r="I457" s="21" t="n">
        <x:f>'Controls'!$B$46</x:f>
        <x:v>0.15</x:v>
      </x:c>
      <x:c r="J457" s="21" t="n">
        <x:v>1</x:v>
      </x:c>
      <x:c r="K457" s="21" t="n">
        <x:f>F457*G457*H457*I457*J457</x:f>
        <x:v>98.34</x:v>
      </x:c>
      <x:c r="L457" s="2" t="str">
        <x:v>Net openings deducted below</x:v>
      </x:c>
      <x:c r="M457" s="2"/>
      <x:c r="N457" s="2"/>
      <x:c r="O457" s="2"/>
      <x:c r="P457" s="2"/>
      <x:c r="Q457" s="2"/>
    </x:row>
    <x:row r="458" ht="22" customHeight="1">
      <x:c r="A458" s="7" t="str">
        <x:v>M0451</x:v>
      </x:c>
      <x:c r="B458" s="7" t="str">
        <x:v>AR01</x:v>
      </x:c>
      <x:c r="C458" s="7" t="str">
        <x:v>T2</x:v>
      </x:c>
      <x:c r="D458" s="7" t="str">
        <x:v>L05</x:v>
      </x:c>
      <x:c r="E458" s="7" t="str">
        <x:v>Internal doors deduction</x:v>
      </x:c>
      <x:c r="F458" s="20" t="n">
        <x:f>'Controls'!$B$48</x:f>
        <x:v>28</x:v>
      </x:c>
      <x:c r="G458" s="20" t="n">
        <x:f>'Controls'!$B$49</x:f>
        <x:v>0.9</x:v>
      </x:c>
      <x:c r="H458" s="20" t="n">
        <x:f>'Controls'!$B$50</x:f>
        <x:v>2.1</x:v>
      </x:c>
      <x:c r="I458" s="20" t="n">
        <x:f>'Controls'!$B$46</x:f>
        <x:v>0.15</x:v>
      </x:c>
      <x:c r="J458" s="20" t="n">
        <x:v>-1</x:v>
      </x:c>
      <x:c r="K458" s="20" t="n">
        <x:f>F458*G458*H458*I458*J458</x:f>
        <x:v>-7.938</x:v>
      </x:c>
      <x:c r="L458" s="7" t="str">
        <x:v>28 doors per floor, OP-02</x:v>
      </x:c>
      <x:c r="M458" s="2"/>
      <x:c r="N458" s="2"/>
      <x:c r="O458" s="2"/>
      <x:c r="P458" s="2"/>
      <x:c r="Q458" s="2"/>
    </x:row>
    <x:row r="459" ht="22" customHeight="1">
      <x:c r="A459" s="2" t="str">
        <x:v>M0452</x:v>
      </x:c>
      <x:c r="B459" s="2" t="str">
        <x:v>AR02</x:v>
      </x:c>
      <x:c r="C459" s="2" t="str">
        <x:v>T2</x:v>
      </x:c>
      <x:c r="D459" s="2" t="str">
        <x:v>L05</x:v>
      </x:c>
      <x:c r="E459" s="2" t="str">
        <x:v>Internal plaster gross</x:v>
      </x:c>
      <x:c r="F459" s="21" t="n">
        <x:v>2</x:v>
      </x:c>
      <x:c r="G459" s="21" t="n">
        <x:f>'Controls'!$B$45</x:f>
        <x:v>220</x:v>
      </x:c>
      <x:c r="H459" s="21" t="n">
        <x:f>'Controls'!$B$12-'Controls'!$B$13</x:f>
        <x:v>2.98</x:v>
      </x:c>
      <x:c r="I459" s="21" t="n">
        <x:v>1</x:v>
      </x:c>
      <x:c r="J459" s="21" t="n">
        <x:v>1</x:v>
      </x:c>
      <x:c r="K459" s="21" t="n">
        <x:f>F459*G459*H459*I459*J459</x:f>
        <x:v>1311.2</x:v>
      </x:c>
      <x:c r="L459" s="2" t="str">
        <x:v>Both faces of partition walls</x:v>
      </x:c>
      <x:c r="M459" s="2"/>
      <x:c r="N459" s="2"/>
      <x:c r="O459" s="2"/>
      <x:c r="P459" s="2"/>
      <x:c r="Q459" s="2"/>
    </x:row>
    <x:row r="460" ht="22" customHeight="1">
      <x:c r="A460" s="7" t="str">
        <x:v>M0453</x:v>
      </x:c>
      <x:c r="B460" s="7" t="str">
        <x:v>AR02</x:v>
      </x:c>
      <x:c r="C460" s="7" t="str">
        <x:v>T2</x:v>
      </x:c>
      <x:c r="D460" s="7" t="str">
        <x:v>L05</x:v>
      </x:c>
      <x:c r="E460" s="7" t="str">
        <x:v>Door area deduction both faces</x:v>
      </x:c>
      <x:c r="F460" s="20" t="n">
        <x:f>2*'Controls'!$B$48</x:f>
        <x:v>56</x:v>
      </x:c>
      <x:c r="G460" s="20" t="n">
        <x:f>'Controls'!$B$49</x:f>
        <x:v>0.9</x:v>
      </x:c>
      <x:c r="H460" s="20" t="n">
        <x:f>'Controls'!$B$50</x:f>
        <x:v>2.1</x:v>
      </x:c>
      <x:c r="I460" s="20" t="n">
        <x:v>1</x:v>
      </x:c>
      <x:c r="J460" s="20" t="n">
        <x:v>-1</x:v>
      </x:c>
      <x:c r="K460" s="20" t="n">
        <x:f>F460*G460*H460*I460*J460</x:f>
        <x:v>-105.84</x:v>
      </x:c>
      <x:c r="L460" s="7" t="str">
        <x:v>No plaster over openings</x:v>
      </x:c>
      <x:c r="M460" s="2"/>
      <x:c r="N460" s="2"/>
      <x:c r="O460" s="2"/>
      <x:c r="P460" s="2"/>
      <x:c r="Q460" s="2"/>
    </x:row>
    <x:row r="461" ht="22" customHeight="1">
      <x:c r="A461" s="2" t="str">
        <x:v>M0454</x:v>
      </x:c>
      <x:c r="B461" s="2" t="str">
        <x:v>AR03</x:v>
      </x:c>
      <x:c r="C461" s="2" t="str">
        <x:v>T2</x:v>
      </x:c>
      <x:c r="D461" s="2" t="str">
        <x:v>L05</x:v>
      </x:c>
      <x:c r="E461" s="2" t="str">
        <x:v>Floor screed net</x:v>
      </x:c>
      <x:c r="F461" s="21" t="n">
        <x:v>1</x:v>
      </x:c>
      <x:c r="G461" s="21" t="n">
        <x:f>'Controls'!$B$10*'Controls'!$B$11-'Controls'!$B$20*'Controls'!$B$21</x:f>
        <x:v>696</x:v>
      </x:c>
      <x:c r="H461" s="21" t="n">
        <x:v>1</x:v>
      </x:c>
      <x:c r="I461" s="21" t="n">
        <x:v>1</x:v>
      </x:c>
      <x:c r="J461" s="21" t="n">
        <x:v>1</x:v>
      </x:c>
      <x:c r="K461" s="21" t="n">
        <x:f>F461*G461*H461*I461*J461</x:f>
        <x:v>696</x:v>
      </x:c>
      <x:c r="L461" s="2" t="str">
        <x:v>Net structural floor area</x:v>
      </x:c>
      <x:c r="M461" s="2"/>
      <x:c r="N461" s="2"/>
      <x:c r="O461" s="2"/>
      <x:c r="P461" s="2"/>
      <x:c r="Q461" s="2"/>
    </x:row>
    <x:row r="462" ht="22" customHeight="1">
      <x:c r="A462" s="7" t="str">
        <x:v>M0455</x:v>
      </x:c>
      <x:c r="B462" s="7" t="str">
        <x:v>AR04</x:v>
      </x:c>
      <x:c r="C462" s="7" t="str">
        <x:v>T2</x:v>
      </x:c>
      <x:c r="D462" s="7" t="str">
        <x:v>L05</x:v>
      </x:c>
      <x:c r="E462" s="7" t="str">
        <x:v>Floor finish net</x:v>
      </x:c>
      <x:c r="F462" s="20" t="n">
        <x:v>1</x:v>
      </x:c>
      <x:c r="G462" s="20" t="n">
        <x:f>'Controls'!$B$10*'Controls'!$B$11-'Controls'!$B$20*'Controls'!$B$21</x:f>
        <x:v>696</x:v>
      </x:c>
      <x:c r="H462" s="20" t="n">
        <x:v>1</x:v>
      </x:c>
      <x:c r="I462" s="20" t="n">
        <x:v>1</x:v>
      </x:c>
      <x:c r="J462" s="20" t="n">
        <x:v>1</x:v>
      </x:c>
      <x:c r="K462" s="20" t="n">
        <x:f>F462*G462*H462*I462*J462</x:f>
        <x:v>696</x:v>
      </x:c>
      <x:c r="L462" s="7" t="str">
        <x:v>Waste excluded from BOQ</x:v>
      </x:c>
      <x:c r="M462" s="2"/>
      <x:c r="N462" s="2"/>
      <x:c r="O462" s="2"/>
      <x:c r="P462" s="2"/>
      <x:c r="Q462" s="2"/>
    </x:row>
    <x:row r="463" ht="22" customHeight="1">
      <x:c r="A463" s="2" t="str">
        <x:v>M0456</x:v>
      </x:c>
      <x:c r="B463" s="2" t="str">
        <x:v>AR05</x:v>
      </x:c>
      <x:c r="C463" s="2" t="str">
        <x:v>T2</x:v>
      </x:c>
      <x:c r="D463" s="2" t="str">
        <x:v>L05</x:v>
      </x:c>
      <x:c r="E463" s="2" t="str">
        <x:v>Internal wall paint net</x:v>
      </x:c>
      <x:c r="F463" s="21" t="n">
        <x:v>2</x:v>
      </x:c>
      <x:c r="G463" s="21" t="n">
        <x:f>'Controls'!$B$45*('Controls'!$B$12-'Controls'!$B$13)-'Controls'!$B$48*'Controls'!$B$49*'Controls'!$B$50</x:f>
        <x:v>602.6800000000001</x:v>
      </x:c>
      <x:c r="H463" s="21" t="n">
        <x:v>1</x:v>
      </x:c>
      <x:c r="I463" s="21" t="n">
        <x:v>1</x:v>
      </x:c>
      <x:c r="J463" s="21" t="n">
        <x:v>1</x:v>
      </x:c>
      <x:c r="K463" s="21" t="n">
        <x:f>F463*G463*H463*I463*J463</x:f>
        <x:v>1205.3600000000001</x:v>
      </x:c>
      <x:c r="L463" s="2" t="str">
        <x:v>Finished area; two coats priced in rate</x:v>
      </x:c>
      <x:c r="M463" s="2"/>
      <x:c r="N463" s="2"/>
      <x:c r="O463" s="2"/>
      <x:c r="P463" s="2"/>
      <x:c r="Q463" s="2"/>
    </x:row>
    <x:row r="464" ht="22" customHeight="1">
      <x:c r="A464" s="7" t="str">
        <x:v>M0457</x:v>
      </x:c>
      <x:c r="B464" s="7" t="str">
        <x:v>AR06</x:v>
      </x:c>
      <x:c r="C464" s="7" t="str">
        <x:v>T2</x:v>
      </x:c>
      <x:c r="D464" s="7" t="str">
        <x:v>L05</x:v>
      </x:c>
      <x:c r="E464" s="7" t="str">
        <x:v>Door sets</x:v>
      </x:c>
      <x:c r="F464" s="20" t="n">
        <x:f>'Controls'!$B$48</x:f>
        <x:v>28</x:v>
      </x:c>
      <x:c r="G464" s="20" t="n">
        <x:v>1</x:v>
      </x:c>
      <x:c r="H464" s="20" t="n">
        <x:v>1</x:v>
      </x:c>
      <x:c r="I464" s="20" t="n">
        <x:v>1</x:v>
      </x:c>
      <x:c r="J464" s="20" t="n">
        <x:v>1</x:v>
      </x:c>
      <x:c r="K464" s="20" t="n">
        <x:f>F464*G464*H464*I464*J464</x:f>
        <x:v>28</x:v>
      </x:c>
      <x:c r="L464" s="7" t="str">
        <x:v>Door count, not double face</x:v>
      </x:c>
      <x:c r="M464" s="2"/>
      <x:c r="N464" s="2"/>
      <x:c r="O464" s="2"/>
      <x:c r="P464" s="2"/>
      <x:c r="Q464" s="2"/>
    </x:row>
    <x:row r="465" ht="22" customHeight="1">
      <x:c r="A465" s="2" t="str">
        <x:v>M0458</x:v>
      </x:c>
      <x:c r="B465" s="2" t="str">
        <x:v>RC03</x:v>
      </x:c>
      <x:c r="C465" s="2" t="str">
        <x:v>T2</x:v>
      </x:c>
      <x:c r="D465" s="2" t="str">
        <x:v>L06</x:v>
      </x:c>
      <x:c r="E465" s="2" t="str">
        <x:v>Floor slab gross</x:v>
      </x:c>
      <x:c r="F465" s="21" t="n">
        <x:v>1</x:v>
      </x:c>
      <x:c r="G465" s="21" t="n">
        <x:f>'Controls'!$B$10</x:f>
        <x:v>30</x:v>
      </x:c>
      <x:c r="H465" s="21" t="n">
        <x:f>'Controls'!$B$11</x:f>
        <x:v>24</x:v>
      </x:c>
      <x:c r="I465" s="21" t="n">
        <x:f>'Controls'!$B$13</x:f>
        <x:v>0.22</x:v>
      </x:c>
      <x:c r="J465" s="21" t="n">
        <x:v>1</x:v>
      </x:c>
      <x:c r="K465" s="21" t="n">
        <x:f>F465*G465*H465*I465*J465</x:f>
        <x:v>158.4</x:v>
      </x:c>
      <x:c r="L465" s="2" t="str">
        <x:v>Slab includes beam top flange; downstand separate</x:v>
      </x:c>
      <x:c r="M465" s="2"/>
      <x:c r="N465" s="2"/>
      <x:c r="O465" s="2"/>
      <x:c r="P465" s="2"/>
      <x:c r="Q465" s="2"/>
    </x:row>
    <x:row r="466" ht="22" customHeight="1">
      <x:c r="A466" s="7" t="str">
        <x:v>M0459</x:v>
      </x:c>
      <x:c r="B466" s="7" t="str">
        <x:v>RC03</x:v>
      </x:c>
      <x:c r="C466" s="7" t="str">
        <x:v>T2</x:v>
      </x:c>
      <x:c r="D466" s="7" t="str">
        <x:v>L06</x:v>
      </x:c>
      <x:c r="E466" s="7" t="str">
        <x:v>Stair opening deduction</x:v>
      </x:c>
      <x:c r="F466" s="20" t="n">
        <x:v>1</x:v>
      </x:c>
      <x:c r="G466" s="20" t="n">
        <x:f>'Controls'!$B$20</x:f>
        <x:v>4</x:v>
      </x:c>
      <x:c r="H466" s="20" t="n">
        <x:f>'Controls'!$B$21</x:f>
        <x:v>6</x:v>
      </x:c>
      <x:c r="I466" s="20" t="n">
        <x:f>'Controls'!$B$13</x:f>
        <x:v>0.22</x:v>
      </x:c>
      <x:c r="J466" s="20" t="n">
        <x:v>-1</x:v>
      </x:c>
      <x:c r="K466" s="20" t="n">
        <x:f>F466*G466*H466*I466*J466</x:f>
        <x:v>-5.28</x:v>
      </x:c>
      <x:c r="L466" s="7" t="str">
        <x:v>Opening OP-01</x:v>
      </x:c>
      <x:c r="M466" s="2"/>
      <x:c r="N466" s="2"/>
      <x:c r="O466" s="2"/>
      <x:c r="P466" s="2"/>
      <x:c r="Q466" s="2"/>
    </x:row>
    <x:row r="467" ht="22" customHeight="1">
      <x:c r="A467" s="2" t="str">
        <x:v>M0460</x:v>
      </x:c>
      <x:c r="B467" s="2" t="str">
        <x:v>RC04</x:v>
      </x:c>
      <x:c r="C467" s="2" t="str">
        <x:v>T2</x:v>
      </x:c>
      <x:c r="D467" s="2" t="str">
        <x:v>L06</x:v>
      </x:c>
      <x:c r="E467" s="2" t="str">
        <x:v>Beam downstands X</x:v>
      </x:c>
      <x:c r="F467" s="21" t="n">
        <x:v>1</x:v>
      </x:c>
      <x:c r="G467" s="21" t="n">
        <x:f>5*5*('Controls'!$B$10/5-'Controls'!$B$14)</x:f>
        <x:v>137.5</x:v>
      </x:c>
      <x:c r="H467" s="21" t="n">
        <x:f>'Controls'!$B$16</x:f>
        <x:v>0.3</x:v>
      </x:c>
      <x:c r="I467" s="21" t="n">
        <x:f>'Controls'!$B$17-'Controls'!$B$13</x:f>
        <x:v>0.38</x:v>
      </x:c>
      <x:c r="J467" s="21" t="n">
        <x:v>1</x:v>
      </x:c>
      <x:c r="K467" s="21" t="n">
        <x:f>F467*G467*H467*I467*J467</x:f>
        <x:v>15.675</x:v>
      </x:c>
      <x:c r="L467" s="2" t="str">
        <x:v>Clear spans between column faces; no joint overlap</x:v>
      </x:c>
      <x:c r="M467" s="2"/>
      <x:c r="N467" s="2"/>
      <x:c r="O467" s="2"/>
      <x:c r="P467" s="2"/>
      <x:c r="Q467" s="2"/>
    </x:row>
    <x:row r="468" ht="22" customHeight="1">
      <x:c r="A468" s="7" t="str">
        <x:v>M0461</x:v>
      </x:c>
      <x:c r="B468" s="7" t="str">
        <x:v>FW02</x:v>
      </x:c>
      <x:c r="C468" s="7" t="str">
        <x:v>T2</x:v>
      </x:c>
      <x:c r="D468" s="7" t="str">
        <x:v>L06</x:v>
      </x:c>
      <x:c r="E468" s="7" t="str">
        <x:v>Beam forms X</x:v>
      </x:c>
      <x:c r="F468" s="20" t="n">
        <x:v>1</x:v>
      </x:c>
      <x:c r="G468" s="20" t="n">
        <x:f>5*5*('Controls'!$B$10/5-'Controls'!$B$14)</x:f>
        <x:v>137.5</x:v>
      </x:c>
      <x:c r="H468" s="20" t="n">
        <x:f>'Controls'!$B$16+2*('Controls'!$B$17-'Controls'!$B$13)</x:f>
        <x:v>1.06</x:v>
      </x:c>
      <x:c r="I468" s="20" t="n">
        <x:v>1</x:v>
      </x:c>
      <x:c r="J468" s="20" t="n">
        <x:v>1</x:v>
      </x:c>
      <x:c r="K468" s="20" t="n">
        <x:f>F468*G468*H468*I468*J468</x:f>
        <x:v>145.75</x:v>
      </x:c>
      <x:c r="L468" s="7" t="str">
        <x:v>Soffit plus two downstand sides</x:v>
      </x:c>
      <x:c r="M468" s="2"/>
      <x:c r="N468" s="2"/>
      <x:c r="O468" s="2"/>
      <x:c r="P468" s="2"/>
      <x:c r="Q468" s="2"/>
    </x:row>
    <x:row r="469" ht="22" customHeight="1">
      <x:c r="A469" s="2" t="str">
        <x:v>M0462</x:v>
      </x:c>
      <x:c r="B469" s="2" t="str">
        <x:v>RC04</x:v>
      </x:c>
      <x:c r="C469" s="2" t="str">
        <x:v>T2</x:v>
      </x:c>
      <x:c r="D469" s="2" t="str">
        <x:v>L06</x:v>
      </x:c>
      <x:c r="E469" s="2" t="str">
        <x:v>Beam downstands Y</x:v>
      </x:c>
      <x:c r="F469" s="21" t="n">
        <x:v>1</x:v>
      </x:c>
      <x:c r="G469" s="21" t="n">
        <x:f>6*4*('Controls'!$B$11/4-'Controls'!$B$15)</x:f>
        <x:v>132</x:v>
      </x:c>
      <x:c r="H469" s="21" t="n">
        <x:f>'Controls'!$B$16</x:f>
        <x:v>0.3</x:v>
      </x:c>
      <x:c r="I469" s="21" t="n">
        <x:f>'Controls'!$B$17-'Controls'!$B$13</x:f>
        <x:v>0.38</x:v>
      </x:c>
      <x:c r="J469" s="21" t="n">
        <x:v>1</x:v>
      </x:c>
      <x:c r="K469" s="21" t="n">
        <x:f>F469*G469*H469*I469*J469</x:f>
        <x:v>15.048</x:v>
      </x:c>
      <x:c r="L469" s="2" t="str">
        <x:v>Clear spans between column faces; no joint overlap</x:v>
      </x:c>
      <x:c r="M469" s="2"/>
      <x:c r="N469" s="2"/>
      <x:c r="O469" s="2"/>
      <x:c r="P469" s="2"/>
      <x:c r="Q469" s="2"/>
    </x:row>
    <x:row r="470" ht="22" customHeight="1">
      <x:c r="A470" s="7" t="str">
        <x:v>M0463</x:v>
      </x:c>
      <x:c r="B470" s="7" t="str">
        <x:v>FW02</x:v>
      </x:c>
      <x:c r="C470" s="7" t="str">
        <x:v>T2</x:v>
      </x:c>
      <x:c r="D470" s="7" t="str">
        <x:v>L06</x:v>
      </x:c>
      <x:c r="E470" s="7" t="str">
        <x:v>Beam forms Y</x:v>
      </x:c>
      <x:c r="F470" s="20" t="n">
        <x:v>1</x:v>
      </x:c>
      <x:c r="G470" s="20" t="n">
        <x:f>6*4*('Controls'!$B$11/4-'Controls'!$B$15)</x:f>
        <x:v>132</x:v>
      </x:c>
      <x:c r="H470" s="20" t="n">
        <x:f>'Controls'!$B$16+2*('Controls'!$B$17-'Controls'!$B$13)</x:f>
        <x:v>1.06</x:v>
      </x:c>
      <x:c r="I470" s="20" t="n">
        <x:v>1</x:v>
      </x:c>
      <x:c r="J470" s="20" t="n">
        <x:v>1</x:v>
      </x:c>
      <x:c r="K470" s="20" t="n">
        <x:f>F470*G470*H470*I470*J470</x:f>
        <x:v>139.92000000000002</x:v>
      </x:c>
      <x:c r="L470" s="7" t="str">
        <x:v>Soffit plus two downstand sides</x:v>
      </x:c>
      <x:c r="M470" s="2"/>
      <x:c r="N470" s="2"/>
      <x:c r="O470" s="2"/>
      <x:c r="P470" s="2"/>
      <x:c r="Q470" s="2"/>
    </x:row>
    <x:row r="471" ht="22" customHeight="1">
      <x:c r="A471" s="2" t="str">
        <x:v>M0464</x:v>
      </x:c>
      <x:c r="B471" s="2" t="str">
        <x:v>RC05</x:v>
      </x:c>
      <x:c r="C471" s="2" t="str">
        <x:v>T2</x:v>
      </x:c>
      <x:c r="D471" s="2" t="str">
        <x:v>L06</x:v>
      </x:c>
      <x:c r="E471" s="2" t="str">
        <x:v>Thirty columns, clear storey</x:v>
      </x:c>
      <x:c r="F471" s="21" t="n">
        <x:v>30</x:v>
      </x:c>
      <x:c r="G471" s="21" t="n">
        <x:f>'Controls'!$B$14</x:f>
        <x:v>0.5</x:v>
      </x:c>
      <x:c r="H471" s="21" t="n">
        <x:f>'Controls'!$B$15</x:f>
        <x:v>0.5</x:v>
      </x:c>
      <x:c r="I471" s="21" t="n">
        <x:f>'Controls'!$B$12-'Controls'!$B$13</x:f>
        <x:v>2.98</x:v>
      </x:c>
      <x:c r="J471" s="21" t="n">
        <x:v>1</x:v>
      </x:c>
      <x:c r="K471" s="21" t="n">
        <x:f>F471*G471*H471*I471*J471</x:f>
        <x:v>22.35</x:v>
      </x:c>
      <x:c r="L471" s="2" t="str">
        <x:v>Slab volume excluded from columns</x:v>
      </x:c>
      <x:c r="M471" s="2"/>
      <x:c r="N471" s="2"/>
      <x:c r="O471" s="2"/>
      <x:c r="P471" s="2"/>
      <x:c r="Q471" s="2"/>
    </x:row>
    <x:row r="472" ht="22" customHeight="1">
      <x:c r="A472" s="7" t="str">
        <x:v>M0465</x:v>
      </x:c>
      <x:c r="B472" s="7" t="str">
        <x:v>RC06</x:v>
      </x:c>
      <x:c r="C472" s="7" t="str">
        <x:v>T2</x:v>
      </x:c>
      <x:c r="D472" s="7" t="str">
        <x:v>L06</x:v>
      </x:c>
      <x:c r="E472" s="7" t="str">
        <x:v>Core walls clear storey</x:v>
      </x:c>
      <x:c r="F472" s="20" t="n">
        <x:v>1</x:v>
      </x:c>
      <x:c r="G472" s="20" t="n">
        <x:f>'Controls'!$B$19</x:f>
        <x:v>24</x:v>
      </x:c>
      <x:c r="H472" s="20" t="n">
        <x:f>'Controls'!$B$18</x:f>
        <x:v>0.25</x:v>
      </x:c>
      <x:c r="I472" s="20" t="n">
        <x:f>'Controls'!$B$12-'Controls'!$B$13</x:f>
        <x:v>2.98</x:v>
      </x:c>
      <x:c r="J472" s="20" t="n">
        <x:v>1</x:v>
      </x:c>
      <x:c r="K472" s="20" t="n">
        <x:f>F472*G472*H472*I472*J472</x:f>
        <x:v>17.88</x:v>
      </x:c>
      <x:c r="L472" s="7" t="str">
        <x:v>Net clear wall length excludes corners</x:v>
      </x:c>
      <x:c r="M472" s="2"/>
      <x:c r="N472" s="2"/>
      <x:c r="O472" s="2"/>
      <x:c r="P472" s="2"/>
      <x:c r="Q472" s="2"/>
    </x:row>
    <x:row r="473" ht="22" customHeight="1">
      <x:c r="A473" s="2" t="str">
        <x:v>M0466</x:v>
      </x:c>
      <x:c r="B473" s="2" t="str">
        <x:v>RC07</x:v>
      </x:c>
      <x:c r="C473" s="2" t="str">
        <x:v>T2</x:v>
      </x:c>
      <x:c r="D473" s="2" t="str">
        <x:v>L06</x:v>
      </x:c>
      <x:c r="E473" s="2" t="str">
        <x:v>Stair flights waist</x:v>
      </x:c>
      <x:c r="F473" s="21" t="n">
        <x:v>2</x:v>
      </x:c>
      <x:c r="G473" s="21" t="n">
        <x:v>4.1</x:v>
      </x:c>
      <x:c r="H473" s="21" t="n">
        <x:v>1.2</x:v>
      </x:c>
      <x:c r="I473" s="21" t="n">
        <x:v>0.18</x:v>
      </x:c>
      <x:c r="J473" s="21" t="n">
        <x:v>1</x:v>
      </x:c>
      <x:c r="K473" s="21" t="n">
        <x:f>F473*G473*H473*I473*J473</x:f>
        <x:v>1.7711999999999997</x:v>
      </x:c>
      <x:c r="L473" s="2" t="str">
        <x:v>Two flights; geometry separate from floor slab</x:v>
      </x:c>
      <x:c r="M473" s="2"/>
      <x:c r="N473" s="2"/>
      <x:c r="O473" s="2"/>
      <x:c r="P473" s="2"/>
      <x:c r="Q473" s="2"/>
    </x:row>
    <x:row r="474" ht="22" customHeight="1">
      <x:c r="A474" s="7" t="str">
        <x:v>M0467</x:v>
      </x:c>
      <x:c r="B474" s="7" t="str">
        <x:v>RC07</x:v>
      </x:c>
      <x:c r="C474" s="7" t="str">
        <x:v>T2</x:v>
      </x:c>
      <x:c r="D474" s="7" t="str">
        <x:v>L06</x:v>
      </x:c>
      <x:c r="E474" s="7" t="str">
        <x:v>Stair landings</x:v>
      </x:c>
      <x:c r="F474" s="20" t="n">
        <x:v>2</x:v>
      </x:c>
      <x:c r="G474" s="20" t="n">
        <x:v>2</x:v>
      </x:c>
      <x:c r="H474" s="20" t="n">
        <x:v>1.2</x:v>
      </x:c>
      <x:c r="I474" s="20" t="n">
        <x:v>0.18</x:v>
      </x:c>
      <x:c r="J474" s="20" t="n">
        <x:v>1</x:v>
      </x:c>
      <x:c r="K474" s="20" t="n">
        <x:f>F474*G474*H474*I474*J474</x:f>
        <x:v>0.864</x:v>
      </x:c>
      <x:c r="L474" s="7" t="str">
        <x:v>Within stair opening</x:v>
      </x:c>
      <x:c r="M474" s="2"/>
      <x:c r="N474" s="2"/>
      <x:c r="O474" s="2"/>
      <x:c r="P474" s="2"/>
      <x:c r="Q474" s="2"/>
    </x:row>
    <x:row r="475" ht="22" customHeight="1">
      <x:c r="A475" s="2" t="str">
        <x:v>M0468</x:v>
      </x:c>
      <x:c r="B475" s="2" t="str">
        <x:v>FW01</x:v>
      </x:c>
      <x:c r="C475" s="2" t="str">
        <x:v>T2</x:v>
      </x:c>
      <x:c r="D475" s="2" t="str">
        <x:v>L06</x:v>
      </x:c>
      <x:c r="E475" s="2" t="str">
        <x:v>Slab soffit gross</x:v>
      </x:c>
      <x:c r="F475" s="21" t="n">
        <x:v>1</x:v>
      </x:c>
      <x:c r="G475" s="21" t="n">
        <x:f>'Controls'!$B$10</x:f>
        <x:v>30</x:v>
      </x:c>
      <x:c r="H475" s="21" t="n">
        <x:f>'Controls'!$B$11</x:f>
        <x:v>24</x:v>
      </x:c>
      <x:c r="I475" s="21" t="n">
        <x:v>1</x:v>
      </x:c>
      <x:c r="J475" s="21" t="n">
        <x:v>1</x:v>
      </x:c>
      <x:c r="K475" s="21" t="n">
        <x:f>F475*G475*H475*I475*J475</x:f>
        <x:v>720</x:v>
      </x:c>
      <x:c r="L475" s="2" t="str">
        <x:v>Beam soffit deducted below</x:v>
      </x:c>
      <x:c r="M475" s="2"/>
      <x:c r="N475" s="2"/>
      <x:c r="O475" s="2"/>
      <x:c r="P475" s="2"/>
      <x:c r="Q475" s="2"/>
    </x:row>
    <x:row r="476" ht="22" customHeight="1">
      <x:c r="A476" s="7" t="str">
        <x:v>M0469</x:v>
      </x:c>
      <x:c r="B476" s="7" t="str">
        <x:v>FW01</x:v>
      </x:c>
      <x:c r="C476" s="7" t="str">
        <x:v>T2</x:v>
      </x:c>
      <x:c r="D476" s="7" t="str">
        <x:v>L06</x:v>
      </x:c>
      <x:c r="E476" s="7" t="str">
        <x:v>Stair opening deduction</x:v>
      </x:c>
      <x:c r="F476" s="20" t="n">
        <x:v>1</x:v>
      </x:c>
      <x:c r="G476" s="20" t="n">
        <x:f>'Controls'!$B$20</x:f>
        <x:v>4</x:v>
      </x:c>
      <x:c r="H476" s="20" t="n">
        <x:f>'Controls'!$B$21</x:f>
        <x:v>6</x:v>
      </x:c>
      <x:c r="I476" s="20" t="n">
        <x:v>1</x:v>
      </x:c>
      <x:c r="J476" s="20" t="n">
        <x:v>-1</x:v>
      </x:c>
      <x:c r="K476" s="20" t="n">
        <x:f>F476*G476*H476*I476*J476</x:f>
        <x:v>-24</x:v>
      </x:c>
      <x:c r="L476" s="7" t="str">
        <x:v>OP-01</x:v>
      </x:c>
      <x:c r="M476" s="2"/>
      <x:c r="N476" s="2"/>
      <x:c r="O476" s="2"/>
      <x:c r="P476" s="2"/>
      <x:c r="Q476" s="2"/>
    </x:row>
    <x:row r="477" ht="22" customHeight="1">
      <x:c r="A477" s="2" t="str">
        <x:v>M0470</x:v>
      </x:c>
      <x:c r="B477" s="2" t="str">
        <x:v>FW01</x:v>
      </x:c>
      <x:c r="C477" s="2" t="str">
        <x:v>T2</x:v>
      </x:c>
      <x:c r="D477" s="2" t="str">
        <x:v>L06</x:v>
      </x:c>
      <x:c r="E477" s="2" t="str">
        <x:v>Beam soffit deduction</x:v>
      </x:c>
      <x:c r="F477" s="21" t="n">
        <x:v>1</x:v>
      </x:c>
      <x:c r="G477" s="21" t="n">
        <x:f>5*5*('Controls'!$B$10/5-'Controls'!$B$14)+6*4*('Controls'!$B$11/4-'Controls'!$B$15)</x:f>
        <x:v>269.5</x:v>
      </x:c>
      <x:c r="H477" s="21" t="n">
        <x:f>'Controls'!$B$16</x:f>
        <x:v>0.3</x:v>
      </x:c>
      <x:c r="I477" s="21" t="n">
        <x:v>1</x:v>
      </x:c>
      <x:c r="J477" s="21" t="n">
        <x:v>-1</x:v>
      </x:c>
      <x:c r="K477" s="21" t="n">
        <x:f>F477*G477*H477*I477*J477</x:f>
        <x:v>-80.85</x:v>
      </x:c>
      <x:c r="L477" s="2" t="str">
        <x:v>Beam forms measured in FW02</x:v>
      </x:c>
      <x:c r="M477" s="2"/>
      <x:c r="N477" s="2"/>
      <x:c r="O477" s="2"/>
      <x:c r="P477" s="2"/>
      <x:c r="Q477" s="2"/>
    </x:row>
    <x:row r="478" ht="22" customHeight="1">
      <x:c r="A478" s="7" t="str">
        <x:v>M0471</x:v>
      </x:c>
      <x:c r="B478" s="7" t="str">
        <x:v>FW03</x:v>
      </x:c>
      <x:c r="C478" s="7" t="str">
        <x:v>T2</x:v>
      </x:c>
      <x:c r="D478" s="7" t="str">
        <x:v>L06</x:v>
      </x:c>
      <x:c r="E478" s="7" t="str">
        <x:v>Column four faces</x:v>
      </x:c>
      <x:c r="F478" s="20" t="n">
        <x:v>30</x:v>
      </x:c>
      <x:c r="G478" s="20" t="n">
        <x:f>2*('Controls'!$B$14+'Controls'!$B$15)</x:f>
        <x:v>2</x:v>
      </x:c>
      <x:c r="H478" s="20" t="n">
        <x:f>'Controls'!$B$12-'Controls'!$B$13</x:f>
        <x:v>2.98</x:v>
      </x:c>
      <x:c r="I478" s="20" t="n">
        <x:v>1</x:v>
      </x:c>
      <x:c r="J478" s="20" t="n">
        <x:v>1</x:v>
      </x:c>
      <x:c r="K478" s="20" t="n">
        <x:f>F478*G478*H478*I478*J478</x:f>
        <x:v>178.8</x:v>
      </x:c>
      <x:c r="L478" s="7" t="str">
        <x:v>Clear floor-to-soffit</x:v>
      </x:c>
      <x:c r="M478" s="2"/>
      <x:c r="N478" s="2"/>
      <x:c r="O478" s="2"/>
      <x:c r="P478" s="2"/>
      <x:c r="Q478" s="2"/>
    </x:row>
    <x:row r="479" ht="22" customHeight="1">
      <x:c r="A479" s="2" t="str">
        <x:v>M0472</x:v>
      </x:c>
      <x:c r="B479" s="2" t="str">
        <x:v>FW04</x:v>
      </x:c>
      <x:c r="C479" s="2" t="str">
        <x:v>T2</x:v>
      </x:c>
      <x:c r="D479" s="2" t="str">
        <x:v>L06</x:v>
      </x:c>
      <x:c r="E479" s="2" t="str">
        <x:v>Core wall two faces</x:v>
      </x:c>
      <x:c r="F479" s="21" t="n">
        <x:v>2</x:v>
      </x:c>
      <x:c r="G479" s="21" t="n">
        <x:f>'Controls'!$B$19</x:f>
        <x:v>24</x:v>
      </x:c>
      <x:c r="H479" s="21" t="n">
        <x:f>'Controls'!$B$12-'Controls'!$B$13</x:f>
        <x:v>2.98</x:v>
      </x:c>
      <x:c r="I479" s="21" t="n">
        <x:v>1</x:v>
      </x:c>
      <x:c r="J479" s="21" t="n">
        <x:v>1</x:v>
      </x:c>
      <x:c r="K479" s="21" t="n">
        <x:f>F479*G479*H479*I479*J479</x:f>
        <x:v>143.04</x:v>
      </x:c>
      <x:c r="L479" s="2" t="str">
        <x:v>Net perimeter, no repeated corners</x:v>
      </x:c>
      <x:c r="M479" s="2"/>
      <x:c r="N479" s="2"/>
      <x:c r="O479" s="2"/>
      <x:c r="P479" s="2"/>
      <x:c r="Q479" s="2"/>
    </x:row>
    <x:row r="480" ht="22" customHeight="1">
      <x:c r="A480" s="7" t="str">
        <x:v>M0473</x:v>
      </x:c>
      <x:c r="B480" s="7" t="str">
        <x:v>AR01</x:v>
      </x:c>
      <x:c r="C480" s="7" t="str">
        <x:v>T2</x:v>
      </x:c>
      <x:c r="D480" s="7" t="str">
        <x:v>L06</x:v>
      </x:c>
      <x:c r="E480" s="7" t="str">
        <x:v>Partition walls gross</x:v>
      </x:c>
      <x:c r="F480" s="20" t="n">
        <x:v>1</x:v>
      </x:c>
      <x:c r="G480" s="20" t="n">
        <x:f>'Controls'!$B$45</x:f>
        <x:v>220</x:v>
      </x:c>
      <x:c r="H480" s="20" t="n">
        <x:f>'Controls'!$B$12-'Controls'!$B$13</x:f>
        <x:v>2.98</x:v>
      </x:c>
      <x:c r="I480" s="20" t="n">
        <x:f>'Controls'!$B$46</x:f>
        <x:v>0.15</x:v>
      </x:c>
      <x:c r="J480" s="20" t="n">
        <x:v>1</x:v>
      </x:c>
      <x:c r="K480" s="20" t="n">
        <x:f>F480*G480*H480*I480*J480</x:f>
        <x:v>98.34</x:v>
      </x:c>
      <x:c r="L480" s="7" t="str">
        <x:v>Net openings deducted below</x:v>
      </x:c>
      <x:c r="M480" s="2"/>
      <x:c r="N480" s="2"/>
      <x:c r="O480" s="2"/>
      <x:c r="P480" s="2"/>
      <x:c r="Q480" s="2"/>
    </x:row>
    <x:row r="481" ht="22" customHeight="1">
      <x:c r="A481" s="2" t="str">
        <x:v>M0474</x:v>
      </x:c>
      <x:c r="B481" s="2" t="str">
        <x:v>AR01</x:v>
      </x:c>
      <x:c r="C481" s="2" t="str">
        <x:v>T2</x:v>
      </x:c>
      <x:c r="D481" s="2" t="str">
        <x:v>L06</x:v>
      </x:c>
      <x:c r="E481" s="2" t="str">
        <x:v>Internal doors deduction</x:v>
      </x:c>
      <x:c r="F481" s="21" t="n">
        <x:f>'Controls'!$B$48</x:f>
        <x:v>28</x:v>
      </x:c>
      <x:c r="G481" s="21" t="n">
        <x:f>'Controls'!$B$49</x:f>
        <x:v>0.9</x:v>
      </x:c>
      <x:c r="H481" s="21" t="n">
        <x:f>'Controls'!$B$50</x:f>
        <x:v>2.1</x:v>
      </x:c>
      <x:c r="I481" s="21" t="n">
        <x:f>'Controls'!$B$46</x:f>
        <x:v>0.15</x:v>
      </x:c>
      <x:c r="J481" s="21" t="n">
        <x:v>-1</x:v>
      </x:c>
      <x:c r="K481" s="21" t="n">
        <x:f>F481*G481*H481*I481*J481</x:f>
        <x:v>-7.938</x:v>
      </x:c>
      <x:c r="L481" s="2" t="str">
        <x:v>28 doors per floor, OP-02</x:v>
      </x:c>
      <x:c r="M481" s="2"/>
      <x:c r="N481" s="2"/>
      <x:c r="O481" s="2"/>
      <x:c r="P481" s="2"/>
      <x:c r="Q481" s="2"/>
    </x:row>
    <x:row r="482" ht="22" customHeight="1">
      <x:c r="A482" s="7" t="str">
        <x:v>M0475</x:v>
      </x:c>
      <x:c r="B482" s="7" t="str">
        <x:v>AR02</x:v>
      </x:c>
      <x:c r="C482" s="7" t="str">
        <x:v>T2</x:v>
      </x:c>
      <x:c r="D482" s="7" t="str">
        <x:v>L06</x:v>
      </x:c>
      <x:c r="E482" s="7" t="str">
        <x:v>Internal plaster gross</x:v>
      </x:c>
      <x:c r="F482" s="20" t="n">
        <x:v>2</x:v>
      </x:c>
      <x:c r="G482" s="20" t="n">
        <x:f>'Controls'!$B$45</x:f>
        <x:v>220</x:v>
      </x:c>
      <x:c r="H482" s="20" t="n">
        <x:f>'Controls'!$B$12-'Controls'!$B$13</x:f>
        <x:v>2.98</x:v>
      </x:c>
      <x:c r="I482" s="20" t="n">
        <x:v>1</x:v>
      </x:c>
      <x:c r="J482" s="20" t="n">
        <x:v>1</x:v>
      </x:c>
      <x:c r="K482" s="20" t="n">
        <x:f>F482*G482*H482*I482*J482</x:f>
        <x:v>1311.2</x:v>
      </x:c>
      <x:c r="L482" s="7" t="str">
        <x:v>Both faces of partition walls</x:v>
      </x:c>
      <x:c r="M482" s="2"/>
      <x:c r="N482" s="2"/>
      <x:c r="O482" s="2"/>
      <x:c r="P482" s="2"/>
      <x:c r="Q482" s="2"/>
    </x:row>
    <x:row r="483" ht="22" customHeight="1">
      <x:c r="A483" s="2" t="str">
        <x:v>M0476</x:v>
      </x:c>
      <x:c r="B483" s="2" t="str">
        <x:v>AR02</x:v>
      </x:c>
      <x:c r="C483" s="2" t="str">
        <x:v>T2</x:v>
      </x:c>
      <x:c r="D483" s="2" t="str">
        <x:v>L06</x:v>
      </x:c>
      <x:c r="E483" s="2" t="str">
        <x:v>Door area deduction both faces</x:v>
      </x:c>
      <x:c r="F483" s="21" t="n">
        <x:f>2*'Controls'!$B$48</x:f>
        <x:v>56</x:v>
      </x:c>
      <x:c r="G483" s="21" t="n">
        <x:f>'Controls'!$B$49</x:f>
        <x:v>0.9</x:v>
      </x:c>
      <x:c r="H483" s="21" t="n">
        <x:f>'Controls'!$B$50</x:f>
        <x:v>2.1</x:v>
      </x:c>
      <x:c r="I483" s="21" t="n">
        <x:v>1</x:v>
      </x:c>
      <x:c r="J483" s="21" t="n">
        <x:v>-1</x:v>
      </x:c>
      <x:c r="K483" s="21" t="n">
        <x:f>F483*G483*H483*I483*J483</x:f>
        <x:v>-105.84</x:v>
      </x:c>
      <x:c r="L483" s="2" t="str">
        <x:v>No plaster over openings</x:v>
      </x:c>
      <x:c r="M483" s="2"/>
      <x:c r="N483" s="2"/>
      <x:c r="O483" s="2"/>
      <x:c r="P483" s="2"/>
      <x:c r="Q483" s="2"/>
    </x:row>
    <x:row r="484" ht="22" customHeight="1">
      <x:c r="A484" s="7" t="str">
        <x:v>M0477</x:v>
      </x:c>
      <x:c r="B484" s="7" t="str">
        <x:v>AR03</x:v>
      </x:c>
      <x:c r="C484" s="7" t="str">
        <x:v>T2</x:v>
      </x:c>
      <x:c r="D484" s="7" t="str">
        <x:v>L06</x:v>
      </x:c>
      <x:c r="E484" s="7" t="str">
        <x:v>Floor screed net</x:v>
      </x:c>
      <x:c r="F484" s="20" t="n">
        <x:v>1</x:v>
      </x:c>
      <x:c r="G484" s="20" t="n">
        <x:f>'Controls'!$B$10*'Controls'!$B$11-'Controls'!$B$20*'Controls'!$B$21</x:f>
        <x:v>696</x:v>
      </x:c>
      <x:c r="H484" s="20" t="n">
        <x:v>1</x:v>
      </x:c>
      <x:c r="I484" s="20" t="n">
        <x:v>1</x:v>
      </x:c>
      <x:c r="J484" s="20" t="n">
        <x:v>1</x:v>
      </x:c>
      <x:c r="K484" s="20" t="n">
        <x:f>F484*G484*H484*I484*J484</x:f>
        <x:v>696</x:v>
      </x:c>
      <x:c r="L484" s="7" t="str">
        <x:v>Net structural floor area</x:v>
      </x:c>
      <x:c r="M484" s="2"/>
      <x:c r="N484" s="2"/>
      <x:c r="O484" s="2"/>
      <x:c r="P484" s="2"/>
      <x:c r="Q484" s="2"/>
    </x:row>
    <x:row r="485" ht="22" customHeight="1">
      <x:c r="A485" s="2" t="str">
        <x:v>M0478</x:v>
      </x:c>
      <x:c r="B485" s="2" t="str">
        <x:v>AR04</x:v>
      </x:c>
      <x:c r="C485" s="2" t="str">
        <x:v>T2</x:v>
      </x:c>
      <x:c r="D485" s="2" t="str">
        <x:v>L06</x:v>
      </x:c>
      <x:c r="E485" s="2" t="str">
        <x:v>Floor finish net</x:v>
      </x:c>
      <x:c r="F485" s="21" t="n">
        <x:v>1</x:v>
      </x:c>
      <x:c r="G485" s="21" t="n">
        <x:f>'Controls'!$B$10*'Controls'!$B$11-'Controls'!$B$20*'Controls'!$B$21</x:f>
        <x:v>696</x:v>
      </x:c>
      <x:c r="H485" s="21" t="n">
        <x:v>1</x:v>
      </x:c>
      <x:c r="I485" s="21" t="n">
        <x:v>1</x:v>
      </x:c>
      <x:c r="J485" s="21" t="n">
        <x:v>1</x:v>
      </x:c>
      <x:c r="K485" s="21" t="n">
        <x:f>F485*G485*H485*I485*J485</x:f>
        <x:v>696</x:v>
      </x:c>
      <x:c r="L485" s="2" t="str">
        <x:v>Waste excluded from BOQ</x:v>
      </x:c>
      <x:c r="M485" s="2"/>
      <x:c r="N485" s="2"/>
      <x:c r="O485" s="2"/>
      <x:c r="P485" s="2"/>
      <x:c r="Q485" s="2"/>
    </x:row>
    <x:row r="486" ht="22" customHeight="1">
      <x:c r="A486" s="7" t="str">
        <x:v>M0479</x:v>
      </x:c>
      <x:c r="B486" s="7" t="str">
        <x:v>AR05</x:v>
      </x:c>
      <x:c r="C486" s="7" t="str">
        <x:v>T2</x:v>
      </x:c>
      <x:c r="D486" s="7" t="str">
        <x:v>L06</x:v>
      </x:c>
      <x:c r="E486" s="7" t="str">
        <x:v>Internal wall paint net</x:v>
      </x:c>
      <x:c r="F486" s="20" t="n">
        <x:v>2</x:v>
      </x:c>
      <x:c r="G486" s="20" t="n">
        <x:f>'Controls'!$B$45*('Controls'!$B$12-'Controls'!$B$13)-'Controls'!$B$48*'Controls'!$B$49*'Controls'!$B$50</x:f>
        <x:v>602.6800000000001</x:v>
      </x:c>
      <x:c r="H486" s="20" t="n">
        <x:v>1</x:v>
      </x:c>
      <x:c r="I486" s="20" t="n">
        <x:v>1</x:v>
      </x:c>
      <x:c r="J486" s="20" t="n">
        <x:v>1</x:v>
      </x:c>
      <x:c r="K486" s="20" t="n">
        <x:f>F486*G486*H486*I486*J486</x:f>
        <x:v>1205.3600000000001</x:v>
      </x:c>
      <x:c r="L486" s="7" t="str">
        <x:v>Finished area; two coats priced in rate</x:v>
      </x:c>
      <x:c r="M486" s="2"/>
      <x:c r="N486" s="2"/>
      <x:c r="O486" s="2"/>
      <x:c r="P486" s="2"/>
      <x:c r="Q486" s="2"/>
    </x:row>
    <x:row r="487" ht="22" customHeight="1">
      <x:c r="A487" s="2" t="str">
        <x:v>M0480</x:v>
      </x:c>
      <x:c r="B487" s="2" t="str">
        <x:v>AR06</x:v>
      </x:c>
      <x:c r="C487" s="2" t="str">
        <x:v>T2</x:v>
      </x:c>
      <x:c r="D487" s="2" t="str">
        <x:v>L06</x:v>
      </x:c>
      <x:c r="E487" s="2" t="str">
        <x:v>Door sets</x:v>
      </x:c>
      <x:c r="F487" s="21" t="n">
        <x:f>'Controls'!$B$48</x:f>
        <x:v>28</x:v>
      </x:c>
      <x:c r="G487" s="21" t="n">
        <x:v>1</x:v>
      </x:c>
      <x:c r="H487" s="21" t="n">
        <x:v>1</x:v>
      </x:c>
      <x:c r="I487" s="21" t="n">
        <x:v>1</x:v>
      </x:c>
      <x:c r="J487" s="21" t="n">
        <x:v>1</x:v>
      </x:c>
      <x:c r="K487" s="21" t="n">
        <x:f>F487*G487*H487*I487*J487</x:f>
        <x:v>28</x:v>
      </x:c>
      <x:c r="L487" s="2" t="str">
        <x:v>Door count, not double face</x:v>
      </x:c>
      <x:c r="M487" s="2"/>
      <x:c r="N487" s="2"/>
      <x:c r="O487" s="2"/>
      <x:c r="P487" s="2"/>
      <x:c r="Q487" s="2"/>
    </x:row>
    <x:row r="488" ht="22" customHeight="1">
      <x:c r="A488" s="7" t="str">
        <x:v>M0481</x:v>
      </x:c>
      <x:c r="B488" s="7" t="str">
        <x:v>RC03</x:v>
      </x:c>
      <x:c r="C488" s="7" t="str">
        <x:v>T2</x:v>
      </x:c>
      <x:c r="D488" s="7" t="str">
        <x:v>L07</x:v>
      </x:c>
      <x:c r="E488" s="7" t="str">
        <x:v>Floor slab gross</x:v>
      </x:c>
      <x:c r="F488" s="20" t="n">
        <x:v>1</x:v>
      </x:c>
      <x:c r="G488" s="20" t="n">
        <x:f>'Controls'!$B$10</x:f>
        <x:v>30</x:v>
      </x:c>
      <x:c r="H488" s="20" t="n">
        <x:f>'Controls'!$B$11</x:f>
        <x:v>24</x:v>
      </x:c>
      <x:c r="I488" s="20" t="n">
        <x:f>'Controls'!$B$13</x:f>
        <x:v>0.22</x:v>
      </x:c>
      <x:c r="J488" s="20" t="n">
        <x:v>1</x:v>
      </x:c>
      <x:c r="K488" s="20" t="n">
        <x:f>F488*G488*H488*I488*J488</x:f>
        <x:v>158.4</x:v>
      </x:c>
      <x:c r="L488" s="7" t="str">
        <x:v>Slab includes beam top flange; downstand separate</x:v>
      </x:c>
      <x:c r="M488" s="2"/>
      <x:c r="N488" s="2"/>
      <x:c r="O488" s="2"/>
      <x:c r="P488" s="2"/>
      <x:c r="Q488" s="2"/>
    </x:row>
    <x:row r="489" ht="22" customHeight="1">
      <x:c r="A489" s="2" t="str">
        <x:v>M0482</x:v>
      </x:c>
      <x:c r="B489" s="2" t="str">
        <x:v>RC03</x:v>
      </x:c>
      <x:c r="C489" s="2" t="str">
        <x:v>T2</x:v>
      </x:c>
      <x:c r="D489" s="2" t="str">
        <x:v>L07</x:v>
      </x:c>
      <x:c r="E489" s="2" t="str">
        <x:v>Stair opening deduction</x:v>
      </x:c>
      <x:c r="F489" s="21" t="n">
        <x:v>1</x:v>
      </x:c>
      <x:c r="G489" s="21" t="n">
        <x:f>'Controls'!$B$20</x:f>
        <x:v>4</x:v>
      </x:c>
      <x:c r="H489" s="21" t="n">
        <x:f>'Controls'!$B$21</x:f>
        <x:v>6</x:v>
      </x:c>
      <x:c r="I489" s="21" t="n">
        <x:f>'Controls'!$B$13</x:f>
        <x:v>0.22</x:v>
      </x:c>
      <x:c r="J489" s="21" t="n">
        <x:v>-1</x:v>
      </x:c>
      <x:c r="K489" s="21" t="n">
        <x:f>F489*G489*H489*I489*J489</x:f>
        <x:v>-5.28</x:v>
      </x:c>
      <x:c r="L489" s="2" t="str">
        <x:v>Opening OP-01</x:v>
      </x:c>
      <x:c r="M489" s="2"/>
      <x:c r="N489" s="2"/>
      <x:c r="O489" s="2"/>
      <x:c r="P489" s="2"/>
      <x:c r="Q489" s="2"/>
    </x:row>
    <x:row r="490" ht="22" customHeight="1">
      <x:c r="A490" s="7" t="str">
        <x:v>M0483</x:v>
      </x:c>
      <x:c r="B490" s="7" t="str">
        <x:v>RC04</x:v>
      </x:c>
      <x:c r="C490" s="7" t="str">
        <x:v>T2</x:v>
      </x:c>
      <x:c r="D490" s="7" t="str">
        <x:v>L07</x:v>
      </x:c>
      <x:c r="E490" s="7" t="str">
        <x:v>Beam downstands X</x:v>
      </x:c>
      <x:c r="F490" s="20" t="n">
        <x:v>1</x:v>
      </x:c>
      <x:c r="G490" s="20" t="n">
        <x:f>5*5*('Controls'!$B$10/5-'Controls'!$B$14)</x:f>
        <x:v>137.5</x:v>
      </x:c>
      <x:c r="H490" s="20" t="n">
        <x:f>'Controls'!$B$16</x:f>
        <x:v>0.3</x:v>
      </x:c>
      <x:c r="I490" s="20" t="n">
        <x:f>'Controls'!$B$17-'Controls'!$B$13</x:f>
        <x:v>0.38</x:v>
      </x:c>
      <x:c r="J490" s="20" t="n">
        <x:v>1</x:v>
      </x:c>
      <x:c r="K490" s="20" t="n">
        <x:f>F490*G490*H490*I490*J490</x:f>
        <x:v>15.675</x:v>
      </x:c>
      <x:c r="L490" s="7" t="str">
        <x:v>Clear spans between column faces; no joint overlap</x:v>
      </x:c>
      <x:c r="M490" s="2"/>
      <x:c r="N490" s="2"/>
      <x:c r="O490" s="2"/>
      <x:c r="P490" s="2"/>
      <x:c r="Q490" s="2"/>
    </x:row>
    <x:row r="491" ht="22" customHeight="1">
      <x:c r="A491" s="2" t="str">
        <x:v>M0484</x:v>
      </x:c>
      <x:c r="B491" s="2" t="str">
        <x:v>FW02</x:v>
      </x:c>
      <x:c r="C491" s="2" t="str">
        <x:v>T2</x:v>
      </x:c>
      <x:c r="D491" s="2" t="str">
        <x:v>L07</x:v>
      </x:c>
      <x:c r="E491" s="2" t="str">
        <x:v>Beam forms X</x:v>
      </x:c>
      <x:c r="F491" s="21" t="n">
        <x:v>1</x:v>
      </x:c>
      <x:c r="G491" s="21" t="n">
        <x:f>5*5*('Controls'!$B$10/5-'Controls'!$B$14)</x:f>
        <x:v>137.5</x:v>
      </x:c>
      <x:c r="H491" s="21" t="n">
        <x:f>'Controls'!$B$16+2*('Controls'!$B$17-'Controls'!$B$13)</x:f>
        <x:v>1.06</x:v>
      </x:c>
      <x:c r="I491" s="21" t="n">
        <x:v>1</x:v>
      </x:c>
      <x:c r="J491" s="21" t="n">
        <x:v>1</x:v>
      </x:c>
      <x:c r="K491" s="21" t="n">
        <x:f>F491*G491*H491*I491*J491</x:f>
        <x:v>145.75</x:v>
      </x:c>
      <x:c r="L491" s="2" t="str">
        <x:v>Soffit plus two downstand sides</x:v>
      </x:c>
      <x:c r="M491" s="2"/>
      <x:c r="N491" s="2"/>
      <x:c r="O491" s="2"/>
      <x:c r="P491" s="2"/>
      <x:c r="Q491" s="2"/>
    </x:row>
    <x:row r="492" ht="22" customHeight="1">
      <x:c r="A492" s="7" t="str">
        <x:v>M0485</x:v>
      </x:c>
      <x:c r="B492" s="7" t="str">
        <x:v>RC04</x:v>
      </x:c>
      <x:c r="C492" s="7" t="str">
        <x:v>T2</x:v>
      </x:c>
      <x:c r="D492" s="7" t="str">
        <x:v>L07</x:v>
      </x:c>
      <x:c r="E492" s="7" t="str">
        <x:v>Beam downstands Y</x:v>
      </x:c>
      <x:c r="F492" s="20" t="n">
        <x:v>1</x:v>
      </x:c>
      <x:c r="G492" s="20" t="n">
        <x:f>6*4*('Controls'!$B$11/4-'Controls'!$B$15)</x:f>
        <x:v>132</x:v>
      </x:c>
      <x:c r="H492" s="20" t="n">
        <x:f>'Controls'!$B$16</x:f>
        <x:v>0.3</x:v>
      </x:c>
      <x:c r="I492" s="20" t="n">
        <x:f>'Controls'!$B$17-'Controls'!$B$13</x:f>
        <x:v>0.38</x:v>
      </x:c>
      <x:c r="J492" s="20" t="n">
        <x:v>1</x:v>
      </x:c>
      <x:c r="K492" s="20" t="n">
        <x:f>F492*G492*H492*I492*J492</x:f>
        <x:v>15.048</x:v>
      </x:c>
      <x:c r="L492" s="7" t="str">
        <x:v>Clear spans between column faces; no joint overlap</x:v>
      </x:c>
      <x:c r="M492" s="2"/>
      <x:c r="N492" s="2"/>
      <x:c r="O492" s="2"/>
      <x:c r="P492" s="2"/>
      <x:c r="Q492" s="2"/>
    </x:row>
    <x:row r="493" ht="22" customHeight="1">
      <x:c r="A493" s="2" t="str">
        <x:v>M0486</x:v>
      </x:c>
      <x:c r="B493" s="2" t="str">
        <x:v>FW02</x:v>
      </x:c>
      <x:c r="C493" s="2" t="str">
        <x:v>T2</x:v>
      </x:c>
      <x:c r="D493" s="2" t="str">
        <x:v>L07</x:v>
      </x:c>
      <x:c r="E493" s="2" t="str">
        <x:v>Beam forms Y</x:v>
      </x:c>
      <x:c r="F493" s="21" t="n">
        <x:v>1</x:v>
      </x:c>
      <x:c r="G493" s="21" t="n">
        <x:f>6*4*('Controls'!$B$11/4-'Controls'!$B$15)</x:f>
        <x:v>132</x:v>
      </x:c>
      <x:c r="H493" s="21" t="n">
        <x:f>'Controls'!$B$16+2*('Controls'!$B$17-'Controls'!$B$13)</x:f>
        <x:v>1.06</x:v>
      </x:c>
      <x:c r="I493" s="21" t="n">
        <x:v>1</x:v>
      </x:c>
      <x:c r="J493" s="21" t="n">
        <x:v>1</x:v>
      </x:c>
      <x:c r="K493" s="21" t="n">
        <x:f>F493*G493*H493*I493*J493</x:f>
        <x:v>139.92000000000002</x:v>
      </x:c>
      <x:c r="L493" s="2" t="str">
        <x:v>Soffit plus two downstand sides</x:v>
      </x:c>
      <x:c r="M493" s="2"/>
      <x:c r="N493" s="2"/>
      <x:c r="O493" s="2"/>
      <x:c r="P493" s="2"/>
      <x:c r="Q493" s="2"/>
    </x:row>
    <x:row r="494" ht="22" customHeight="1">
      <x:c r="A494" s="7" t="str">
        <x:v>M0487</x:v>
      </x:c>
      <x:c r="B494" s="7" t="str">
        <x:v>RC05</x:v>
      </x:c>
      <x:c r="C494" s="7" t="str">
        <x:v>T2</x:v>
      </x:c>
      <x:c r="D494" s="7" t="str">
        <x:v>L07</x:v>
      </x:c>
      <x:c r="E494" s="7" t="str">
        <x:v>Thirty columns, clear storey</x:v>
      </x:c>
      <x:c r="F494" s="20" t="n">
        <x:v>30</x:v>
      </x:c>
      <x:c r="G494" s="20" t="n">
        <x:f>'Controls'!$B$14</x:f>
        <x:v>0.5</x:v>
      </x:c>
      <x:c r="H494" s="20" t="n">
        <x:f>'Controls'!$B$15</x:f>
        <x:v>0.5</x:v>
      </x:c>
      <x:c r="I494" s="20" t="n">
        <x:f>'Controls'!$B$12-'Controls'!$B$13</x:f>
        <x:v>2.98</x:v>
      </x:c>
      <x:c r="J494" s="20" t="n">
        <x:v>1</x:v>
      </x:c>
      <x:c r="K494" s="20" t="n">
        <x:f>F494*G494*H494*I494*J494</x:f>
        <x:v>22.35</x:v>
      </x:c>
      <x:c r="L494" s="7" t="str">
        <x:v>Slab volume excluded from columns</x:v>
      </x:c>
      <x:c r="M494" s="2"/>
      <x:c r="N494" s="2"/>
      <x:c r="O494" s="2"/>
      <x:c r="P494" s="2"/>
      <x:c r="Q494" s="2"/>
    </x:row>
    <x:row r="495" ht="22" customHeight="1">
      <x:c r="A495" s="2" t="str">
        <x:v>M0488</x:v>
      </x:c>
      <x:c r="B495" s="2" t="str">
        <x:v>RC06</x:v>
      </x:c>
      <x:c r="C495" s="2" t="str">
        <x:v>T2</x:v>
      </x:c>
      <x:c r="D495" s="2" t="str">
        <x:v>L07</x:v>
      </x:c>
      <x:c r="E495" s="2" t="str">
        <x:v>Core walls clear storey</x:v>
      </x:c>
      <x:c r="F495" s="21" t="n">
        <x:v>1</x:v>
      </x:c>
      <x:c r="G495" s="21" t="n">
        <x:f>'Controls'!$B$19</x:f>
        <x:v>24</x:v>
      </x:c>
      <x:c r="H495" s="21" t="n">
        <x:f>'Controls'!$B$18</x:f>
        <x:v>0.25</x:v>
      </x:c>
      <x:c r="I495" s="21" t="n">
        <x:f>'Controls'!$B$12-'Controls'!$B$13</x:f>
        <x:v>2.98</x:v>
      </x:c>
      <x:c r="J495" s="21" t="n">
        <x:v>1</x:v>
      </x:c>
      <x:c r="K495" s="21" t="n">
        <x:f>F495*G495*H495*I495*J495</x:f>
        <x:v>17.88</x:v>
      </x:c>
      <x:c r="L495" s="2" t="str">
        <x:v>Net clear wall length excludes corners</x:v>
      </x:c>
      <x:c r="M495" s="2"/>
      <x:c r="N495" s="2"/>
      <x:c r="O495" s="2"/>
      <x:c r="P495" s="2"/>
      <x:c r="Q495" s="2"/>
    </x:row>
    <x:row r="496" ht="22" customHeight="1">
      <x:c r="A496" s="7" t="str">
        <x:v>M0489</x:v>
      </x:c>
      <x:c r="B496" s="7" t="str">
        <x:v>RC07</x:v>
      </x:c>
      <x:c r="C496" s="7" t="str">
        <x:v>T2</x:v>
      </x:c>
      <x:c r="D496" s="7" t="str">
        <x:v>L07</x:v>
      </x:c>
      <x:c r="E496" s="7" t="str">
        <x:v>Stair flights waist</x:v>
      </x:c>
      <x:c r="F496" s="20" t="n">
        <x:v>2</x:v>
      </x:c>
      <x:c r="G496" s="20" t="n">
        <x:v>4.1</x:v>
      </x:c>
      <x:c r="H496" s="20" t="n">
        <x:v>1.2</x:v>
      </x:c>
      <x:c r="I496" s="20" t="n">
        <x:v>0.18</x:v>
      </x:c>
      <x:c r="J496" s="20" t="n">
        <x:v>1</x:v>
      </x:c>
      <x:c r="K496" s="20" t="n">
        <x:f>F496*G496*H496*I496*J496</x:f>
        <x:v>1.7711999999999997</x:v>
      </x:c>
      <x:c r="L496" s="7" t="str">
        <x:v>Two flights; geometry separate from floor slab</x:v>
      </x:c>
      <x:c r="M496" s="2"/>
      <x:c r="N496" s="2"/>
      <x:c r="O496" s="2"/>
      <x:c r="P496" s="2"/>
      <x:c r="Q496" s="2"/>
    </x:row>
    <x:row r="497" ht="22" customHeight="1">
      <x:c r="A497" s="2" t="str">
        <x:v>M0490</x:v>
      </x:c>
      <x:c r="B497" s="2" t="str">
        <x:v>RC07</x:v>
      </x:c>
      <x:c r="C497" s="2" t="str">
        <x:v>T2</x:v>
      </x:c>
      <x:c r="D497" s="2" t="str">
        <x:v>L07</x:v>
      </x:c>
      <x:c r="E497" s="2" t="str">
        <x:v>Stair landings</x:v>
      </x:c>
      <x:c r="F497" s="21" t="n">
        <x:v>2</x:v>
      </x:c>
      <x:c r="G497" s="21" t="n">
        <x:v>2</x:v>
      </x:c>
      <x:c r="H497" s="21" t="n">
        <x:v>1.2</x:v>
      </x:c>
      <x:c r="I497" s="21" t="n">
        <x:v>0.18</x:v>
      </x:c>
      <x:c r="J497" s="21" t="n">
        <x:v>1</x:v>
      </x:c>
      <x:c r="K497" s="21" t="n">
        <x:f>F497*G497*H497*I497*J497</x:f>
        <x:v>0.864</x:v>
      </x:c>
      <x:c r="L497" s="2" t="str">
        <x:v>Within stair opening</x:v>
      </x:c>
      <x:c r="M497" s="2"/>
      <x:c r="N497" s="2"/>
      <x:c r="O497" s="2"/>
      <x:c r="P497" s="2"/>
      <x:c r="Q497" s="2"/>
    </x:row>
    <x:row r="498" ht="22" customHeight="1">
      <x:c r="A498" s="7" t="str">
        <x:v>M0491</x:v>
      </x:c>
      <x:c r="B498" s="7" t="str">
        <x:v>FW01</x:v>
      </x:c>
      <x:c r="C498" s="7" t="str">
        <x:v>T2</x:v>
      </x:c>
      <x:c r="D498" s="7" t="str">
        <x:v>L07</x:v>
      </x:c>
      <x:c r="E498" s="7" t="str">
        <x:v>Slab soffit gross</x:v>
      </x:c>
      <x:c r="F498" s="20" t="n">
        <x:v>1</x:v>
      </x:c>
      <x:c r="G498" s="20" t="n">
        <x:f>'Controls'!$B$10</x:f>
        <x:v>30</x:v>
      </x:c>
      <x:c r="H498" s="20" t="n">
        <x:f>'Controls'!$B$11</x:f>
        <x:v>24</x:v>
      </x:c>
      <x:c r="I498" s="20" t="n">
        <x:v>1</x:v>
      </x:c>
      <x:c r="J498" s="20" t="n">
        <x:v>1</x:v>
      </x:c>
      <x:c r="K498" s="20" t="n">
        <x:f>F498*G498*H498*I498*J498</x:f>
        <x:v>720</x:v>
      </x:c>
      <x:c r="L498" s="7" t="str">
        <x:v>Beam soffit deducted below</x:v>
      </x:c>
      <x:c r="M498" s="2"/>
      <x:c r="N498" s="2"/>
      <x:c r="O498" s="2"/>
      <x:c r="P498" s="2"/>
      <x:c r="Q498" s="2"/>
    </x:row>
    <x:row r="499" ht="22" customHeight="1">
      <x:c r="A499" s="2" t="str">
        <x:v>M0492</x:v>
      </x:c>
      <x:c r="B499" s="2" t="str">
        <x:v>FW01</x:v>
      </x:c>
      <x:c r="C499" s="2" t="str">
        <x:v>T2</x:v>
      </x:c>
      <x:c r="D499" s="2" t="str">
        <x:v>L07</x:v>
      </x:c>
      <x:c r="E499" s="2" t="str">
        <x:v>Stair opening deduction</x:v>
      </x:c>
      <x:c r="F499" s="21" t="n">
        <x:v>1</x:v>
      </x:c>
      <x:c r="G499" s="21" t="n">
        <x:f>'Controls'!$B$20</x:f>
        <x:v>4</x:v>
      </x:c>
      <x:c r="H499" s="21" t="n">
        <x:f>'Controls'!$B$21</x:f>
        <x:v>6</x:v>
      </x:c>
      <x:c r="I499" s="21" t="n">
        <x:v>1</x:v>
      </x:c>
      <x:c r="J499" s="21" t="n">
        <x:v>-1</x:v>
      </x:c>
      <x:c r="K499" s="21" t="n">
        <x:f>F499*G499*H499*I499*J499</x:f>
        <x:v>-24</x:v>
      </x:c>
      <x:c r="L499" s="2" t="str">
        <x:v>OP-01</x:v>
      </x:c>
      <x:c r="M499" s="2"/>
      <x:c r="N499" s="2"/>
      <x:c r="O499" s="2"/>
      <x:c r="P499" s="2"/>
      <x:c r="Q499" s="2"/>
    </x:row>
    <x:row r="500" ht="22" customHeight="1">
      <x:c r="A500" s="7" t="str">
        <x:v>M0493</x:v>
      </x:c>
      <x:c r="B500" s="7" t="str">
        <x:v>FW01</x:v>
      </x:c>
      <x:c r="C500" s="7" t="str">
        <x:v>T2</x:v>
      </x:c>
      <x:c r="D500" s="7" t="str">
        <x:v>L07</x:v>
      </x:c>
      <x:c r="E500" s="7" t="str">
        <x:v>Beam soffit deduction</x:v>
      </x:c>
      <x:c r="F500" s="20" t="n">
        <x:v>1</x:v>
      </x:c>
      <x:c r="G500" s="20" t="n">
        <x:f>5*5*('Controls'!$B$10/5-'Controls'!$B$14)+6*4*('Controls'!$B$11/4-'Controls'!$B$15)</x:f>
        <x:v>269.5</x:v>
      </x:c>
      <x:c r="H500" s="20" t="n">
        <x:f>'Controls'!$B$16</x:f>
        <x:v>0.3</x:v>
      </x:c>
      <x:c r="I500" s="20" t="n">
        <x:v>1</x:v>
      </x:c>
      <x:c r="J500" s="20" t="n">
        <x:v>-1</x:v>
      </x:c>
      <x:c r="K500" s="20" t="n">
        <x:f>F500*G500*H500*I500*J500</x:f>
        <x:v>-80.85</x:v>
      </x:c>
      <x:c r="L500" s="7" t="str">
        <x:v>Beam forms measured in FW02</x:v>
      </x:c>
      <x:c r="M500" s="2"/>
      <x:c r="N500" s="2"/>
      <x:c r="O500" s="2"/>
      <x:c r="P500" s="2"/>
      <x:c r="Q500" s="2"/>
    </x:row>
    <x:row r="501" ht="22" customHeight="1">
      <x:c r="A501" s="2" t="str">
        <x:v>M0494</x:v>
      </x:c>
      <x:c r="B501" s="2" t="str">
        <x:v>FW03</x:v>
      </x:c>
      <x:c r="C501" s="2" t="str">
        <x:v>T2</x:v>
      </x:c>
      <x:c r="D501" s="2" t="str">
        <x:v>L07</x:v>
      </x:c>
      <x:c r="E501" s="2" t="str">
        <x:v>Column four faces</x:v>
      </x:c>
      <x:c r="F501" s="21" t="n">
        <x:v>30</x:v>
      </x:c>
      <x:c r="G501" s="21" t="n">
        <x:f>2*('Controls'!$B$14+'Controls'!$B$15)</x:f>
        <x:v>2</x:v>
      </x:c>
      <x:c r="H501" s="21" t="n">
        <x:f>'Controls'!$B$12-'Controls'!$B$13</x:f>
        <x:v>2.98</x:v>
      </x:c>
      <x:c r="I501" s="21" t="n">
        <x:v>1</x:v>
      </x:c>
      <x:c r="J501" s="21" t="n">
        <x:v>1</x:v>
      </x:c>
      <x:c r="K501" s="21" t="n">
        <x:f>F501*G501*H501*I501*J501</x:f>
        <x:v>178.8</x:v>
      </x:c>
      <x:c r="L501" s="2" t="str">
        <x:v>Clear floor-to-soffit</x:v>
      </x:c>
      <x:c r="M501" s="2"/>
      <x:c r="N501" s="2"/>
      <x:c r="O501" s="2"/>
      <x:c r="P501" s="2"/>
      <x:c r="Q501" s="2"/>
    </x:row>
    <x:row r="502" ht="22" customHeight="1">
      <x:c r="A502" s="7" t="str">
        <x:v>M0495</x:v>
      </x:c>
      <x:c r="B502" s="7" t="str">
        <x:v>FW04</x:v>
      </x:c>
      <x:c r="C502" s="7" t="str">
        <x:v>T2</x:v>
      </x:c>
      <x:c r="D502" s="7" t="str">
        <x:v>L07</x:v>
      </x:c>
      <x:c r="E502" s="7" t="str">
        <x:v>Core wall two faces</x:v>
      </x:c>
      <x:c r="F502" s="20" t="n">
        <x:v>2</x:v>
      </x:c>
      <x:c r="G502" s="20" t="n">
        <x:f>'Controls'!$B$19</x:f>
        <x:v>24</x:v>
      </x:c>
      <x:c r="H502" s="20" t="n">
        <x:f>'Controls'!$B$12-'Controls'!$B$13</x:f>
        <x:v>2.98</x:v>
      </x:c>
      <x:c r="I502" s="20" t="n">
        <x:v>1</x:v>
      </x:c>
      <x:c r="J502" s="20" t="n">
        <x:v>1</x:v>
      </x:c>
      <x:c r="K502" s="20" t="n">
        <x:f>F502*G502*H502*I502*J502</x:f>
        <x:v>143.04</x:v>
      </x:c>
      <x:c r="L502" s="7" t="str">
        <x:v>Net perimeter, no repeated corners</x:v>
      </x:c>
      <x:c r="M502" s="2"/>
      <x:c r="N502" s="2"/>
      <x:c r="O502" s="2"/>
      <x:c r="P502" s="2"/>
      <x:c r="Q502" s="2"/>
    </x:row>
    <x:row r="503" ht="22" customHeight="1">
      <x:c r="A503" s="2" t="str">
        <x:v>M0496</x:v>
      </x:c>
      <x:c r="B503" s="2" t="str">
        <x:v>AR01</x:v>
      </x:c>
      <x:c r="C503" s="2" t="str">
        <x:v>T2</x:v>
      </x:c>
      <x:c r="D503" s="2" t="str">
        <x:v>L07</x:v>
      </x:c>
      <x:c r="E503" s="2" t="str">
        <x:v>Partition walls gross</x:v>
      </x:c>
      <x:c r="F503" s="21" t="n">
        <x:v>1</x:v>
      </x:c>
      <x:c r="G503" s="21" t="n">
        <x:f>'Controls'!$B$45</x:f>
        <x:v>220</x:v>
      </x:c>
      <x:c r="H503" s="21" t="n">
        <x:f>'Controls'!$B$12-'Controls'!$B$13</x:f>
        <x:v>2.98</x:v>
      </x:c>
      <x:c r="I503" s="21" t="n">
        <x:f>'Controls'!$B$46</x:f>
        <x:v>0.15</x:v>
      </x:c>
      <x:c r="J503" s="21" t="n">
        <x:v>1</x:v>
      </x:c>
      <x:c r="K503" s="21" t="n">
        <x:f>F503*G503*H503*I503*J503</x:f>
        <x:v>98.34</x:v>
      </x:c>
      <x:c r="L503" s="2" t="str">
        <x:v>Net openings deducted below</x:v>
      </x:c>
      <x:c r="M503" s="2"/>
      <x:c r="N503" s="2"/>
      <x:c r="O503" s="2"/>
      <x:c r="P503" s="2"/>
      <x:c r="Q503" s="2"/>
    </x:row>
    <x:row r="504" ht="22" customHeight="1">
      <x:c r="A504" s="7" t="str">
        <x:v>M0497</x:v>
      </x:c>
      <x:c r="B504" s="7" t="str">
        <x:v>AR01</x:v>
      </x:c>
      <x:c r="C504" s="7" t="str">
        <x:v>T2</x:v>
      </x:c>
      <x:c r="D504" s="7" t="str">
        <x:v>L07</x:v>
      </x:c>
      <x:c r="E504" s="7" t="str">
        <x:v>Internal doors deduction</x:v>
      </x:c>
      <x:c r="F504" s="20" t="n">
        <x:f>'Controls'!$B$48</x:f>
        <x:v>28</x:v>
      </x:c>
      <x:c r="G504" s="20" t="n">
        <x:f>'Controls'!$B$49</x:f>
        <x:v>0.9</x:v>
      </x:c>
      <x:c r="H504" s="20" t="n">
        <x:f>'Controls'!$B$50</x:f>
        <x:v>2.1</x:v>
      </x:c>
      <x:c r="I504" s="20" t="n">
        <x:f>'Controls'!$B$46</x:f>
        <x:v>0.15</x:v>
      </x:c>
      <x:c r="J504" s="20" t="n">
        <x:v>-1</x:v>
      </x:c>
      <x:c r="K504" s="20" t="n">
        <x:f>F504*G504*H504*I504*J504</x:f>
        <x:v>-7.938</x:v>
      </x:c>
      <x:c r="L504" s="7" t="str">
        <x:v>28 doors per floor, OP-02</x:v>
      </x:c>
      <x:c r="M504" s="2"/>
      <x:c r="N504" s="2"/>
      <x:c r="O504" s="2"/>
      <x:c r="P504" s="2"/>
      <x:c r="Q504" s="2"/>
    </x:row>
    <x:row r="505" ht="22" customHeight="1">
      <x:c r="A505" s="2" t="str">
        <x:v>M0498</x:v>
      </x:c>
      <x:c r="B505" s="2" t="str">
        <x:v>AR02</x:v>
      </x:c>
      <x:c r="C505" s="2" t="str">
        <x:v>T2</x:v>
      </x:c>
      <x:c r="D505" s="2" t="str">
        <x:v>L07</x:v>
      </x:c>
      <x:c r="E505" s="2" t="str">
        <x:v>Internal plaster gross</x:v>
      </x:c>
      <x:c r="F505" s="21" t="n">
        <x:v>2</x:v>
      </x:c>
      <x:c r="G505" s="21" t="n">
        <x:f>'Controls'!$B$45</x:f>
        <x:v>220</x:v>
      </x:c>
      <x:c r="H505" s="21" t="n">
        <x:f>'Controls'!$B$12-'Controls'!$B$13</x:f>
        <x:v>2.98</x:v>
      </x:c>
      <x:c r="I505" s="21" t="n">
        <x:v>1</x:v>
      </x:c>
      <x:c r="J505" s="21" t="n">
        <x:v>1</x:v>
      </x:c>
      <x:c r="K505" s="21" t="n">
        <x:f>F505*G505*H505*I505*J505</x:f>
        <x:v>1311.2</x:v>
      </x:c>
      <x:c r="L505" s="2" t="str">
        <x:v>Both faces of partition walls</x:v>
      </x:c>
      <x:c r="M505" s="2"/>
      <x:c r="N505" s="2"/>
      <x:c r="O505" s="2"/>
      <x:c r="P505" s="2"/>
      <x:c r="Q505" s="2"/>
    </x:row>
    <x:row r="506" ht="22" customHeight="1">
      <x:c r="A506" s="7" t="str">
        <x:v>M0499</x:v>
      </x:c>
      <x:c r="B506" s="7" t="str">
        <x:v>AR02</x:v>
      </x:c>
      <x:c r="C506" s="7" t="str">
        <x:v>T2</x:v>
      </x:c>
      <x:c r="D506" s="7" t="str">
        <x:v>L07</x:v>
      </x:c>
      <x:c r="E506" s="7" t="str">
        <x:v>Door area deduction both faces</x:v>
      </x:c>
      <x:c r="F506" s="20" t="n">
        <x:f>2*'Controls'!$B$48</x:f>
        <x:v>56</x:v>
      </x:c>
      <x:c r="G506" s="20" t="n">
        <x:f>'Controls'!$B$49</x:f>
        <x:v>0.9</x:v>
      </x:c>
      <x:c r="H506" s="20" t="n">
        <x:f>'Controls'!$B$50</x:f>
        <x:v>2.1</x:v>
      </x:c>
      <x:c r="I506" s="20" t="n">
        <x:v>1</x:v>
      </x:c>
      <x:c r="J506" s="20" t="n">
        <x:v>-1</x:v>
      </x:c>
      <x:c r="K506" s="20" t="n">
        <x:f>F506*G506*H506*I506*J506</x:f>
        <x:v>-105.84</x:v>
      </x:c>
      <x:c r="L506" s="7" t="str">
        <x:v>No plaster over openings</x:v>
      </x:c>
      <x:c r="M506" s="2"/>
      <x:c r="N506" s="2"/>
      <x:c r="O506" s="2"/>
      <x:c r="P506" s="2"/>
      <x:c r="Q506" s="2"/>
    </x:row>
    <x:row r="507" ht="22" customHeight="1">
      <x:c r="A507" s="2" t="str">
        <x:v>M0500</x:v>
      </x:c>
      <x:c r="B507" s="2" t="str">
        <x:v>AR03</x:v>
      </x:c>
      <x:c r="C507" s="2" t="str">
        <x:v>T2</x:v>
      </x:c>
      <x:c r="D507" s="2" t="str">
        <x:v>L07</x:v>
      </x:c>
      <x:c r="E507" s="2" t="str">
        <x:v>Floor screed net</x:v>
      </x:c>
      <x:c r="F507" s="21" t="n">
        <x:v>1</x:v>
      </x:c>
      <x:c r="G507" s="21" t="n">
        <x:f>'Controls'!$B$10*'Controls'!$B$11-'Controls'!$B$20*'Controls'!$B$21</x:f>
        <x:v>696</x:v>
      </x:c>
      <x:c r="H507" s="21" t="n">
        <x:v>1</x:v>
      </x:c>
      <x:c r="I507" s="21" t="n">
        <x:v>1</x:v>
      </x:c>
      <x:c r="J507" s="21" t="n">
        <x:v>1</x:v>
      </x:c>
      <x:c r="K507" s="21" t="n">
        <x:f>F507*G507*H507*I507*J507</x:f>
        <x:v>696</x:v>
      </x:c>
      <x:c r="L507" s="2" t="str">
        <x:v>Net structural floor area</x:v>
      </x:c>
      <x:c r="M507" s="2"/>
      <x:c r="N507" s="2"/>
      <x:c r="O507" s="2"/>
      <x:c r="P507" s="2"/>
      <x:c r="Q507" s="2"/>
    </x:row>
    <x:row r="508" ht="22" customHeight="1">
      <x:c r="A508" s="7" t="str">
        <x:v>M0501</x:v>
      </x:c>
      <x:c r="B508" s="7" t="str">
        <x:v>AR04</x:v>
      </x:c>
      <x:c r="C508" s="7" t="str">
        <x:v>T2</x:v>
      </x:c>
      <x:c r="D508" s="7" t="str">
        <x:v>L07</x:v>
      </x:c>
      <x:c r="E508" s="7" t="str">
        <x:v>Floor finish net</x:v>
      </x:c>
      <x:c r="F508" s="20" t="n">
        <x:v>1</x:v>
      </x:c>
      <x:c r="G508" s="20" t="n">
        <x:f>'Controls'!$B$10*'Controls'!$B$11-'Controls'!$B$20*'Controls'!$B$21</x:f>
        <x:v>696</x:v>
      </x:c>
      <x:c r="H508" s="20" t="n">
        <x:v>1</x:v>
      </x:c>
      <x:c r="I508" s="20" t="n">
        <x:v>1</x:v>
      </x:c>
      <x:c r="J508" s="20" t="n">
        <x:v>1</x:v>
      </x:c>
      <x:c r="K508" s="20" t="n">
        <x:f>F508*G508*H508*I508*J508</x:f>
        <x:v>696</x:v>
      </x:c>
      <x:c r="L508" s="7" t="str">
        <x:v>Waste excluded from BOQ</x:v>
      </x:c>
      <x:c r="M508" s="2"/>
      <x:c r="N508" s="2"/>
      <x:c r="O508" s="2"/>
      <x:c r="P508" s="2"/>
      <x:c r="Q508" s="2"/>
    </x:row>
    <x:row r="509" ht="22" customHeight="1">
      <x:c r="A509" s="2" t="str">
        <x:v>M0502</x:v>
      </x:c>
      <x:c r="B509" s="2" t="str">
        <x:v>AR05</x:v>
      </x:c>
      <x:c r="C509" s="2" t="str">
        <x:v>T2</x:v>
      </x:c>
      <x:c r="D509" s="2" t="str">
        <x:v>L07</x:v>
      </x:c>
      <x:c r="E509" s="2" t="str">
        <x:v>Internal wall paint net</x:v>
      </x:c>
      <x:c r="F509" s="21" t="n">
        <x:v>2</x:v>
      </x:c>
      <x:c r="G509" s="21" t="n">
        <x:f>'Controls'!$B$45*('Controls'!$B$12-'Controls'!$B$13)-'Controls'!$B$48*'Controls'!$B$49*'Controls'!$B$50</x:f>
        <x:v>602.6800000000001</x:v>
      </x:c>
      <x:c r="H509" s="21" t="n">
        <x:v>1</x:v>
      </x:c>
      <x:c r="I509" s="21" t="n">
        <x:v>1</x:v>
      </x:c>
      <x:c r="J509" s="21" t="n">
        <x:v>1</x:v>
      </x:c>
      <x:c r="K509" s="21" t="n">
        <x:f>F509*G509*H509*I509*J509</x:f>
        <x:v>1205.3600000000001</x:v>
      </x:c>
      <x:c r="L509" s="2" t="str">
        <x:v>Finished area; two coats priced in rate</x:v>
      </x:c>
      <x:c r="M509" s="2"/>
      <x:c r="N509" s="2"/>
      <x:c r="O509" s="2"/>
      <x:c r="P509" s="2"/>
      <x:c r="Q509" s="2"/>
    </x:row>
    <x:row r="510" ht="22" customHeight="1">
      <x:c r="A510" s="7" t="str">
        <x:v>M0503</x:v>
      </x:c>
      <x:c r="B510" s="7" t="str">
        <x:v>AR06</x:v>
      </x:c>
      <x:c r="C510" s="7" t="str">
        <x:v>T2</x:v>
      </x:c>
      <x:c r="D510" s="7" t="str">
        <x:v>L07</x:v>
      </x:c>
      <x:c r="E510" s="7" t="str">
        <x:v>Door sets</x:v>
      </x:c>
      <x:c r="F510" s="20" t="n">
        <x:f>'Controls'!$B$48</x:f>
        <x:v>28</x:v>
      </x:c>
      <x:c r="G510" s="20" t="n">
        <x:v>1</x:v>
      </x:c>
      <x:c r="H510" s="20" t="n">
        <x:v>1</x:v>
      </x:c>
      <x:c r="I510" s="20" t="n">
        <x:v>1</x:v>
      </x:c>
      <x:c r="J510" s="20" t="n">
        <x:v>1</x:v>
      </x:c>
      <x:c r="K510" s="20" t="n">
        <x:f>F510*G510*H510*I510*J510</x:f>
        <x:v>28</x:v>
      </x:c>
      <x:c r="L510" s="7" t="str">
        <x:v>Door count, not double face</x:v>
      </x:c>
      <x:c r="M510" s="2"/>
      <x:c r="N510" s="2"/>
      <x:c r="O510" s="2"/>
      <x:c r="P510" s="2"/>
      <x:c r="Q510" s="2"/>
    </x:row>
    <x:row r="511" ht="22" customHeight="1">
      <x:c r="A511" s="2" t="str">
        <x:v>M0504</x:v>
      </x:c>
      <x:c r="B511" s="2" t="str">
        <x:v>RC03</x:v>
      </x:c>
      <x:c r="C511" s="2" t="str">
        <x:v>T2</x:v>
      </x:c>
      <x:c r="D511" s="2" t="str">
        <x:v>L08</x:v>
      </x:c>
      <x:c r="E511" s="2" t="str">
        <x:v>Floor slab gross</x:v>
      </x:c>
      <x:c r="F511" s="21" t="n">
        <x:v>1</x:v>
      </x:c>
      <x:c r="G511" s="21" t="n">
        <x:f>'Controls'!$B$10</x:f>
        <x:v>30</x:v>
      </x:c>
      <x:c r="H511" s="21" t="n">
        <x:f>'Controls'!$B$11</x:f>
        <x:v>24</x:v>
      </x:c>
      <x:c r="I511" s="21" t="n">
        <x:f>'Controls'!$B$13</x:f>
        <x:v>0.22</x:v>
      </x:c>
      <x:c r="J511" s="21" t="n">
        <x:v>1</x:v>
      </x:c>
      <x:c r="K511" s="21" t="n">
        <x:f>F511*G511*H511*I511*J511</x:f>
        <x:v>158.4</x:v>
      </x:c>
      <x:c r="L511" s="2" t="str">
        <x:v>Slab includes beam top flange; downstand separate</x:v>
      </x:c>
      <x:c r="M511" s="2"/>
      <x:c r="N511" s="2"/>
      <x:c r="O511" s="2"/>
      <x:c r="P511" s="2"/>
      <x:c r="Q511" s="2"/>
    </x:row>
    <x:row r="512" ht="22" customHeight="1">
      <x:c r="A512" s="7" t="str">
        <x:v>M0505</x:v>
      </x:c>
      <x:c r="B512" s="7" t="str">
        <x:v>RC03</x:v>
      </x:c>
      <x:c r="C512" s="7" t="str">
        <x:v>T2</x:v>
      </x:c>
      <x:c r="D512" s="7" t="str">
        <x:v>L08</x:v>
      </x:c>
      <x:c r="E512" s="7" t="str">
        <x:v>Stair opening deduction</x:v>
      </x:c>
      <x:c r="F512" s="20" t="n">
        <x:v>1</x:v>
      </x:c>
      <x:c r="G512" s="20" t="n">
        <x:f>'Controls'!$B$20</x:f>
        <x:v>4</x:v>
      </x:c>
      <x:c r="H512" s="20" t="n">
        <x:f>'Controls'!$B$21</x:f>
        <x:v>6</x:v>
      </x:c>
      <x:c r="I512" s="20" t="n">
        <x:f>'Controls'!$B$13</x:f>
        <x:v>0.22</x:v>
      </x:c>
      <x:c r="J512" s="20" t="n">
        <x:v>-1</x:v>
      </x:c>
      <x:c r="K512" s="20" t="n">
        <x:f>F512*G512*H512*I512*J512</x:f>
        <x:v>-5.28</x:v>
      </x:c>
      <x:c r="L512" s="7" t="str">
        <x:v>Opening OP-01</x:v>
      </x:c>
      <x:c r="M512" s="2"/>
      <x:c r="N512" s="2"/>
      <x:c r="O512" s="2"/>
      <x:c r="P512" s="2"/>
      <x:c r="Q512" s="2"/>
    </x:row>
    <x:row r="513" ht="22" customHeight="1">
      <x:c r="A513" s="2" t="str">
        <x:v>M0506</x:v>
      </x:c>
      <x:c r="B513" s="2" t="str">
        <x:v>RC04</x:v>
      </x:c>
      <x:c r="C513" s="2" t="str">
        <x:v>T2</x:v>
      </x:c>
      <x:c r="D513" s="2" t="str">
        <x:v>L08</x:v>
      </x:c>
      <x:c r="E513" s="2" t="str">
        <x:v>Beam downstands X</x:v>
      </x:c>
      <x:c r="F513" s="21" t="n">
        <x:v>1</x:v>
      </x:c>
      <x:c r="G513" s="21" t="n">
        <x:f>5*5*('Controls'!$B$10/5-'Controls'!$B$14)</x:f>
        <x:v>137.5</x:v>
      </x:c>
      <x:c r="H513" s="21" t="n">
        <x:f>'Controls'!$B$16</x:f>
        <x:v>0.3</x:v>
      </x:c>
      <x:c r="I513" s="21" t="n">
        <x:f>'Controls'!$B$17-'Controls'!$B$13</x:f>
        <x:v>0.38</x:v>
      </x:c>
      <x:c r="J513" s="21" t="n">
        <x:v>1</x:v>
      </x:c>
      <x:c r="K513" s="21" t="n">
        <x:f>F513*G513*H513*I513*J513</x:f>
        <x:v>15.675</x:v>
      </x:c>
      <x:c r="L513" s="2" t="str">
        <x:v>Clear spans between column faces; no joint overlap</x:v>
      </x:c>
      <x:c r="M513" s="2"/>
      <x:c r="N513" s="2"/>
      <x:c r="O513" s="2"/>
      <x:c r="P513" s="2"/>
      <x:c r="Q513" s="2"/>
    </x:row>
    <x:row r="514" ht="22" customHeight="1">
      <x:c r="A514" s="7" t="str">
        <x:v>M0507</x:v>
      </x:c>
      <x:c r="B514" s="7" t="str">
        <x:v>FW02</x:v>
      </x:c>
      <x:c r="C514" s="7" t="str">
        <x:v>T2</x:v>
      </x:c>
      <x:c r="D514" s="7" t="str">
        <x:v>L08</x:v>
      </x:c>
      <x:c r="E514" s="7" t="str">
        <x:v>Beam forms X</x:v>
      </x:c>
      <x:c r="F514" s="20" t="n">
        <x:v>1</x:v>
      </x:c>
      <x:c r="G514" s="20" t="n">
        <x:f>5*5*('Controls'!$B$10/5-'Controls'!$B$14)</x:f>
        <x:v>137.5</x:v>
      </x:c>
      <x:c r="H514" s="20" t="n">
        <x:f>'Controls'!$B$16+2*('Controls'!$B$17-'Controls'!$B$13)</x:f>
        <x:v>1.06</x:v>
      </x:c>
      <x:c r="I514" s="20" t="n">
        <x:v>1</x:v>
      </x:c>
      <x:c r="J514" s="20" t="n">
        <x:v>1</x:v>
      </x:c>
      <x:c r="K514" s="20" t="n">
        <x:f>F514*G514*H514*I514*J514</x:f>
        <x:v>145.75</x:v>
      </x:c>
      <x:c r="L514" s="7" t="str">
        <x:v>Soffit plus two downstand sides</x:v>
      </x:c>
      <x:c r="M514" s="2"/>
      <x:c r="N514" s="2"/>
      <x:c r="O514" s="2"/>
      <x:c r="P514" s="2"/>
      <x:c r="Q514" s="2"/>
    </x:row>
    <x:row r="515" ht="22" customHeight="1">
      <x:c r="A515" s="2" t="str">
        <x:v>M0508</x:v>
      </x:c>
      <x:c r="B515" s="2" t="str">
        <x:v>RC04</x:v>
      </x:c>
      <x:c r="C515" s="2" t="str">
        <x:v>T2</x:v>
      </x:c>
      <x:c r="D515" s="2" t="str">
        <x:v>L08</x:v>
      </x:c>
      <x:c r="E515" s="2" t="str">
        <x:v>Beam downstands Y</x:v>
      </x:c>
      <x:c r="F515" s="21" t="n">
        <x:v>1</x:v>
      </x:c>
      <x:c r="G515" s="21" t="n">
        <x:f>6*4*('Controls'!$B$11/4-'Controls'!$B$15)</x:f>
        <x:v>132</x:v>
      </x:c>
      <x:c r="H515" s="21" t="n">
        <x:f>'Controls'!$B$16</x:f>
        <x:v>0.3</x:v>
      </x:c>
      <x:c r="I515" s="21" t="n">
        <x:f>'Controls'!$B$17-'Controls'!$B$13</x:f>
        <x:v>0.38</x:v>
      </x:c>
      <x:c r="J515" s="21" t="n">
        <x:v>1</x:v>
      </x:c>
      <x:c r="K515" s="21" t="n">
        <x:f>F515*G515*H515*I515*J515</x:f>
        <x:v>15.048</x:v>
      </x:c>
      <x:c r="L515" s="2" t="str">
        <x:v>Clear spans between column faces; no joint overlap</x:v>
      </x:c>
      <x:c r="M515" s="2"/>
      <x:c r="N515" s="2"/>
      <x:c r="O515" s="2"/>
      <x:c r="P515" s="2"/>
      <x:c r="Q515" s="2"/>
    </x:row>
    <x:row r="516" ht="22" customHeight="1">
      <x:c r="A516" s="7" t="str">
        <x:v>M0509</x:v>
      </x:c>
      <x:c r="B516" s="7" t="str">
        <x:v>FW02</x:v>
      </x:c>
      <x:c r="C516" s="7" t="str">
        <x:v>T2</x:v>
      </x:c>
      <x:c r="D516" s="7" t="str">
        <x:v>L08</x:v>
      </x:c>
      <x:c r="E516" s="7" t="str">
        <x:v>Beam forms Y</x:v>
      </x:c>
      <x:c r="F516" s="20" t="n">
        <x:v>1</x:v>
      </x:c>
      <x:c r="G516" s="20" t="n">
        <x:f>6*4*('Controls'!$B$11/4-'Controls'!$B$15)</x:f>
        <x:v>132</x:v>
      </x:c>
      <x:c r="H516" s="20" t="n">
        <x:f>'Controls'!$B$16+2*('Controls'!$B$17-'Controls'!$B$13)</x:f>
        <x:v>1.06</x:v>
      </x:c>
      <x:c r="I516" s="20" t="n">
        <x:v>1</x:v>
      </x:c>
      <x:c r="J516" s="20" t="n">
        <x:v>1</x:v>
      </x:c>
      <x:c r="K516" s="20" t="n">
        <x:f>F516*G516*H516*I516*J516</x:f>
        <x:v>139.92000000000002</x:v>
      </x:c>
      <x:c r="L516" s="7" t="str">
        <x:v>Soffit plus two downstand sides</x:v>
      </x:c>
      <x:c r="M516" s="2"/>
      <x:c r="N516" s="2"/>
      <x:c r="O516" s="2"/>
      <x:c r="P516" s="2"/>
      <x:c r="Q516" s="2"/>
    </x:row>
    <x:row r="517" ht="22" customHeight="1">
      <x:c r="A517" s="2" t="str">
        <x:v>M0510</x:v>
      </x:c>
      <x:c r="B517" s="2" t="str">
        <x:v>RC05</x:v>
      </x:c>
      <x:c r="C517" s="2" t="str">
        <x:v>T2</x:v>
      </x:c>
      <x:c r="D517" s="2" t="str">
        <x:v>L08</x:v>
      </x:c>
      <x:c r="E517" s="2" t="str">
        <x:v>Thirty columns, clear storey</x:v>
      </x:c>
      <x:c r="F517" s="21" t="n">
        <x:v>30</x:v>
      </x:c>
      <x:c r="G517" s="21" t="n">
        <x:f>'Controls'!$B$14</x:f>
        <x:v>0.5</x:v>
      </x:c>
      <x:c r="H517" s="21" t="n">
        <x:f>'Controls'!$B$15</x:f>
        <x:v>0.5</x:v>
      </x:c>
      <x:c r="I517" s="21" t="n">
        <x:f>'Controls'!$B$12-'Controls'!$B$13</x:f>
        <x:v>2.98</x:v>
      </x:c>
      <x:c r="J517" s="21" t="n">
        <x:v>1</x:v>
      </x:c>
      <x:c r="K517" s="21" t="n">
        <x:f>F517*G517*H517*I517*J517</x:f>
        <x:v>22.35</x:v>
      </x:c>
      <x:c r="L517" s="2" t="str">
        <x:v>Slab volume excluded from columns</x:v>
      </x:c>
      <x:c r="M517" s="2"/>
      <x:c r="N517" s="2"/>
      <x:c r="O517" s="2"/>
      <x:c r="P517" s="2"/>
      <x:c r="Q517" s="2"/>
    </x:row>
    <x:row r="518" ht="22" customHeight="1">
      <x:c r="A518" s="7" t="str">
        <x:v>M0511</x:v>
      </x:c>
      <x:c r="B518" s="7" t="str">
        <x:v>RC06</x:v>
      </x:c>
      <x:c r="C518" s="7" t="str">
        <x:v>T2</x:v>
      </x:c>
      <x:c r="D518" s="7" t="str">
        <x:v>L08</x:v>
      </x:c>
      <x:c r="E518" s="7" t="str">
        <x:v>Core walls clear storey</x:v>
      </x:c>
      <x:c r="F518" s="20" t="n">
        <x:v>1</x:v>
      </x:c>
      <x:c r="G518" s="20" t="n">
        <x:f>'Controls'!$B$19</x:f>
        <x:v>24</x:v>
      </x:c>
      <x:c r="H518" s="20" t="n">
        <x:f>'Controls'!$B$18</x:f>
        <x:v>0.25</x:v>
      </x:c>
      <x:c r="I518" s="20" t="n">
        <x:f>'Controls'!$B$12-'Controls'!$B$13</x:f>
        <x:v>2.98</x:v>
      </x:c>
      <x:c r="J518" s="20" t="n">
        <x:v>1</x:v>
      </x:c>
      <x:c r="K518" s="20" t="n">
        <x:f>F518*G518*H518*I518*J518</x:f>
        <x:v>17.88</x:v>
      </x:c>
      <x:c r="L518" s="7" t="str">
        <x:v>Net clear wall length excludes corners</x:v>
      </x:c>
      <x:c r="M518" s="2"/>
      <x:c r="N518" s="2"/>
      <x:c r="O518" s="2"/>
      <x:c r="P518" s="2"/>
      <x:c r="Q518" s="2"/>
    </x:row>
    <x:row r="519" ht="22" customHeight="1">
      <x:c r="A519" s="2" t="str">
        <x:v>M0512</x:v>
      </x:c>
      <x:c r="B519" s="2" t="str">
        <x:v>RC07</x:v>
      </x:c>
      <x:c r="C519" s="2" t="str">
        <x:v>T2</x:v>
      </x:c>
      <x:c r="D519" s="2" t="str">
        <x:v>L08</x:v>
      </x:c>
      <x:c r="E519" s="2" t="str">
        <x:v>Stair flights waist</x:v>
      </x:c>
      <x:c r="F519" s="21" t="n">
        <x:v>2</x:v>
      </x:c>
      <x:c r="G519" s="21" t="n">
        <x:v>4.1</x:v>
      </x:c>
      <x:c r="H519" s="21" t="n">
        <x:v>1.2</x:v>
      </x:c>
      <x:c r="I519" s="21" t="n">
        <x:v>0.18</x:v>
      </x:c>
      <x:c r="J519" s="21" t="n">
        <x:v>1</x:v>
      </x:c>
      <x:c r="K519" s="21" t="n">
        <x:f>F519*G519*H519*I519*J519</x:f>
        <x:v>1.7711999999999997</x:v>
      </x:c>
      <x:c r="L519" s="2" t="str">
        <x:v>Two flights; geometry separate from floor slab</x:v>
      </x:c>
      <x:c r="M519" s="2"/>
      <x:c r="N519" s="2"/>
      <x:c r="O519" s="2"/>
      <x:c r="P519" s="2"/>
      <x:c r="Q519" s="2"/>
    </x:row>
    <x:row r="520" ht="22" customHeight="1">
      <x:c r="A520" s="7" t="str">
        <x:v>M0513</x:v>
      </x:c>
      <x:c r="B520" s="7" t="str">
        <x:v>RC07</x:v>
      </x:c>
      <x:c r="C520" s="7" t="str">
        <x:v>T2</x:v>
      </x:c>
      <x:c r="D520" s="7" t="str">
        <x:v>L08</x:v>
      </x:c>
      <x:c r="E520" s="7" t="str">
        <x:v>Stair landings</x:v>
      </x:c>
      <x:c r="F520" s="20" t="n">
        <x:v>2</x:v>
      </x:c>
      <x:c r="G520" s="20" t="n">
        <x:v>2</x:v>
      </x:c>
      <x:c r="H520" s="20" t="n">
        <x:v>1.2</x:v>
      </x:c>
      <x:c r="I520" s="20" t="n">
        <x:v>0.18</x:v>
      </x:c>
      <x:c r="J520" s="20" t="n">
        <x:v>1</x:v>
      </x:c>
      <x:c r="K520" s="20" t="n">
        <x:f>F520*G520*H520*I520*J520</x:f>
        <x:v>0.864</x:v>
      </x:c>
      <x:c r="L520" s="7" t="str">
        <x:v>Within stair opening</x:v>
      </x:c>
      <x:c r="M520" s="2"/>
      <x:c r="N520" s="2"/>
      <x:c r="O520" s="2"/>
      <x:c r="P520" s="2"/>
      <x:c r="Q520" s="2"/>
    </x:row>
    <x:row r="521" ht="22" customHeight="1">
      <x:c r="A521" s="2" t="str">
        <x:v>M0514</x:v>
      </x:c>
      <x:c r="B521" s="2" t="str">
        <x:v>FW01</x:v>
      </x:c>
      <x:c r="C521" s="2" t="str">
        <x:v>T2</x:v>
      </x:c>
      <x:c r="D521" s="2" t="str">
        <x:v>L08</x:v>
      </x:c>
      <x:c r="E521" s="2" t="str">
        <x:v>Slab soffit gross</x:v>
      </x:c>
      <x:c r="F521" s="21" t="n">
        <x:v>1</x:v>
      </x:c>
      <x:c r="G521" s="21" t="n">
        <x:f>'Controls'!$B$10</x:f>
        <x:v>30</x:v>
      </x:c>
      <x:c r="H521" s="21" t="n">
        <x:f>'Controls'!$B$11</x:f>
        <x:v>24</x:v>
      </x:c>
      <x:c r="I521" s="21" t="n">
        <x:v>1</x:v>
      </x:c>
      <x:c r="J521" s="21" t="n">
        <x:v>1</x:v>
      </x:c>
      <x:c r="K521" s="21" t="n">
        <x:f>F521*G521*H521*I521*J521</x:f>
        <x:v>720</x:v>
      </x:c>
      <x:c r="L521" s="2" t="str">
        <x:v>Beam soffit deducted below</x:v>
      </x:c>
      <x:c r="M521" s="2"/>
      <x:c r="N521" s="2"/>
      <x:c r="O521" s="2"/>
      <x:c r="P521" s="2"/>
      <x:c r="Q521" s="2"/>
    </x:row>
    <x:row r="522" ht="22" customHeight="1">
      <x:c r="A522" s="7" t="str">
        <x:v>M0515</x:v>
      </x:c>
      <x:c r="B522" s="7" t="str">
        <x:v>FW01</x:v>
      </x:c>
      <x:c r="C522" s="7" t="str">
        <x:v>T2</x:v>
      </x:c>
      <x:c r="D522" s="7" t="str">
        <x:v>L08</x:v>
      </x:c>
      <x:c r="E522" s="7" t="str">
        <x:v>Stair opening deduction</x:v>
      </x:c>
      <x:c r="F522" s="20" t="n">
        <x:v>1</x:v>
      </x:c>
      <x:c r="G522" s="20" t="n">
        <x:f>'Controls'!$B$20</x:f>
        <x:v>4</x:v>
      </x:c>
      <x:c r="H522" s="20" t="n">
        <x:f>'Controls'!$B$21</x:f>
        <x:v>6</x:v>
      </x:c>
      <x:c r="I522" s="20" t="n">
        <x:v>1</x:v>
      </x:c>
      <x:c r="J522" s="20" t="n">
        <x:v>-1</x:v>
      </x:c>
      <x:c r="K522" s="20" t="n">
        <x:f>F522*G522*H522*I522*J522</x:f>
        <x:v>-24</x:v>
      </x:c>
      <x:c r="L522" s="7" t="str">
        <x:v>OP-01</x:v>
      </x:c>
      <x:c r="M522" s="2"/>
      <x:c r="N522" s="2"/>
      <x:c r="O522" s="2"/>
      <x:c r="P522" s="2"/>
      <x:c r="Q522" s="2"/>
    </x:row>
    <x:row r="523" ht="22" customHeight="1">
      <x:c r="A523" s="2" t="str">
        <x:v>M0516</x:v>
      </x:c>
      <x:c r="B523" s="2" t="str">
        <x:v>FW01</x:v>
      </x:c>
      <x:c r="C523" s="2" t="str">
        <x:v>T2</x:v>
      </x:c>
      <x:c r="D523" s="2" t="str">
        <x:v>L08</x:v>
      </x:c>
      <x:c r="E523" s="2" t="str">
        <x:v>Beam soffit deduction</x:v>
      </x:c>
      <x:c r="F523" s="21" t="n">
        <x:v>1</x:v>
      </x:c>
      <x:c r="G523" s="21" t="n">
        <x:f>5*5*('Controls'!$B$10/5-'Controls'!$B$14)+6*4*('Controls'!$B$11/4-'Controls'!$B$15)</x:f>
        <x:v>269.5</x:v>
      </x:c>
      <x:c r="H523" s="21" t="n">
        <x:f>'Controls'!$B$16</x:f>
        <x:v>0.3</x:v>
      </x:c>
      <x:c r="I523" s="21" t="n">
        <x:v>1</x:v>
      </x:c>
      <x:c r="J523" s="21" t="n">
        <x:v>-1</x:v>
      </x:c>
      <x:c r="K523" s="21" t="n">
        <x:f>F523*G523*H523*I523*J523</x:f>
        <x:v>-80.85</x:v>
      </x:c>
      <x:c r="L523" s="2" t="str">
        <x:v>Beam forms measured in FW02</x:v>
      </x:c>
      <x:c r="M523" s="2"/>
      <x:c r="N523" s="2"/>
      <x:c r="O523" s="2"/>
      <x:c r="P523" s="2"/>
      <x:c r="Q523" s="2"/>
    </x:row>
    <x:row r="524" ht="22" customHeight="1">
      <x:c r="A524" s="7" t="str">
        <x:v>M0517</x:v>
      </x:c>
      <x:c r="B524" s="7" t="str">
        <x:v>FW03</x:v>
      </x:c>
      <x:c r="C524" s="7" t="str">
        <x:v>T2</x:v>
      </x:c>
      <x:c r="D524" s="7" t="str">
        <x:v>L08</x:v>
      </x:c>
      <x:c r="E524" s="7" t="str">
        <x:v>Column four faces</x:v>
      </x:c>
      <x:c r="F524" s="20" t="n">
        <x:v>30</x:v>
      </x:c>
      <x:c r="G524" s="20" t="n">
        <x:f>2*('Controls'!$B$14+'Controls'!$B$15)</x:f>
        <x:v>2</x:v>
      </x:c>
      <x:c r="H524" s="20" t="n">
        <x:f>'Controls'!$B$12-'Controls'!$B$13</x:f>
        <x:v>2.98</x:v>
      </x:c>
      <x:c r="I524" s="20" t="n">
        <x:v>1</x:v>
      </x:c>
      <x:c r="J524" s="20" t="n">
        <x:v>1</x:v>
      </x:c>
      <x:c r="K524" s="20" t="n">
        <x:f>F524*G524*H524*I524*J524</x:f>
        <x:v>178.8</x:v>
      </x:c>
      <x:c r="L524" s="7" t="str">
        <x:v>Clear floor-to-soffit</x:v>
      </x:c>
      <x:c r="M524" s="2"/>
      <x:c r="N524" s="2"/>
      <x:c r="O524" s="2"/>
      <x:c r="P524" s="2"/>
      <x:c r="Q524" s="2"/>
    </x:row>
    <x:row r="525" ht="22" customHeight="1">
      <x:c r="A525" s="2" t="str">
        <x:v>M0518</x:v>
      </x:c>
      <x:c r="B525" s="2" t="str">
        <x:v>FW04</x:v>
      </x:c>
      <x:c r="C525" s="2" t="str">
        <x:v>T2</x:v>
      </x:c>
      <x:c r="D525" s="2" t="str">
        <x:v>L08</x:v>
      </x:c>
      <x:c r="E525" s="2" t="str">
        <x:v>Core wall two faces</x:v>
      </x:c>
      <x:c r="F525" s="21" t="n">
        <x:v>2</x:v>
      </x:c>
      <x:c r="G525" s="21" t="n">
        <x:f>'Controls'!$B$19</x:f>
        <x:v>24</x:v>
      </x:c>
      <x:c r="H525" s="21" t="n">
        <x:f>'Controls'!$B$12-'Controls'!$B$13</x:f>
        <x:v>2.98</x:v>
      </x:c>
      <x:c r="I525" s="21" t="n">
        <x:v>1</x:v>
      </x:c>
      <x:c r="J525" s="21" t="n">
        <x:v>1</x:v>
      </x:c>
      <x:c r="K525" s="21" t="n">
        <x:f>F525*G525*H525*I525*J525</x:f>
        <x:v>143.04</x:v>
      </x:c>
      <x:c r="L525" s="2" t="str">
        <x:v>Net perimeter, no repeated corners</x:v>
      </x:c>
      <x:c r="M525" s="2"/>
      <x:c r="N525" s="2"/>
      <x:c r="O525" s="2"/>
      <x:c r="P525" s="2"/>
      <x:c r="Q525" s="2"/>
    </x:row>
    <x:row r="526" ht="22" customHeight="1">
      <x:c r="A526" s="7" t="str">
        <x:v>M0519</x:v>
      </x:c>
      <x:c r="B526" s="7" t="str">
        <x:v>AR01</x:v>
      </x:c>
      <x:c r="C526" s="7" t="str">
        <x:v>T2</x:v>
      </x:c>
      <x:c r="D526" s="7" t="str">
        <x:v>L08</x:v>
      </x:c>
      <x:c r="E526" s="7" t="str">
        <x:v>Partition walls gross</x:v>
      </x:c>
      <x:c r="F526" s="20" t="n">
        <x:v>1</x:v>
      </x:c>
      <x:c r="G526" s="20" t="n">
        <x:f>'Controls'!$B$45</x:f>
        <x:v>220</x:v>
      </x:c>
      <x:c r="H526" s="20" t="n">
        <x:f>'Controls'!$B$12-'Controls'!$B$13</x:f>
        <x:v>2.98</x:v>
      </x:c>
      <x:c r="I526" s="20" t="n">
        <x:f>'Controls'!$B$46</x:f>
        <x:v>0.15</x:v>
      </x:c>
      <x:c r="J526" s="20" t="n">
        <x:v>1</x:v>
      </x:c>
      <x:c r="K526" s="20" t="n">
        <x:f>F526*G526*H526*I526*J526</x:f>
        <x:v>98.34</x:v>
      </x:c>
      <x:c r="L526" s="7" t="str">
        <x:v>Net openings deducted below</x:v>
      </x:c>
      <x:c r="M526" s="2"/>
      <x:c r="N526" s="2"/>
      <x:c r="O526" s="2"/>
      <x:c r="P526" s="2"/>
      <x:c r="Q526" s="2"/>
    </x:row>
    <x:row r="527" ht="22" customHeight="1">
      <x:c r="A527" s="2" t="str">
        <x:v>M0520</x:v>
      </x:c>
      <x:c r="B527" s="2" t="str">
        <x:v>AR01</x:v>
      </x:c>
      <x:c r="C527" s="2" t="str">
        <x:v>T2</x:v>
      </x:c>
      <x:c r="D527" s="2" t="str">
        <x:v>L08</x:v>
      </x:c>
      <x:c r="E527" s="2" t="str">
        <x:v>Internal doors deduction</x:v>
      </x:c>
      <x:c r="F527" s="21" t="n">
        <x:f>'Controls'!$B$48</x:f>
        <x:v>28</x:v>
      </x:c>
      <x:c r="G527" s="21" t="n">
        <x:f>'Controls'!$B$49</x:f>
        <x:v>0.9</x:v>
      </x:c>
      <x:c r="H527" s="21" t="n">
        <x:f>'Controls'!$B$50</x:f>
        <x:v>2.1</x:v>
      </x:c>
      <x:c r="I527" s="21" t="n">
        <x:f>'Controls'!$B$46</x:f>
        <x:v>0.15</x:v>
      </x:c>
      <x:c r="J527" s="21" t="n">
        <x:v>-1</x:v>
      </x:c>
      <x:c r="K527" s="21" t="n">
        <x:f>F527*G527*H527*I527*J527</x:f>
        <x:v>-7.938</x:v>
      </x:c>
      <x:c r="L527" s="2" t="str">
        <x:v>28 doors per floor, OP-02</x:v>
      </x:c>
      <x:c r="M527" s="2"/>
      <x:c r="N527" s="2"/>
      <x:c r="O527" s="2"/>
      <x:c r="P527" s="2"/>
      <x:c r="Q527" s="2"/>
    </x:row>
    <x:row r="528" ht="22" customHeight="1">
      <x:c r="A528" s="7" t="str">
        <x:v>M0521</x:v>
      </x:c>
      <x:c r="B528" s="7" t="str">
        <x:v>AR02</x:v>
      </x:c>
      <x:c r="C528" s="7" t="str">
        <x:v>T2</x:v>
      </x:c>
      <x:c r="D528" s="7" t="str">
        <x:v>L08</x:v>
      </x:c>
      <x:c r="E528" s="7" t="str">
        <x:v>Internal plaster gross</x:v>
      </x:c>
      <x:c r="F528" s="20" t="n">
        <x:v>2</x:v>
      </x:c>
      <x:c r="G528" s="20" t="n">
        <x:f>'Controls'!$B$45</x:f>
        <x:v>220</x:v>
      </x:c>
      <x:c r="H528" s="20" t="n">
        <x:f>'Controls'!$B$12-'Controls'!$B$13</x:f>
        <x:v>2.98</x:v>
      </x:c>
      <x:c r="I528" s="20" t="n">
        <x:v>1</x:v>
      </x:c>
      <x:c r="J528" s="20" t="n">
        <x:v>1</x:v>
      </x:c>
      <x:c r="K528" s="20" t="n">
        <x:f>F528*G528*H528*I528*J528</x:f>
        <x:v>1311.2</x:v>
      </x:c>
      <x:c r="L528" s="7" t="str">
        <x:v>Both faces of partition walls</x:v>
      </x:c>
      <x:c r="M528" s="2"/>
      <x:c r="N528" s="2"/>
      <x:c r="O528" s="2"/>
      <x:c r="P528" s="2"/>
      <x:c r="Q528" s="2"/>
    </x:row>
    <x:row r="529" ht="22" customHeight="1">
      <x:c r="A529" s="2" t="str">
        <x:v>M0522</x:v>
      </x:c>
      <x:c r="B529" s="2" t="str">
        <x:v>AR02</x:v>
      </x:c>
      <x:c r="C529" s="2" t="str">
        <x:v>T2</x:v>
      </x:c>
      <x:c r="D529" s="2" t="str">
        <x:v>L08</x:v>
      </x:c>
      <x:c r="E529" s="2" t="str">
        <x:v>Door area deduction both faces</x:v>
      </x:c>
      <x:c r="F529" s="21" t="n">
        <x:f>2*'Controls'!$B$48</x:f>
        <x:v>56</x:v>
      </x:c>
      <x:c r="G529" s="21" t="n">
        <x:f>'Controls'!$B$49</x:f>
        <x:v>0.9</x:v>
      </x:c>
      <x:c r="H529" s="21" t="n">
        <x:f>'Controls'!$B$50</x:f>
        <x:v>2.1</x:v>
      </x:c>
      <x:c r="I529" s="21" t="n">
        <x:v>1</x:v>
      </x:c>
      <x:c r="J529" s="21" t="n">
        <x:v>-1</x:v>
      </x:c>
      <x:c r="K529" s="21" t="n">
        <x:f>F529*G529*H529*I529*J529</x:f>
        <x:v>-105.84</x:v>
      </x:c>
      <x:c r="L529" s="2" t="str">
        <x:v>No plaster over openings</x:v>
      </x:c>
      <x:c r="M529" s="2"/>
      <x:c r="N529" s="2"/>
      <x:c r="O529" s="2"/>
      <x:c r="P529" s="2"/>
      <x:c r="Q529" s="2"/>
    </x:row>
    <x:row r="530" ht="22" customHeight="1">
      <x:c r="A530" s="7" t="str">
        <x:v>M0523</x:v>
      </x:c>
      <x:c r="B530" s="7" t="str">
        <x:v>AR03</x:v>
      </x:c>
      <x:c r="C530" s="7" t="str">
        <x:v>T2</x:v>
      </x:c>
      <x:c r="D530" s="7" t="str">
        <x:v>L08</x:v>
      </x:c>
      <x:c r="E530" s="7" t="str">
        <x:v>Floor screed net</x:v>
      </x:c>
      <x:c r="F530" s="20" t="n">
        <x:v>1</x:v>
      </x:c>
      <x:c r="G530" s="20" t="n">
        <x:f>'Controls'!$B$10*'Controls'!$B$11-'Controls'!$B$20*'Controls'!$B$21</x:f>
        <x:v>696</x:v>
      </x:c>
      <x:c r="H530" s="20" t="n">
        <x:v>1</x:v>
      </x:c>
      <x:c r="I530" s="20" t="n">
        <x:v>1</x:v>
      </x:c>
      <x:c r="J530" s="20" t="n">
        <x:v>1</x:v>
      </x:c>
      <x:c r="K530" s="20" t="n">
        <x:f>F530*G530*H530*I530*J530</x:f>
        <x:v>696</x:v>
      </x:c>
      <x:c r="L530" s="7" t="str">
        <x:v>Net structural floor area</x:v>
      </x:c>
      <x:c r="M530" s="2"/>
      <x:c r="N530" s="2"/>
      <x:c r="O530" s="2"/>
      <x:c r="P530" s="2"/>
      <x:c r="Q530" s="2"/>
    </x:row>
    <x:row r="531" ht="22" customHeight="1">
      <x:c r="A531" s="2" t="str">
        <x:v>M0524</x:v>
      </x:c>
      <x:c r="B531" s="2" t="str">
        <x:v>AR04</x:v>
      </x:c>
      <x:c r="C531" s="2" t="str">
        <x:v>T2</x:v>
      </x:c>
      <x:c r="D531" s="2" t="str">
        <x:v>L08</x:v>
      </x:c>
      <x:c r="E531" s="2" t="str">
        <x:v>Floor finish net</x:v>
      </x:c>
      <x:c r="F531" s="21" t="n">
        <x:v>1</x:v>
      </x:c>
      <x:c r="G531" s="21" t="n">
        <x:f>'Controls'!$B$10*'Controls'!$B$11-'Controls'!$B$20*'Controls'!$B$21</x:f>
        <x:v>696</x:v>
      </x:c>
      <x:c r="H531" s="21" t="n">
        <x:v>1</x:v>
      </x:c>
      <x:c r="I531" s="21" t="n">
        <x:v>1</x:v>
      </x:c>
      <x:c r="J531" s="21" t="n">
        <x:v>1</x:v>
      </x:c>
      <x:c r="K531" s="21" t="n">
        <x:f>F531*G531*H531*I531*J531</x:f>
        <x:v>696</x:v>
      </x:c>
      <x:c r="L531" s="2" t="str">
        <x:v>Waste excluded from BOQ</x:v>
      </x:c>
      <x:c r="M531" s="2"/>
      <x:c r="N531" s="2"/>
      <x:c r="O531" s="2"/>
      <x:c r="P531" s="2"/>
      <x:c r="Q531" s="2"/>
    </x:row>
    <x:row r="532" ht="22" customHeight="1">
      <x:c r="A532" s="7" t="str">
        <x:v>M0525</x:v>
      </x:c>
      <x:c r="B532" s="7" t="str">
        <x:v>AR05</x:v>
      </x:c>
      <x:c r="C532" s="7" t="str">
        <x:v>T2</x:v>
      </x:c>
      <x:c r="D532" s="7" t="str">
        <x:v>L08</x:v>
      </x:c>
      <x:c r="E532" s="7" t="str">
        <x:v>Internal wall paint net</x:v>
      </x:c>
      <x:c r="F532" s="20" t="n">
        <x:v>2</x:v>
      </x:c>
      <x:c r="G532" s="20" t="n">
        <x:f>'Controls'!$B$45*('Controls'!$B$12-'Controls'!$B$13)-'Controls'!$B$48*'Controls'!$B$49*'Controls'!$B$50</x:f>
        <x:v>602.6800000000001</x:v>
      </x:c>
      <x:c r="H532" s="20" t="n">
        <x:v>1</x:v>
      </x:c>
      <x:c r="I532" s="20" t="n">
        <x:v>1</x:v>
      </x:c>
      <x:c r="J532" s="20" t="n">
        <x:v>1</x:v>
      </x:c>
      <x:c r="K532" s="20" t="n">
        <x:f>F532*G532*H532*I532*J532</x:f>
        <x:v>1205.3600000000001</x:v>
      </x:c>
      <x:c r="L532" s="7" t="str">
        <x:v>Finished area; two coats priced in rate</x:v>
      </x:c>
      <x:c r="M532" s="2"/>
      <x:c r="N532" s="2"/>
      <x:c r="O532" s="2"/>
      <x:c r="P532" s="2"/>
      <x:c r="Q532" s="2"/>
    </x:row>
    <x:row r="533" ht="22" customHeight="1">
      <x:c r="A533" s="2" t="str">
        <x:v>M0526</x:v>
      </x:c>
      <x:c r="B533" s="2" t="str">
        <x:v>AR06</x:v>
      </x:c>
      <x:c r="C533" s="2" t="str">
        <x:v>T2</x:v>
      </x:c>
      <x:c r="D533" s="2" t="str">
        <x:v>L08</x:v>
      </x:c>
      <x:c r="E533" s="2" t="str">
        <x:v>Door sets</x:v>
      </x:c>
      <x:c r="F533" s="21" t="n">
        <x:f>'Controls'!$B$48</x:f>
        <x:v>28</x:v>
      </x:c>
      <x:c r="G533" s="21" t="n">
        <x:v>1</x:v>
      </x:c>
      <x:c r="H533" s="21" t="n">
        <x:v>1</x:v>
      </x:c>
      <x:c r="I533" s="21" t="n">
        <x:v>1</x:v>
      </x:c>
      <x:c r="J533" s="21" t="n">
        <x:v>1</x:v>
      </x:c>
      <x:c r="K533" s="21" t="n">
        <x:f>F533*G533*H533*I533*J533</x:f>
        <x:v>28</x:v>
      </x:c>
      <x:c r="L533" s="2" t="str">
        <x:v>Door count, not double face</x:v>
      </x:c>
      <x:c r="M533" s="2"/>
      <x:c r="N533" s="2"/>
      <x:c r="O533" s="2"/>
      <x:c r="P533" s="2"/>
      <x:c r="Q533" s="2"/>
    </x:row>
    <x:row r="534" ht="22" customHeight="1">
      <x:c r="A534" s="7" t="str">
        <x:v>M0527</x:v>
      </x:c>
      <x:c r="B534" s="7" t="str">
        <x:v>RC03</x:v>
      </x:c>
      <x:c r="C534" s="7" t="str">
        <x:v>T2</x:v>
      </x:c>
      <x:c r="D534" s="7" t="str">
        <x:v>L09</x:v>
      </x:c>
      <x:c r="E534" s="7" t="str">
        <x:v>Floor slab gross</x:v>
      </x:c>
      <x:c r="F534" s="20" t="n">
        <x:v>1</x:v>
      </x:c>
      <x:c r="G534" s="20" t="n">
        <x:f>'Controls'!$B$10</x:f>
        <x:v>30</x:v>
      </x:c>
      <x:c r="H534" s="20" t="n">
        <x:f>'Controls'!$B$11</x:f>
        <x:v>24</x:v>
      </x:c>
      <x:c r="I534" s="20" t="n">
        <x:f>'Controls'!$B$13</x:f>
        <x:v>0.22</x:v>
      </x:c>
      <x:c r="J534" s="20" t="n">
        <x:v>1</x:v>
      </x:c>
      <x:c r="K534" s="20" t="n">
        <x:f>F534*G534*H534*I534*J534</x:f>
        <x:v>158.4</x:v>
      </x:c>
      <x:c r="L534" s="7" t="str">
        <x:v>Slab includes beam top flange; downstand separate</x:v>
      </x:c>
      <x:c r="M534" s="2"/>
      <x:c r="N534" s="2"/>
      <x:c r="O534" s="2"/>
      <x:c r="P534" s="2"/>
      <x:c r="Q534" s="2"/>
    </x:row>
    <x:row r="535" ht="22" customHeight="1">
      <x:c r="A535" s="2" t="str">
        <x:v>M0528</x:v>
      </x:c>
      <x:c r="B535" s="2" t="str">
        <x:v>RC03</x:v>
      </x:c>
      <x:c r="C535" s="2" t="str">
        <x:v>T2</x:v>
      </x:c>
      <x:c r="D535" s="2" t="str">
        <x:v>L09</x:v>
      </x:c>
      <x:c r="E535" s="2" t="str">
        <x:v>Stair opening deduction</x:v>
      </x:c>
      <x:c r="F535" s="21" t="n">
        <x:v>1</x:v>
      </x:c>
      <x:c r="G535" s="21" t="n">
        <x:f>'Controls'!$B$20</x:f>
        <x:v>4</x:v>
      </x:c>
      <x:c r="H535" s="21" t="n">
        <x:f>'Controls'!$B$21</x:f>
        <x:v>6</x:v>
      </x:c>
      <x:c r="I535" s="21" t="n">
        <x:f>'Controls'!$B$13</x:f>
        <x:v>0.22</x:v>
      </x:c>
      <x:c r="J535" s="21" t="n">
        <x:v>-1</x:v>
      </x:c>
      <x:c r="K535" s="21" t="n">
        <x:f>F535*G535*H535*I535*J535</x:f>
        <x:v>-5.28</x:v>
      </x:c>
      <x:c r="L535" s="2" t="str">
        <x:v>Opening OP-01</x:v>
      </x:c>
      <x:c r="M535" s="2"/>
      <x:c r="N535" s="2"/>
      <x:c r="O535" s="2"/>
      <x:c r="P535" s="2"/>
      <x:c r="Q535" s="2"/>
    </x:row>
    <x:row r="536" ht="22" customHeight="1">
      <x:c r="A536" s="7" t="str">
        <x:v>M0529</x:v>
      </x:c>
      <x:c r="B536" s="7" t="str">
        <x:v>RC04</x:v>
      </x:c>
      <x:c r="C536" s="7" t="str">
        <x:v>T2</x:v>
      </x:c>
      <x:c r="D536" s="7" t="str">
        <x:v>L09</x:v>
      </x:c>
      <x:c r="E536" s="7" t="str">
        <x:v>Beam downstands X</x:v>
      </x:c>
      <x:c r="F536" s="20" t="n">
        <x:v>1</x:v>
      </x:c>
      <x:c r="G536" s="20" t="n">
        <x:f>5*5*('Controls'!$B$10/5-'Controls'!$B$14)</x:f>
        <x:v>137.5</x:v>
      </x:c>
      <x:c r="H536" s="20" t="n">
        <x:f>'Controls'!$B$16</x:f>
        <x:v>0.3</x:v>
      </x:c>
      <x:c r="I536" s="20" t="n">
        <x:f>'Controls'!$B$17-'Controls'!$B$13</x:f>
        <x:v>0.38</x:v>
      </x:c>
      <x:c r="J536" s="20" t="n">
        <x:v>1</x:v>
      </x:c>
      <x:c r="K536" s="20" t="n">
        <x:f>F536*G536*H536*I536*J536</x:f>
        <x:v>15.675</x:v>
      </x:c>
      <x:c r="L536" s="7" t="str">
        <x:v>Clear spans between column faces; no joint overlap</x:v>
      </x:c>
      <x:c r="M536" s="2"/>
      <x:c r="N536" s="2"/>
      <x:c r="O536" s="2"/>
      <x:c r="P536" s="2"/>
      <x:c r="Q536" s="2"/>
    </x:row>
    <x:row r="537" ht="22" customHeight="1">
      <x:c r="A537" s="2" t="str">
        <x:v>M0530</x:v>
      </x:c>
      <x:c r="B537" s="2" t="str">
        <x:v>FW02</x:v>
      </x:c>
      <x:c r="C537" s="2" t="str">
        <x:v>T2</x:v>
      </x:c>
      <x:c r="D537" s="2" t="str">
        <x:v>L09</x:v>
      </x:c>
      <x:c r="E537" s="2" t="str">
        <x:v>Beam forms X</x:v>
      </x:c>
      <x:c r="F537" s="21" t="n">
        <x:v>1</x:v>
      </x:c>
      <x:c r="G537" s="21" t="n">
        <x:f>5*5*('Controls'!$B$10/5-'Controls'!$B$14)</x:f>
        <x:v>137.5</x:v>
      </x:c>
      <x:c r="H537" s="21" t="n">
        <x:f>'Controls'!$B$16+2*('Controls'!$B$17-'Controls'!$B$13)</x:f>
        <x:v>1.06</x:v>
      </x:c>
      <x:c r="I537" s="21" t="n">
        <x:v>1</x:v>
      </x:c>
      <x:c r="J537" s="21" t="n">
        <x:v>1</x:v>
      </x:c>
      <x:c r="K537" s="21" t="n">
        <x:f>F537*G537*H537*I537*J537</x:f>
        <x:v>145.75</x:v>
      </x:c>
      <x:c r="L537" s="2" t="str">
        <x:v>Soffit plus two downstand sides</x:v>
      </x:c>
      <x:c r="M537" s="2"/>
      <x:c r="N537" s="2"/>
      <x:c r="O537" s="2"/>
      <x:c r="P537" s="2"/>
      <x:c r="Q537" s="2"/>
    </x:row>
    <x:row r="538" ht="22" customHeight="1">
      <x:c r="A538" s="7" t="str">
        <x:v>M0531</x:v>
      </x:c>
      <x:c r="B538" s="7" t="str">
        <x:v>RC04</x:v>
      </x:c>
      <x:c r="C538" s="7" t="str">
        <x:v>T2</x:v>
      </x:c>
      <x:c r="D538" s="7" t="str">
        <x:v>L09</x:v>
      </x:c>
      <x:c r="E538" s="7" t="str">
        <x:v>Beam downstands Y</x:v>
      </x:c>
      <x:c r="F538" s="20" t="n">
        <x:v>1</x:v>
      </x:c>
      <x:c r="G538" s="20" t="n">
        <x:f>6*4*('Controls'!$B$11/4-'Controls'!$B$15)</x:f>
        <x:v>132</x:v>
      </x:c>
      <x:c r="H538" s="20" t="n">
        <x:f>'Controls'!$B$16</x:f>
        <x:v>0.3</x:v>
      </x:c>
      <x:c r="I538" s="20" t="n">
        <x:f>'Controls'!$B$17-'Controls'!$B$13</x:f>
        <x:v>0.38</x:v>
      </x:c>
      <x:c r="J538" s="20" t="n">
        <x:v>1</x:v>
      </x:c>
      <x:c r="K538" s="20" t="n">
        <x:f>F538*G538*H538*I538*J538</x:f>
        <x:v>15.048</x:v>
      </x:c>
      <x:c r="L538" s="7" t="str">
        <x:v>Clear spans between column faces; no joint overlap</x:v>
      </x:c>
      <x:c r="M538" s="2"/>
      <x:c r="N538" s="2"/>
      <x:c r="O538" s="2"/>
      <x:c r="P538" s="2"/>
      <x:c r="Q538" s="2"/>
    </x:row>
    <x:row r="539" ht="22" customHeight="1">
      <x:c r="A539" s="2" t="str">
        <x:v>M0532</x:v>
      </x:c>
      <x:c r="B539" s="2" t="str">
        <x:v>FW02</x:v>
      </x:c>
      <x:c r="C539" s="2" t="str">
        <x:v>T2</x:v>
      </x:c>
      <x:c r="D539" s="2" t="str">
        <x:v>L09</x:v>
      </x:c>
      <x:c r="E539" s="2" t="str">
        <x:v>Beam forms Y</x:v>
      </x:c>
      <x:c r="F539" s="21" t="n">
        <x:v>1</x:v>
      </x:c>
      <x:c r="G539" s="21" t="n">
        <x:f>6*4*('Controls'!$B$11/4-'Controls'!$B$15)</x:f>
        <x:v>132</x:v>
      </x:c>
      <x:c r="H539" s="21" t="n">
        <x:f>'Controls'!$B$16+2*('Controls'!$B$17-'Controls'!$B$13)</x:f>
        <x:v>1.06</x:v>
      </x:c>
      <x:c r="I539" s="21" t="n">
        <x:v>1</x:v>
      </x:c>
      <x:c r="J539" s="21" t="n">
        <x:v>1</x:v>
      </x:c>
      <x:c r="K539" s="21" t="n">
        <x:f>F539*G539*H539*I539*J539</x:f>
        <x:v>139.92000000000002</x:v>
      </x:c>
      <x:c r="L539" s="2" t="str">
        <x:v>Soffit plus two downstand sides</x:v>
      </x:c>
      <x:c r="M539" s="2"/>
      <x:c r="N539" s="2"/>
      <x:c r="O539" s="2"/>
      <x:c r="P539" s="2"/>
      <x:c r="Q539" s="2"/>
    </x:row>
    <x:row r="540" ht="22" customHeight="1">
      <x:c r="A540" s="7" t="str">
        <x:v>M0533</x:v>
      </x:c>
      <x:c r="B540" s="7" t="str">
        <x:v>RC05</x:v>
      </x:c>
      <x:c r="C540" s="7" t="str">
        <x:v>T2</x:v>
      </x:c>
      <x:c r="D540" s="7" t="str">
        <x:v>L09</x:v>
      </x:c>
      <x:c r="E540" s="7" t="str">
        <x:v>Thirty columns, clear storey</x:v>
      </x:c>
      <x:c r="F540" s="20" t="n">
        <x:v>30</x:v>
      </x:c>
      <x:c r="G540" s="20" t="n">
        <x:f>'Controls'!$B$14</x:f>
        <x:v>0.5</x:v>
      </x:c>
      <x:c r="H540" s="20" t="n">
        <x:f>'Controls'!$B$15</x:f>
        <x:v>0.5</x:v>
      </x:c>
      <x:c r="I540" s="20" t="n">
        <x:f>'Controls'!$B$12-'Controls'!$B$13</x:f>
        <x:v>2.98</x:v>
      </x:c>
      <x:c r="J540" s="20" t="n">
        <x:v>1</x:v>
      </x:c>
      <x:c r="K540" s="20" t="n">
        <x:f>F540*G540*H540*I540*J540</x:f>
        <x:v>22.35</x:v>
      </x:c>
      <x:c r="L540" s="7" t="str">
        <x:v>Slab volume excluded from columns</x:v>
      </x:c>
      <x:c r="M540" s="2"/>
      <x:c r="N540" s="2"/>
      <x:c r="O540" s="2"/>
      <x:c r="P540" s="2"/>
      <x:c r="Q540" s="2"/>
    </x:row>
    <x:row r="541" ht="22" customHeight="1">
      <x:c r="A541" s="2" t="str">
        <x:v>M0534</x:v>
      </x:c>
      <x:c r="B541" s="2" t="str">
        <x:v>RC06</x:v>
      </x:c>
      <x:c r="C541" s="2" t="str">
        <x:v>T2</x:v>
      </x:c>
      <x:c r="D541" s="2" t="str">
        <x:v>L09</x:v>
      </x:c>
      <x:c r="E541" s="2" t="str">
        <x:v>Core walls clear storey</x:v>
      </x:c>
      <x:c r="F541" s="21" t="n">
        <x:v>1</x:v>
      </x:c>
      <x:c r="G541" s="21" t="n">
        <x:f>'Controls'!$B$19</x:f>
        <x:v>24</x:v>
      </x:c>
      <x:c r="H541" s="21" t="n">
        <x:f>'Controls'!$B$18</x:f>
        <x:v>0.25</x:v>
      </x:c>
      <x:c r="I541" s="21" t="n">
        <x:f>'Controls'!$B$12-'Controls'!$B$13</x:f>
        <x:v>2.98</x:v>
      </x:c>
      <x:c r="J541" s="21" t="n">
        <x:v>1</x:v>
      </x:c>
      <x:c r="K541" s="21" t="n">
        <x:f>F541*G541*H541*I541*J541</x:f>
        <x:v>17.88</x:v>
      </x:c>
      <x:c r="L541" s="2" t="str">
        <x:v>Net clear wall length excludes corners</x:v>
      </x:c>
      <x:c r="M541" s="2"/>
      <x:c r="N541" s="2"/>
      <x:c r="O541" s="2"/>
      <x:c r="P541" s="2"/>
      <x:c r="Q541" s="2"/>
    </x:row>
    <x:row r="542" ht="22" customHeight="1">
      <x:c r="A542" s="7" t="str">
        <x:v>M0535</x:v>
      </x:c>
      <x:c r="B542" s="7" t="str">
        <x:v>RC07</x:v>
      </x:c>
      <x:c r="C542" s="7" t="str">
        <x:v>T2</x:v>
      </x:c>
      <x:c r="D542" s="7" t="str">
        <x:v>L09</x:v>
      </x:c>
      <x:c r="E542" s="7" t="str">
        <x:v>Stair flights waist</x:v>
      </x:c>
      <x:c r="F542" s="20" t="n">
        <x:v>2</x:v>
      </x:c>
      <x:c r="G542" s="20" t="n">
        <x:v>4.1</x:v>
      </x:c>
      <x:c r="H542" s="20" t="n">
        <x:v>1.2</x:v>
      </x:c>
      <x:c r="I542" s="20" t="n">
        <x:v>0.18</x:v>
      </x:c>
      <x:c r="J542" s="20" t="n">
        <x:v>1</x:v>
      </x:c>
      <x:c r="K542" s="20" t="n">
        <x:f>F542*G542*H542*I542*J542</x:f>
        <x:v>1.7711999999999997</x:v>
      </x:c>
      <x:c r="L542" s="7" t="str">
        <x:v>Two flights; geometry separate from floor slab</x:v>
      </x:c>
      <x:c r="M542" s="2"/>
      <x:c r="N542" s="2"/>
      <x:c r="O542" s="2"/>
      <x:c r="P542" s="2"/>
      <x:c r="Q542" s="2"/>
    </x:row>
    <x:row r="543" ht="22" customHeight="1">
      <x:c r="A543" s="2" t="str">
        <x:v>M0536</x:v>
      </x:c>
      <x:c r="B543" s="2" t="str">
        <x:v>RC07</x:v>
      </x:c>
      <x:c r="C543" s="2" t="str">
        <x:v>T2</x:v>
      </x:c>
      <x:c r="D543" s="2" t="str">
        <x:v>L09</x:v>
      </x:c>
      <x:c r="E543" s="2" t="str">
        <x:v>Stair landings</x:v>
      </x:c>
      <x:c r="F543" s="21" t="n">
        <x:v>2</x:v>
      </x:c>
      <x:c r="G543" s="21" t="n">
        <x:v>2</x:v>
      </x:c>
      <x:c r="H543" s="21" t="n">
        <x:v>1.2</x:v>
      </x:c>
      <x:c r="I543" s="21" t="n">
        <x:v>0.18</x:v>
      </x:c>
      <x:c r="J543" s="21" t="n">
        <x:v>1</x:v>
      </x:c>
      <x:c r="K543" s="21" t="n">
        <x:f>F543*G543*H543*I543*J543</x:f>
        <x:v>0.864</x:v>
      </x:c>
      <x:c r="L543" s="2" t="str">
        <x:v>Within stair opening</x:v>
      </x:c>
      <x:c r="M543" s="2"/>
      <x:c r="N543" s="2"/>
      <x:c r="O543" s="2"/>
      <x:c r="P543" s="2"/>
      <x:c r="Q543" s="2"/>
    </x:row>
    <x:row r="544" ht="22" customHeight="1">
      <x:c r="A544" s="7" t="str">
        <x:v>M0537</x:v>
      </x:c>
      <x:c r="B544" s="7" t="str">
        <x:v>FW01</x:v>
      </x:c>
      <x:c r="C544" s="7" t="str">
        <x:v>T2</x:v>
      </x:c>
      <x:c r="D544" s="7" t="str">
        <x:v>L09</x:v>
      </x:c>
      <x:c r="E544" s="7" t="str">
        <x:v>Slab soffit gross</x:v>
      </x:c>
      <x:c r="F544" s="20" t="n">
        <x:v>1</x:v>
      </x:c>
      <x:c r="G544" s="20" t="n">
        <x:f>'Controls'!$B$10</x:f>
        <x:v>30</x:v>
      </x:c>
      <x:c r="H544" s="20" t="n">
        <x:f>'Controls'!$B$11</x:f>
        <x:v>24</x:v>
      </x:c>
      <x:c r="I544" s="20" t="n">
        <x:v>1</x:v>
      </x:c>
      <x:c r="J544" s="20" t="n">
        <x:v>1</x:v>
      </x:c>
      <x:c r="K544" s="20" t="n">
        <x:f>F544*G544*H544*I544*J544</x:f>
        <x:v>720</x:v>
      </x:c>
      <x:c r="L544" s="7" t="str">
        <x:v>Beam soffit deducted below</x:v>
      </x:c>
      <x:c r="M544" s="2"/>
      <x:c r="N544" s="2"/>
      <x:c r="O544" s="2"/>
      <x:c r="P544" s="2"/>
      <x:c r="Q544" s="2"/>
    </x:row>
    <x:row r="545" ht="22" customHeight="1">
      <x:c r="A545" s="2" t="str">
        <x:v>M0538</x:v>
      </x:c>
      <x:c r="B545" s="2" t="str">
        <x:v>FW01</x:v>
      </x:c>
      <x:c r="C545" s="2" t="str">
        <x:v>T2</x:v>
      </x:c>
      <x:c r="D545" s="2" t="str">
        <x:v>L09</x:v>
      </x:c>
      <x:c r="E545" s="2" t="str">
        <x:v>Stair opening deduction</x:v>
      </x:c>
      <x:c r="F545" s="21" t="n">
        <x:v>1</x:v>
      </x:c>
      <x:c r="G545" s="21" t="n">
        <x:f>'Controls'!$B$20</x:f>
        <x:v>4</x:v>
      </x:c>
      <x:c r="H545" s="21" t="n">
        <x:f>'Controls'!$B$21</x:f>
        <x:v>6</x:v>
      </x:c>
      <x:c r="I545" s="21" t="n">
        <x:v>1</x:v>
      </x:c>
      <x:c r="J545" s="21" t="n">
        <x:v>-1</x:v>
      </x:c>
      <x:c r="K545" s="21" t="n">
        <x:f>F545*G545*H545*I545*J545</x:f>
        <x:v>-24</x:v>
      </x:c>
      <x:c r="L545" s="2" t="str">
        <x:v>OP-01</x:v>
      </x:c>
      <x:c r="M545" s="2"/>
      <x:c r="N545" s="2"/>
      <x:c r="O545" s="2"/>
      <x:c r="P545" s="2"/>
      <x:c r="Q545" s="2"/>
    </x:row>
    <x:row r="546" ht="22" customHeight="1">
      <x:c r="A546" s="7" t="str">
        <x:v>M0539</x:v>
      </x:c>
      <x:c r="B546" s="7" t="str">
        <x:v>FW01</x:v>
      </x:c>
      <x:c r="C546" s="7" t="str">
        <x:v>T2</x:v>
      </x:c>
      <x:c r="D546" s="7" t="str">
        <x:v>L09</x:v>
      </x:c>
      <x:c r="E546" s="7" t="str">
        <x:v>Beam soffit deduction</x:v>
      </x:c>
      <x:c r="F546" s="20" t="n">
        <x:v>1</x:v>
      </x:c>
      <x:c r="G546" s="20" t="n">
        <x:f>5*5*('Controls'!$B$10/5-'Controls'!$B$14)+6*4*('Controls'!$B$11/4-'Controls'!$B$15)</x:f>
        <x:v>269.5</x:v>
      </x:c>
      <x:c r="H546" s="20" t="n">
        <x:f>'Controls'!$B$16</x:f>
        <x:v>0.3</x:v>
      </x:c>
      <x:c r="I546" s="20" t="n">
        <x:v>1</x:v>
      </x:c>
      <x:c r="J546" s="20" t="n">
        <x:v>-1</x:v>
      </x:c>
      <x:c r="K546" s="20" t="n">
        <x:f>F546*G546*H546*I546*J546</x:f>
        <x:v>-80.85</x:v>
      </x:c>
      <x:c r="L546" s="7" t="str">
        <x:v>Beam forms measured in FW02</x:v>
      </x:c>
      <x:c r="M546" s="2"/>
      <x:c r="N546" s="2"/>
      <x:c r="O546" s="2"/>
      <x:c r="P546" s="2"/>
      <x:c r="Q546" s="2"/>
    </x:row>
    <x:row r="547" ht="22" customHeight="1">
      <x:c r="A547" s="2" t="str">
        <x:v>M0540</x:v>
      </x:c>
      <x:c r="B547" s="2" t="str">
        <x:v>FW03</x:v>
      </x:c>
      <x:c r="C547" s="2" t="str">
        <x:v>T2</x:v>
      </x:c>
      <x:c r="D547" s="2" t="str">
        <x:v>L09</x:v>
      </x:c>
      <x:c r="E547" s="2" t="str">
        <x:v>Column four faces</x:v>
      </x:c>
      <x:c r="F547" s="21" t="n">
        <x:v>30</x:v>
      </x:c>
      <x:c r="G547" s="21" t="n">
        <x:f>2*('Controls'!$B$14+'Controls'!$B$15)</x:f>
        <x:v>2</x:v>
      </x:c>
      <x:c r="H547" s="21" t="n">
        <x:f>'Controls'!$B$12-'Controls'!$B$13</x:f>
        <x:v>2.98</x:v>
      </x:c>
      <x:c r="I547" s="21" t="n">
        <x:v>1</x:v>
      </x:c>
      <x:c r="J547" s="21" t="n">
        <x:v>1</x:v>
      </x:c>
      <x:c r="K547" s="21" t="n">
        <x:f>F547*G547*H547*I547*J547</x:f>
        <x:v>178.8</x:v>
      </x:c>
      <x:c r="L547" s="2" t="str">
        <x:v>Clear floor-to-soffit</x:v>
      </x:c>
      <x:c r="M547" s="2"/>
      <x:c r="N547" s="2"/>
      <x:c r="O547" s="2"/>
      <x:c r="P547" s="2"/>
      <x:c r="Q547" s="2"/>
    </x:row>
    <x:row r="548" ht="22" customHeight="1">
      <x:c r="A548" s="7" t="str">
        <x:v>M0541</x:v>
      </x:c>
      <x:c r="B548" s="7" t="str">
        <x:v>FW04</x:v>
      </x:c>
      <x:c r="C548" s="7" t="str">
        <x:v>T2</x:v>
      </x:c>
      <x:c r="D548" s="7" t="str">
        <x:v>L09</x:v>
      </x:c>
      <x:c r="E548" s="7" t="str">
        <x:v>Core wall two faces</x:v>
      </x:c>
      <x:c r="F548" s="20" t="n">
        <x:v>2</x:v>
      </x:c>
      <x:c r="G548" s="20" t="n">
        <x:f>'Controls'!$B$19</x:f>
        <x:v>24</x:v>
      </x:c>
      <x:c r="H548" s="20" t="n">
        <x:f>'Controls'!$B$12-'Controls'!$B$13</x:f>
        <x:v>2.98</x:v>
      </x:c>
      <x:c r="I548" s="20" t="n">
        <x:v>1</x:v>
      </x:c>
      <x:c r="J548" s="20" t="n">
        <x:v>1</x:v>
      </x:c>
      <x:c r="K548" s="20" t="n">
        <x:f>F548*G548*H548*I548*J548</x:f>
        <x:v>143.04</x:v>
      </x:c>
      <x:c r="L548" s="7" t="str">
        <x:v>Net perimeter, no repeated corners</x:v>
      </x:c>
      <x:c r="M548" s="2"/>
      <x:c r="N548" s="2"/>
      <x:c r="O548" s="2"/>
      <x:c r="P548" s="2"/>
      <x:c r="Q548" s="2"/>
    </x:row>
    <x:row r="549" ht="22" customHeight="1">
      <x:c r="A549" s="2" t="str">
        <x:v>M0542</x:v>
      </x:c>
      <x:c r="B549" s="2" t="str">
        <x:v>AR01</x:v>
      </x:c>
      <x:c r="C549" s="2" t="str">
        <x:v>T2</x:v>
      </x:c>
      <x:c r="D549" s="2" t="str">
        <x:v>L09</x:v>
      </x:c>
      <x:c r="E549" s="2" t="str">
        <x:v>Partition walls gross</x:v>
      </x:c>
      <x:c r="F549" s="21" t="n">
        <x:v>1</x:v>
      </x:c>
      <x:c r="G549" s="21" t="n">
        <x:f>'Controls'!$B$45</x:f>
        <x:v>220</x:v>
      </x:c>
      <x:c r="H549" s="21" t="n">
        <x:f>'Controls'!$B$12-'Controls'!$B$13</x:f>
        <x:v>2.98</x:v>
      </x:c>
      <x:c r="I549" s="21" t="n">
        <x:f>'Controls'!$B$46</x:f>
        <x:v>0.15</x:v>
      </x:c>
      <x:c r="J549" s="21" t="n">
        <x:v>1</x:v>
      </x:c>
      <x:c r="K549" s="21" t="n">
        <x:f>F549*G549*H549*I549*J549</x:f>
        <x:v>98.34</x:v>
      </x:c>
      <x:c r="L549" s="2" t="str">
        <x:v>Net openings deducted below</x:v>
      </x:c>
      <x:c r="M549" s="2"/>
      <x:c r="N549" s="2"/>
      <x:c r="O549" s="2"/>
      <x:c r="P549" s="2"/>
      <x:c r="Q549" s="2"/>
    </x:row>
    <x:row r="550" ht="22" customHeight="1">
      <x:c r="A550" s="7" t="str">
        <x:v>M0543</x:v>
      </x:c>
      <x:c r="B550" s="7" t="str">
        <x:v>AR01</x:v>
      </x:c>
      <x:c r="C550" s="7" t="str">
        <x:v>T2</x:v>
      </x:c>
      <x:c r="D550" s="7" t="str">
        <x:v>L09</x:v>
      </x:c>
      <x:c r="E550" s="7" t="str">
        <x:v>Internal doors deduction</x:v>
      </x:c>
      <x:c r="F550" s="20" t="n">
        <x:f>'Controls'!$B$48</x:f>
        <x:v>28</x:v>
      </x:c>
      <x:c r="G550" s="20" t="n">
        <x:f>'Controls'!$B$49</x:f>
        <x:v>0.9</x:v>
      </x:c>
      <x:c r="H550" s="20" t="n">
        <x:f>'Controls'!$B$50</x:f>
        <x:v>2.1</x:v>
      </x:c>
      <x:c r="I550" s="20" t="n">
        <x:f>'Controls'!$B$46</x:f>
        <x:v>0.15</x:v>
      </x:c>
      <x:c r="J550" s="20" t="n">
        <x:v>-1</x:v>
      </x:c>
      <x:c r="K550" s="20" t="n">
        <x:f>F550*G550*H550*I550*J550</x:f>
        <x:v>-7.938</x:v>
      </x:c>
      <x:c r="L550" s="7" t="str">
        <x:v>28 doors per floor, OP-02</x:v>
      </x:c>
      <x:c r="M550" s="2"/>
      <x:c r="N550" s="2"/>
      <x:c r="O550" s="2"/>
      <x:c r="P550" s="2"/>
      <x:c r="Q550" s="2"/>
    </x:row>
    <x:row r="551" ht="22" customHeight="1">
      <x:c r="A551" s="2" t="str">
        <x:v>M0544</x:v>
      </x:c>
      <x:c r="B551" s="2" t="str">
        <x:v>AR02</x:v>
      </x:c>
      <x:c r="C551" s="2" t="str">
        <x:v>T2</x:v>
      </x:c>
      <x:c r="D551" s="2" t="str">
        <x:v>L09</x:v>
      </x:c>
      <x:c r="E551" s="2" t="str">
        <x:v>Internal plaster gross</x:v>
      </x:c>
      <x:c r="F551" s="21" t="n">
        <x:v>2</x:v>
      </x:c>
      <x:c r="G551" s="21" t="n">
        <x:f>'Controls'!$B$45</x:f>
        <x:v>220</x:v>
      </x:c>
      <x:c r="H551" s="21" t="n">
        <x:f>'Controls'!$B$12-'Controls'!$B$13</x:f>
        <x:v>2.98</x:v>
      </x:c>
      <x:c r="I551" s="21" t="n">
        <x:v>1</x:v>
      </x:c>
      <x:c r="J551" s="21" t="n">
        <x:v>1</x:v>
      </x:c>
      <x:c r="K551" s="21" t="n">
        <x:f>F551*G551*H551*I551*J551</x:f>
        <x:v>1311.2</x:v>
      </x:c>
      <x:c r="L551" s="2" t="str">
        <x:v>Both faces of partition walls</x:v>
      </x:c>
      <x:c r="M551" s="2"/>
      <x:c r="N551" s="2"/>
      <x:c r="O551" s="2"/>
      <x:c r="P551" s="2"/>
      <x:c r="Q551" s="2"/>
    </x:row>
    <x:row r="552" ht="22" customHeight="1">
      <x:c r="A552" s="7" t="str">
        <x:v>M0545</x:v>
      </x:c>
      <x:c r="B552" s="7" t="str">
        <x:v>AR02</x:v>
      </x:c>
      <x:c r="C552" s="7" t="str">
        <x:v>T2</x:v>
      </x:c>
      <x:c r="D552" s="7" t="str">
        <x:v>L09</x:v>
      </x:c>
      <x:c r="E552" s="7" t="str">
        <x:v>Door area deduction both faces</x:v>
      </x:c>
      <x:c r="F552" s="20" t="n">
        <x:f>2*'Controls'!$B$48</x:f>
        <x:v>56</x:v>
      </x:c>
      <x:c r="G552" s="20" t="n">
        <x:f>'Controls'!$B$49</x:f>
        <x:v>0.9</x:v>
      </x:c>
      <x:c r="H552" s="20" t="n">
        <x:f>'Controls'!$B$50</x:f>
        <x:v>2.1</x:v>
      </x:c>
      <x:c r="I552" s="20" t="n">
        <x:v>1</x:v>
      </x:c>
      <x:c r="J552" s="20" t="n">
        <x:v>-1</x:v>
      </x:c>
      <x:c r="K552" s="20" t="n">
        <x:f>F552*G552*H552*I552*J552</x:f>
        <x:v>-105.84</x:v>
      </x:c>
      <x:c r="L552" s="7" t="str">
        <x:v>No plaster over openings</x:v>
      </x:c>
      <x:c r="M552" s="2"/>
      <x:c r="N552" s="2"/>
      <x:c r="O552" s="2"/>
      <x:c r="P552" s="2"/>
      <x:c r="Q552" s="2"/>
    </x:row>
    <x:row r="553" ht="22" customHeight="1">
      <x:c r="A553" s="2" t="str">
        <x:v>M0546</x:v>
      </x:c>
      <x:c r="B553" s="2" t="str">
        <x:v>AR03</x:v>
      </x:c>
      <x:c r="C553" s="2" t="str">
        <x:v>T2</x:v>
      </x:c>
      <x:c r="D553" s="2" t="str">
        <x:v>L09</x:v>
      </x:c>
      <x:c r="E553" s="2" t="str">
        <x:v>Floor screed net</x:v>
      </x:c>
      <x:c r="F553" s="21" t="n">
        <x:v>1</x:v>
      </x:c>
      <x:c r="G553" s="21" t="n">
        <x:f>'Controls'!$B$10*'Controls'!$B$11-'Controls'!$B$20*'Controls'!$B$21</x:f>
        <x:v>696</x:v>
      </x:c>
      <x:c r="H553" s="21" t="n">
        <x:v>1</x:v>
      </x:c>
      <x:c r="I553" s="21" t="n">
        <x:v>1</x:v>
      </x:c>
      <x:c r="J553" s="21" t="n">
        <x:v>1</x:v>
      </x:c>
      <x:c r="K553" s="21" t="n">
        <x:f>F553*G553*H553*I553*J553</x:f>
        <x:v>696</x:v>
      </x:c>
      <x:c r="L553" s="2" t="str">
        <x:v>Net structural floor area</x:v>
      </x:c>
      <x:c r="M553" s="2"/>
      <x:c r="N553" s="2"/>
      <x:c r="O553" s="2"/>
      <x:c r="P553" s="2"/>
      <x:c r="Q553" s="2"/>
    </x:row>
    <x:row r="554" ht="22" customHeight="1">
      <x:c r="A554" s="7" t="str">
        <x:v>M0547</x:v>
      </x:c>
      <x:c r="B554" s="7" t="str">
        <x:v>AR04</x:v>
      </x:c>
      <x:c r="C554" s="7" t="str">
        <x:v>T2</x:v>
      </x:c>
      <x:c r="D554" s="7" t="str">
        <x:v>L09</x:v>
      </x:c>
      <x:c r="E554" s="7" t="str">
        <x:v>Floor finish net</x:v>
      </x:c>
      <x:c r="F554" s="20" t="n">
        <x:v>1</x:v>
      </x:c>
      <x:c r="G554" s="20" t="n">
        <x:f>'Controls'!$B$10*'Controls'!$B$11-'Controls'!$B$20*'Controls'!$B$21</x:f>
        <x:v>696</x:v>
      </x:c>
      <x:c r="H554" s="20" t="n">
        <x:v>1</x:v>
      </x:c>
      <x:c r="I554" s="20" t="n">
        <x:v>1</x:v>
      </x:c>
      <x:c r="J554" s="20" t="n">
        <x:v>1</x:v>
      </x:c>
      <x:c r="K554" s="20" t="n">
        <x:f>F554*G554*H554*I554*J554</x:f>
        <x:v>696</x:v>
      </x:c>
      <x:c r="L554" s="7" t="str">
        <x:v>Waste excluded from BOQ</x:v>
      </x:c>
      <x:c r="M554" s="2"/>
      <x:c r="N554" s="2"/>
      <x:c r="O554" s="2"/>
      <x:c r="P554" s="2"/>
      <x:c r="Q554" s="2"/>
    </x:row>
    <x:row r="555" ht="22" customHeight="1">
      <x:c r="A555" s="2" t="str">
        <x:v>M0548</x:v>
      </x:c>
      <x:c r="B555" s="2" t="str">
        <x:v>AR05</x:v>
      </x:c>
      <x:c r="C555" s="2" t="str">
        <x:v>T2</x:v>
      </x:c>
      <x:c r="D555" s="2" t="str">
        <x:v>L09</x:v>
      </x:c>
      <x:c r="E555" s="2" t="str">
        <x:v>Internal wall paint net</x:v>
      </x:c>
      <x:c r="F555" s="21" t="n">
        <x:v>2</x:v>
      </x:c>
      <x:c r="G555" s="21" t="n">
        <x:f>'Controls'!$B$45*('Controls'!$B$12-'Controls'!$B$13)-'Controls'!$B$48*'Controls'!$B$49*'Controls'!$B$50</x:f>
        <x:v>602.6800000000001</x:v>
      </x:c>
      <x:c r="H555" s="21" t="n">
        <x:v>1</x:v>
      </x:c>
      <x:c r="I555" s="21" t="n">
        <x:v>1</x:v>
      </x:c>
      <x:c r="J555" s="21" t="n">
        <x:v>1</x:v>
      </x:c>
      <x:c r="K555" s="21" t="n">
        <x:f>F555*G555*H555*I555*J555</x:f>
        <x:v>1205.3600000000001</x:v>
      </x:c>
      <x:c r="L555" s="2" t="str">
        <x:v>Finished area; two coats priced in rate</x:v>
      </x:c>
      <x:c r="M555" s="2"/>
      <x:c r="N555" s="2"/>
      <x:c r="O555" s="2"/>
      <x:c r="P555" s="2"/>
      <x:c r="Q555" s="2"/>
    </x:row>
    <x:row r="556" ht="22" customHeight="1">
      <x:c r="A556" s="7" t="str">
        <x:v>M0549</x:v>
      </x:c>
      <x:c r="B556" s="7" t="str">
        <x:v>AR06</x:v>
      </x:c>
      <x:c r="C556" s="7" t="str">
        <x:v>T2</x:v>
      </x:c>
      <x:c r="D556" s="7" t="str">
        <x:v>L09</x:v>
      </x:c>
      <x:c r="E556" s="7" t="str">
        <x:v>Door sets</x:v>
      </x:c>
      <x:c r="F556" s="20" t="n">
        <x:f>'Controls'!$B$48</x:f>
        <x:v>28</x:v>
      </x:c>
      <x:c r="G556" s="20" t="n">
        <x:v>1</x:v>
      </x:c>
      <x:c r="H556" s="20" t="n">
        <x:v>1</x:v>
      </x:c>
      <x:c r="I556" s="20" t="n">
        <x:v>1</x:v>
      </x:c>
      <x:c r="J556" s="20" t="n">
        <x:v>1</x:v>
      </x:c>
      <x:c r="K556" s="20" t="n">
        <x:f>F556*G556*H556*I556*J556</x:f>
        <x:v>28</x:v>
      </x:c>
      <x:c r="L556" s="7" t="str">
        <x:v>Door count, not double face</x:v>
      </x:c>
      <x:c r="M556" s="2"/>
      <x:c r="N556" s="2"/>
      <x:c r="O556" s="2"/>
      <x:c r="P556" s="2"/>
      <x:c r="Q556" s="2"/>
    </x:row>
    <x:row r="557" ht="22" customHeight="1">
      <x:c r="A557" s="2" t="str">
        <x:v>M0550</x:v>
      </x:c>
      <x:c r="B557" s="2" t="str">
        <x:v>RC03</x:v>
      </x:c>
      <x:c r="C557" s="2" t="str">
        <x:v>T2</x:v>
      </x:c>
      <x:c r="D557" s="2" t="str">
        <x:v>L10</x:v>
      </x:c>
      <x:c r="E557" s="2" t="str">
        <x:v>Floor slab gross</x:v>
      </x:c>
      <x:c r="F557" s="21" t="n">
        <x:v>1</x:v>
      </x:c>
      <x:c r="G557" s="21" t="n">
        <x:f>'Controls'!$B$10</x:f>
        <x:v>30</x:v>
      </x:c>
      <x:c r="H557" s="21" t="n">
        <x:f>'Controls'!$B$11</x:f>
        <x:v>24</x:v>
      </x:c>
      <x:c r="I557" s="21" t="n">
        <x:f>'Controls'!$B$13</x:f>
        <x:v>0.22</x:v>
      </x:c>
      <x:c r="J557" s="21" t="n">
        <x:v>1</x:v>
      </x:c>
      <x:c r="K557" s="21" t="n">
        <x:f>F557*G557*H557*I557*J557</x:f>
        <x:v>158.4</x:v>
      </x:c>
      <x:c r="L557" s="2" t="str">
        <x:v>Slab includes beam top flange; downstand separate</x:v>
      </x:c>
      <x:c r="M557" s="2"/>
      <x:c r="N557" s="2"/>
      <x:c r="O557" s="2"/>
      <x:c r="P557" s="2"/>
      <x:c r="Q557" s="2"/>
    </x:row>
    <x:row r="558" ht="22" customHeight="1">
      <x:c r="A558" s="7" t="str">
        <x:v>M0551</x:v>
      </x:c>
      <x:c r="B558" s="7" t="str">
        <x:v>RC03</x:v>
      </x:c>
      <x:c r="C558" s="7" t="str">
        <x:v>T2</x:v>
      </x:c>
      <x:c r="D558" s="7" t="str">
        <x:v>L10</x:v>
      </x:c>
      <x:c r="E558" s="7" t="str">
        <x:v>Stair opening deduction</x:v>
      </x:c>
      <x:c r="F558" s="20" t="n">
        <x:v>1</x:v>
      </x:c>
      <x:c r="G558" s="20" t="n">
        <x:f>'Controls'!$B$20</x:f>
        <x:v>4</x:v>
      </x:c>
      <x:c r="H558" s="20" t="n">
        <x:f>'Controls'!$B$21</x:f>
        <x:v>6</x:v>
      </x:c>
      <x:c r="I558" s="20" t="n">
        <x:f>'Controls'!$B$13</x:f>
        <x:v>0.22</x:v>
      </x:c>
      <x:c r="J558" s="20" t="n">
        <x:v>-1</x:v>
      </x:c>
      <x:c r="K558" s="20" t="n">
        <x:f>F558*G558*H558*I558*J558</x:f>
        <x:v>-5.28</x:v>
      </x:c>
      <x:c r="L558" s="7" t="str">
        <x:v>Opening OP-01</x:v>
      </x:c>
      <x:c r="M558" s="2"/>
      <x:c r="N558" s="2"/>
      <x:c r="O558" s="2"/>
      <x:c r="P558" s="2"/>
      <x:c r="Q558" s="2"/>
    </x:row>
    <x:row r="559" ht="22" customHeight="1">
      <x:c r="A559" s="2" t="str">
        <x:v>M0552</x:v>
      </x:c>
      <x:c r="B559" s="2" t="str">
        <x:v>RC04</x:v>
      </x:c>
      <x:c r="C559" s="2" t="str">
        <x:v>T2</x:v>
      </x:c>
      <x:c r="D559" s="2" t="str">
        <x:v>L10</x:v>
      </x:c>
      <x:c r="E559" s="2" t="str">
        <x:v>Beam downstands X</x:v>
      </x:c>
      <x:c r="F559" s="21" t="n">
        <x:v>1</x:v>
      </x:c>
      <x:c r="G559" s="21" t="n">
        <x:f>5*5*('Controls'!$B$10/5-'Controls'!$B$14)</x:f>
        <x:v>137.5</x:v>
      </x:c>
      <x:c r="H559" s="21" t="n">
        <x:f>'Controls'!$B$16</x:f>
        <x:v>0.3</x:v>
      </x:c>
      <x:c r="I559" s="21" t="n">
        <x:f>'Controls'!$B$17-'Controls'!$B$13</x:f>
        <x:v>0.38</x:v>
      </x:c>
      <x:c r="J559" s="21" t="n">
        <x:v>1</x:v>
      </x:c>
      <x:c r="K559" s="21" t="n">
        <x:f>F559*G559*H559*I559*J559</x:f>
        <x:v>15.675</x:v>
      </x:c>
      <x:c r="L559" s="2" t="str">
        <x:v>Clear spans between column faces; no joint overlap</x:v>
      </x:c>
      <x:c r="M559" s="2"/>
      <x:c r="N559" s="2"/>
      <x:c r="O559" s="2"/>
      <x:c r="P559" s="2"/>
      <x:c r="Q559" s="2"/>
    </x:row>
    <x:row r="560" ht="22" customHeight="1">
      <x:c r="A560" s="7" t="str">
        <x:v>M0553</x:v>
      </x:c>
      <x:c r="B560" s="7" t="str">
        <x:v>FW02</x:v>
      </x:c>
      <x:c r="C560" s="7" t="str">
        <x:v>T2</x:v>
      </x:c>
      <x:c r="D560" s="7" t="str">
        <x:v>L10</x:v>
      </x:c>
      <x:c r="E560" s="7" t="str">
        <x:v>Beam forms X</x:v>
      </x:c>
      <x:c r="F560" s="20" t="n">
        <x:v>1</x:v>
      </x:c>
      <x:c r="G560" s="20" t="n">
        <x:f>5*5*('Controls'!$B$10/5-'Controls'!$B$14)</x:f>
        <x:v>137.5</x:v>
      </x:c>
      <x:c r="H560" s="20" t="n">
        <x:f>'Controls'!$B$16+2*('Controls'!$B$17-'Controls'!$B$13)</x:f>
        <x:v>1.06</x:v>
      </x:c>
      <x:c r="I560" s="20" t="n">
        <x:v>1</x:v>
      </x:c>
      <x:c r="J560" s="20" t="n">
        <x:v>1</x:v>
      </x:c>
      <x:c r="K560" s="20" t="n">
        <x:f>F560*G560*H560*I560*J560</x:f>
        <x:v>145.75</x:v>
      </x:c>
      <x:c r="L560" s="7" t="str">
        <x:v>Soffit plus two downstand sides</x:v>
      </x:c>
      <x:c r="M560" s="2"/>
      <x:c r="N560" s="2"/>
      <x:c r="O560" s="2"/>
      <x:c r="P560" s="2"/>
      <x:c r="Q560" s="2"/>
    </x:row>
    <x:row r="561" ht="22" customHeight="1">
      <x:c r="A561" s="2" t="str">
        <x:v>M0554</x:v>
      </x:c>
      <x:c r="B561" s="2" t="str">
        <x:v>RC04</x:v>
      </x:c>
      <x:c r="C561" s="2" t="str">
        <x:v>T2</x:v>
      </x:c>
      <x:c r="D561" s="2" t="str">
        <x:v>L10</x:v>
      </x:c>
      <x:c r="E561" s="2" t="str">
        <x:v>Beam downstands Y</x:v>
      </x:c>
      <x:c r="F561" s="21" t="n">
        <x:v>1</x:v>
      </x:c>
      <x:c r="G561" s="21" t="n">
        <x:f>6*4*('Controls'!$B$11/4-'Controls'!$B$15)</x:f>
        <x:v>132</x:v>
      </x:c>
      <x:c r="H561" s="21" t="n">
        <x:f>'Controls'!$B$16</x:f>
        <x:v>0.3</x:v>
      </x:c>
      <x:c r="I561" s="21" t="n">
        <x:f>'Controls'!$B$17-'Controls'!$B$13</x:f>
        <x:v>0.38</x:v>
      </x:c>
      <x:c r="J561" s="21" t="n">
        <x:v>1</x:v>
      </x:c>
      <x:c r="K561" s="21" t="n">
        <x:f>F561*G561*H561*I561*J561</x:f>
        <x:v>15.048</x:v>
      </x:c>
      <x:c r="L561" s="2" t="str">
        <x:v>Clear spans between column faces; no joint overlap</x:v>
      </x:c>
      <x:c r="M561" s="2"/>
      <x:c r="N561" s="2"/>
      <x:c r="O561" s="2"/>
      <x:c r="P561" s="2"/>
      <x:c r="Q561" s="2"/>
    </x:row>
    <x:row r="562" ht="22" customHeight="1">
      <x:c r="A562" s="7" t="str">
        <x:v>M0555</x:v>
      </x:c>
      <x:c r="B562" s="7" t="str">
        <x:v>FW02</x:v>
      </x:c>
      <x:c r="C562" s="7" t="str">
        <x:v>T2</x:v>
      </x:c>
      <x:c r="D562" s="7" t="str">
        <x:v>L10</x:v>
      </x:c>
      <x:c r="E562" s="7" t="str">
        <x:v>Beam forms Y</x:v>
      </x:c>
      <x:c r="F562" s="20" t="n">
        <x:v>1</x:v>
      </x:c>
      <x:c r="G562" s="20" t="n">
        <x:f>6*4*('Controls'!$B$11/4-'Controls'!$B$15)</x:f>
        <x:v>132</x:v>
      </x:c>
      <x:c r="H562" s="20" t="n">
        <x:f>'Controls'!$B$16+2*('Controls'!$B$17-'Controls'!$B$13)</x:f>
        <x:v>1.06</x:v>
      </x:c>
      <x:c r="I562" s="20" t="n">
        <x:v>1</x:v>
      </x:c>
      <x:c r="J562" s="20" t="n">
        <x:v>1</x:v>
      </x:c>
      <x:c r="K562" s="20" t="n">
        <x:f>F562*G562*H562*I562*J562</x:f>
        <x:v>139.92000000000002</x:v>
      </x:c>
      <x:c r="L562" s="7" t="str">
        <x:v>Soffit plus two downstand sides</x:v>
      </x:c>
      <x:c r="M562" s="2"/>
      <x:c r="N562" s="2"/>
      <x:c r="O562" s="2"/>
      <x:c r="P562" s="2"/>
      <x:c r="Q562" s="2"/>
    </x:row>
    <x:row r="563" ht="22" customHeight="1">
      <x:c r="A563" s="2" t="str">
        <x:v>M0556</x:v>
      </x:c>
      <x:c r="B563" s="2" t="str">
        <x:v>RC05</x:v>
      </x:c>
      <x:c r="C563" s="2" t="str">
        <x:v>T2</x:v>
      </x:c>
      <x:c r="D563" s="2" t="str">
        <x:v>L10</x:v>
      </x:c>
      <x:c r="E563" s="2" t="str">
        <x:v>Thirty columns, clear storey</x:v>
      </x:c>
      <x:c r="F563" s="21" t="n">
        <x:v>30</x:v>
      </x:c>
      <x:c r="G563" s="21" t="n">
        <x:f>'Controls'!$B$14</x:f>
        <x:v>0.5</x:v>
      </x:c>
      <x:c r="H563" s="21" t="n">
        <x:f>'Controls'!$B$15</x:f>
        <x:v>0.5</x:v>
      </x:c>
      <x:c r="I563" s="21" t="n">
        <x:f>'Controls'!$B$12-'Controls'!$B$13</x:f>
        <x:v>2.98</x:v>
      </x:c>
      <x:c r="J563" s="21" t="n">
        <x:v>1</x:v>
      </x:c>
      <x:c r="K563" s="21" t="n">
        <x:f>F563*G563*H563*I563*J563</x:f>
        <x:v>22.35</x:v>
      </x:c>
      <x:c r="L563" s="2" t="str">
        <x:v>Slab volume excluded from columns</x:v>
      </x:c>
      <x:c r="M563" s="2"/>
      <x:c r="N563" s="2"/>
      <x:c r="O563" s="2"/>
      <x:c r="P563" s="2"/>
      <x:c r="Q563" s="2"/>
    </x:row>
    <x:row r="564" ht="22" customHeight="1">
      <x:c r="A564" s="7" t="str">
        <x:v>M0557</x:v>
      </x:c>
      <x:c r="B564" s="7" t="str">
        <x:v>RC06</x:v>
      </x:c>
      <x:c r="C564" s="7" t="str">
        <x:v>T2</x:v>
      </x:c>
      <x:c r="D564" s="7" t="str">
        <x:v>L10</x:v>
      </x:c>
      <x:c r="E564" s="7" t="str">
        <x:v>Core walls clear storey</x:v>
      </x:c>
      <x:c r="F564" s="20" t="n">
        <x:v>1</x:v>
      </x:c>
      <x:c r="G564" s="20" t="n">
        <x:f>'Controls'!$B$19</x:f>
        <x:v>24</x:v>
      </x:c>
      <x:c r="H564" s="20" t="n">
        <x:f>'Controls'!$B$18</x:f>
        <x:v>0.25</x:v>
      </x:c>
      <x:c r="I564" s="20" t="n">
        <x:f>'Controls'!$B$12-'Controls'!$B$13</x:f>
        <x:v>2.98</x:v>
      </x:c>
      <x:c r="J564" s="20" t="n">
        <x:v>1</x:v>
      </x:c>
      <x:c r="K564" s="20" t="n">
        <x:f>F564*G564*H564*I564*J564</x:f>
        <x:v>17.88</x:v>
      </x:c>
      <x:c r="L564" s="7" t="str">
        <x:v>Net clear wall length excludes corners</x:v>
      </x:c>
      <x:c r="M564" s="2"/>
      <x:c r="N564" s="2"/>
      <x:c r="O564" s="2"/>
      <x:c r="P564" s="2"/>
      <x:c r="Q564" s="2"/>
    </x:row>
    <x:row r="565" ht="22" customHeight="1">
      <x:c r="A565" s="2" t="str">
        <x:v>M0558</x:v>
      </x:c>
      <x:c r="B565" s="2" t="str">
        <x:v>RC07</x:v>
      </x:c>
      <x:c r="C565" s="2" t="str">
        <x:v>T2</x:v>
      </x:c>
      <x:c r="D565" s="2" t="str">
        <x:v>L10</x:v>
      </x:c>
      <x:c r="E565" s="2" t="str">
        <x:v>Stair flights waist</x:v>
      </x:c>
      <x:c r="F565" s="21" t="n">
        <x:v>2</x:v>
      </x:c>
      <x:c r="G565" s="21" t="n">
        <x:v>4.1</x:v>
      </x:c>
      <x:c r="H565" s="21" t="n">
        <x:v>1.2</x:v>
      </x:c>
      <x:c r="I565" s="21" t="n">
        <x:v>0.18</x:v>
      </x:c>
      <x:c r="J565" s="21" t="n">
        <x:v>1</x:v>
      </x:c>
      <x:c r="K565" s="21" t="n">
        <x:f>F565*G565*H565*I565*J565</x:f>
        <x:v>1.7711999999999997</x:v>
      </x:c>
      <x:c r="L565" s="2" t="str">
        <x:v>Two flights; geometry separate from floor slab</x:v>
      </x:c>
      <x:c r="M565" s="2"/>
      <x:c r="N565" s="2"/>
      <x:c r="O565" s="2"/>
      <x:c r="P565" s="2"/>
      <x:c r="Q565" s="2"/>
    </x:row>
    <x:row r="566" ht="22" customHeight="1">
      <x:c r="A566" s="7" t="str">
        <x:v>M0559</x:v>
      </x:c>
      <x:c r="B566" s="7" t="str">
        <x:v>RC07</x:v>
      </x:c>
      <x:c r="C566" s="7" t="str">
        <x:v>T2</x:v>
      </x:c>
      <x:c r="D566" s="7" t="str">
        <x:v>L10</x:v>
      </x:c>
      <x:c r="E566" s="7" t="str">
        <x:v>Stair landings</x:v>
      </x:c>
      <x:c r="F566" s="20" t="n">
        <x:v>2</x:v>
      </x:c>
      <x:c r="G566" s="20" t="n">
        <x:v>2</x:v>
      </x:c>
      <x:c r="H566" s="20" t="n">
        <x:v>1.2</x:v>
      </x:c>
      <x:c r="I566" s="20" t="n">
        <x:v>0.18</x:v>
      </x:c>
      <x:c r="J566" s="20" t="n">
        <x:v>1</x:v>
      </x:c>
      <x:c r="K566" s="20" t="n">
        <x:f>F566*G566*H566*I566*J566</x:f>
        <x:v>0.864</x:v>
      </x:c>
      <x:c r="L566" s="7" t="str">
        <x:v>Within stair opening</x:v>
      </x:c>
      <x:c r="M566" s="2"/>
      <x:c r="N566" s="2"/>
      <x:c r="O566" s="2"/>
      <x:c r="P566" s="2"/>
      <x:c r="Q566" s="2"/>
    </x:row>
    <x:row r="567" ht="22" customHeight="1">
      <x:c r="A567" s="2" t="str">
        <x:v>M0560</x:v>
      </x:c>
      <x:c r="B567" s="2" t="str">
        <x:v>FW01</x:v>
      </x:c>
      <x:c r="C567" s="2" t="str">
        <x:v>T2</x:v>
      </x:c>
      <x:c r="D567" s="2" t="str">
        <x:v>L10</x:v>
      </x:c>
      <x:c r="E567" s="2" t="str">
        <x:v>Slab soffit gross</x:v>
      </x:c>
      <x:c r="F567" s="21" t="n">
        <x:v>1</x:v>
      </x:c>
      <x:c r="G567" s="21" t="n">
        <x:f>'Controls'!$B$10</x:f>
        <x:v>30</x:v>
      </x:c>
      <x:c r="H567" s="21" t="n">
        <x:f>'Controls'!$B$11</x:f>
        <x:v>24</x:v>
      </x:c>
      <x:c r="I567" s="21" t="n">
        <x:v>1</x:v>
      </x:c>
      <x:c r="J567" s="21" t="n">
        <x:v>1</x:v>
      </x:c>
      <x:c r="K567" s="21" t="n">
        <x:f>F567*G567*H567*I567*J567</x:f>
        <x:v>720</x:v>
      </x:c>
      <x:c r="L567" s="2" t="str">
        <x:v>Beam soffit deducted below</x:v>
      </x:c>
      <x:c r="M567" s="2"/>
      <x:c r="N567" s="2"/>
      <x:c r="O567" s="2"/>
      <x:c r="P567" s="2"/>
      <x:c r="Q567" s="2"/>
    </x:row>
    <x:row r="568" ht="22" customHeight="1">
      <x:c r="A568" s="7" t="str">
        <x:v>M0561</x:v>
      </x:c>
      <x:c r="B568" s="7" t="str">
        <x:v>FW01</x:v>
      </x:c>
      <x:c r="C568" s="7" t="str">
        <x:v>T2</x:v>
      </x:c>
      <x:c r="D568" s="7" t="str">
        <x:v>L10</x:v>
      </x:c>
      <x:c r="E568" s="7" t="str">
        <x:v>Stair opening deduction</x:v>
      </x:c>
      <x:c r="F568" s="20" t="n">
        <x:v>1</x:v>
      </x:c>
      <x:c r="G568" s="20" t="n">
        <x:f>'Controls'!$B$20</x:f>
        <x:v>4</x:v>
      </x:c>
      <x:c r="H568" s="20" t="n">
        <x:f>'Controls'!$B$21</x:f>
        <x:v>6</x:v>
      </x:c>
      <x:c r="I568" s="20" t="n">
        <x:v>1</x:v>
      </x:c>
      <x:c r="J568" s="20" t="n">
        <x:v>-1</x:v>
      </x:c>
      <x:c r="K568" s="20" t="n">
        <x:f>F568*G568*H568*I568*J568</x:f>
        <x:v>-24</x:v>
      </x:c>
      <x:c r="L568" s="7" t="str">
        <x:v>OP-01</x:v>
      </x:c>
      <x:c r="M568" s="2"/>
      <x:c r="N568" s="2"/>
      <x:c r="O568" s="2"/>
      <x:c r="P568" s="2"/>
      <x:c r="Q568" s="2"/>
    </x:row>
    <x:row r="569" ht="22" customHeight="1">
      <x:c r="A569" s="2" t="str">
        <x:v>M0562</x:v>
      </x:c>
      <x:c r="B569" s="2" t="str">
        <x:v>FW01</x:v>
      </x:c>
      <x:c r="C569" s="2" t="str">
        <x:v>T2</x:v>
      </x:c>
      <x:c r="D569" s="2" t="str">
        <x:v>L10</x:v>
      </x:c>
      <x:c r="E569" s="2" t="str">
        <x:v>Beam soffit deduction</x:v>
      </x:c>
      <x:c r="F569" s="21" t="n">
        <x:v>1</x:v>
      </x:c>
      <x:c r="G569" s="21" t="n">
        <x:f>5*5*('Controls'!$B$10/5-'Controls'!$B$14)+6*4*('Controls'!$B$11/4-'Controls'!$B$15)</x:f>
        <x:v>269.5</x:v>
      </x:c>
      <x:c r="H569" s="21" t="n">
        <x:f>'Controls'!$B$16</x:f>
        <x:v>0.3</x:v>
      </x:c>
      <x:c r="I569" s="21" t="n">
        <x:v>1</x:v>
      </x:c>
      <x:c r="J569" s="21" t="n">
        <x:v>-1</x:v>
      </x:c>
      <x:c r="K569" s="21" t="n">
        <x:f>F569*G569*H569*I569*J569</x:f>
        <x:v>-80.85</x:v>
      </x:c>
      <x:c r="L569" s="2" t="str">
        <x:v>Beam forms measured in FW02</x:v>
      </x:c>
      <x:c r="M569" s="2"/>
      <x:c r="N569" s="2"/>
      <x:c r="O569" s="2"/>
      <x:c r="P569" s="2"/>
      <x:c r="Q569" s="2"/>
    </x:row>
    <x:row r="570" ht="22" customHeight="1">
      <x:c r="A570" s="7" t="str">
        <x:v>M0563</x:v>
      </x:c>
      <x:c r="B570" s="7" t="str">
        <x:v>FW03</x:v>
      </x:c>
      <x:c r="C570" s="7" t="str">
        <x:v>T2</x:v>
      </x:c>
      <x:c r="D570" s="7" t="str">
        <x:v>L10</x:v>
      </x:c>
      <x:c r="E570" s="7" t="str">
        <x:v>Column four faces</x:v>
      </x:c>
      <x:c r="F570" s="20" t="n">
        <x:v>30</x:v>
      </x:c>
      <x:c r="G570" s="20" t="n">
        <x:f>2*('Controls'!$B$14+'Controls'!$B$15)</x:f>
        <x:v>2</x:v>
      </x:c>
      <x:c r="H570" s="20" t="n">
        <x:f>'Controls'!$B$12-'Controls'!$B$13</x:f>
        <x:v>2.98</x:v>
      </x:c>
      <x:c r="I570" s="20" t="n">
        <x:v>1</x:v>
      </x:c>
      <x:c r="J570" s="20" t="n">
        <x:v>1</x:v>
      </x:c>
      <x:c r="K570" s="20" t="n">
        <x:f>F570*G570*H570*I570*J570</x:f>
        <x:v>178.8</x:v>
      </x:c>
      <x:c r="L570" s="7" t="str">
        <x:v>Clear floor-to-soffit</x:v>
      </x:c>
      <x:c r="M570" s="2"/>
      <x:c r="N570" s="2"/>
      <x:c r="O570" s="2"/>
      <x:c r="P570" s="2"/>
      <x:c r="Q570" s="2"/>
    </x:row>
    <x:row r="571" ht="22" customHeight="1">
      <x:c r="A571" s="2" t="str">
        <x:v>M0564</x:v>
      </x:c>
      <x:c r="B571" s="2" t="str">
        <x:v>FW04</x:v>
      </x:c>
      <x:c r="C571" s="2" t="str">
        <x:v>T2</x:v>
      </x:c>
      <x:c r="D571" s="2" t="str">
        <x:v>L10</x:v>
      </x:c>
      <x:c r="E571" s="2" t="str">
        <x:v>Core wall two faces</x:v>
      </x:c>
      <x:c r="F571" s="21" t="n">
        <x:v>2</x:v>
      </x:c>
      <x:c r="G571" s="21" t="n">
        <x:f>'Controls'!$B$19</x:f>
        <x:v>24</x:v>
      </x:c>
      <x:c r="H571" s="21" t="n">
        <x:f>'Controls'!$B$12-'Controls'!$B$13</x:f>
        <x:v>2.98</x:v>
      </x:c>
      <x:c r="I571" s="21" t="n">
        <x:v>1</x:v>
      </x:c>
      <x:c r="J571" s="21" t="n">
        <x:v>1</x:v>
      </x:c>
      <x:c r="K571" s="21" t="n">
        <x:f>F571*G571*H571*I571*J571</x:f>
        <x:v>143.04</x:v>
      </x:c>
      <x:c r="L571" s="2" t="str">
        <x:v>Net perimeter, no repeated corners</x:v>
      </x:c>
      <x:c r="M571" s="2"/>
      <x:c r="N571" s="2"/>
      <x:c r="O571" s="2"/>
      <x:c r="P571" s="2"/>
      <x:c r="Q571" s="2"/>
    </x:row>
    <x:row r="572" ht="22" customHeight="1">
      <x:c r="A572" s="7" t="str">
        <x:v>M0565</x:v>
      </x:c>
      <x:c r="B572" s="7" t="str">
        <x:v>AR01</x:v>
      </x:c>
      <x:c r="C572" s="7" t="str">
        <x:v>T2</x:v>
      </x:c>
      <x:c r="D572" s="7" t="str">
        <x:v>L10</x:v>
      </x:c>
      <x:c r="E572" s="7" t="str">
        <x:v>Partition walls gross</x:v>
      </x:c>
      <x:c r="F572" s="20" t="n">
        <x:v>1</x:v>
      </x:c>
      <x:c r="G572" s="20" t="n">
        <x:f>'Controls'!$B$45</x:f>
        <x:v>220</x:v>
      </x:c>
      <x:c r="H572" s="20" t="n">
        <x:f>'Controls'!$B$12-'Controls'!$B$13</x:f>
        <x:v>2.98</x:v>
      </x:c>
      <x:c r="I572" s="20" t="n">
        <x:f>'Controls'!$B$46</x:f>
        <x:v>0.15</x:v>
      </x:c>
      <x:c r="J572" s="20" t="n">
        <x:v>1</x:v>
      </x:c>
      <x:c r="K572" s="20" t="n">
        <x:f>F572*G572*H572*I572*J572</x:f>
        <x:v>98.34</x:v>
      </x:c>
      <x:c r="L572" s="7" t="str">
        <x:v>Net openings deducted below</x:v>
      </x:c>
      <x:c r="M572" s="2"/>
      <x:c r="N572" s="2"/>
      <x:c r="O572" s="2"/>
      <x:c r="P572" s="2"/>
      <x:c r="Q572" s="2"/>
    </x:row>
    <x:row r="573" ht="22" customHeight="1">
      <x:c r="A573" s="2" t="str">
        <x:v>M0566</x:v>
      </x:c>
      <x:c r="B573" s="2" t="str">
        <x:v>AR01</x:v>
      </x:c>
      <x:c r="C573" s="2" t="str">
        <x:v>T2</x:v>
      </x:c>
      <x:c r="D573" s="2" t="str">
        <x:v>L10</x:v>
      </x:c>
      <x:c r="E573" s="2" t="str">
        <x:v>Internal doors deduction</x:v>
      </x:c>
      <x:c r="F573" s="21" t="n">
        <x:f>'Controls'!$B$48</x:f>
        <x:v>28</x:v>
      </x:c>
      <x:c r="G573" s="21" t="n">
        <x:f>'Controls'!$B$49</x:f>
        <x:v>0.9</x:v>
      </x:c>
      <x:c r="H573" s="21" t="n">
        <x:f>'Controls'!$B$50</x:f>
        <x:v>2.1</x:v>
      </x:c>
      <x:c r="I573" s="21" t="n">
        <x:f>'Controls'!$B$46</x:f>
        <x:v>0.15</x:v>
      </x:c>
      <x:c r="J573" s="21" t="n">
        <x:v>-1</x:v>
      </x:c>
      <x:c r="K573" s="21" t="n">
        <x:f>F573*G573*H573*I573*J573</x:f>
        <x:v>-7.938</x:v>
      </x:c>
      <x:c r="L573" s="2" t="str">
        <x:v>28 doors per floor, OP-02</x:v>
      </x:c>
      <x:c r="M573" s="2"/>
      <x:c r="N573" s="2"/>
      <x:c r="O573" s="2"/>
      <x:c r="P573" s="2"/>
      <x:c r="Q573" s="2"/>
    </x:row>
    <x:row r="574" ht="22" customHeight="1">
      <x:c r="A574" s="7" t="str">
        <x:v>M0567</x:v>
      </x:c>
      <x:c r="B574" s="7" t="str">
        <x:v>AR02</x:v>
      </x:c>
      <x:c r="C574" s="7" t="str">
        <x:v>T2</x:v>
      </x:c>
      <x:c r="D574" s="7" t="str">
        <x:v>L10</x:v>
      </x:c>
      <x:c r="E574" s="7" t="str">
        <x:v>Internal plaster gross</x:v>
      </x:c>
      <x:c r="F574" s="20" t="n">
        <x:v>2</x:v>
      </x:c>
      <x:c r="G574" s="20" t="n">
        <x:f>'Controls'!$B$45</x:f>
        <x:v>220</x:v>
      </x:c>
      <x:c r="H574" s="20" t="n">
        <x:f>'Controls'!$B$12-'Controls'!$B$13</x:f>
        <x:v>2.98</x:v>
      </x:c>
      <x:c r="I574" s="20" t="n">
        <x:v>1</x:v>
      </x:c>
      <x:c r="J574" s="20" t="n">
        <x:v>1</x:v>
      </x:c>
      <x:c r="K574" s="20" t="n">
        <x:f>F574*G574*H574*I574*J574</x:f>
        <x:v>1311.2</x:v>
      </x:c>
      <x:c r="L574" s="7" t="str">
        <x:v>Both faces of partition walls</x:v>
      </x:c>
      <x:c r="M574" s="2"/>
      <x:c r="N574" s="2"/>
      <x:c r="O574" s="2"/>
      <x:c r="P574" s="2"/>
      <x:c r="Q574" s="2"/>
    </x:row>
    <x:row r="575" ht="22" customHeight="1">
      <x:c r="A575" s="2" t="str">
        <x:v>M0568</x:v>
      </x:c>
      <x:c r="B575" s="2" t="str">
        <x:v>AR02</x:v>
      </x:c>
      <x:c r="C575" s="2" t="str">
        <x:v>T2</x:v>
      </x:c>
      <x:c r="D575" s="2" t="str">
        <x:v>L10</x:v>
      </x:c>
      <x:c r="E575" s="2" t="str">
        <x:v>Door area deduction both faces</x:v>
      </x:c>
      <x:c r="F575" s="21" t="n">
        <x:f>2*'Controls'!$B$48</x:f>
        <x:v>56</x:v>
      </x:c>
      <x:c r="G575" s="21" t="n">
        <x:f>'Controls'!$B$49</x:f>
        <x:v>0.9</x:v>
      </x:c>
      <x:c r="H575" s="21" t="n">
        <x:f>'Controls'!$B$50</x:f>
        <x:v>2.1</x:v>
      </x:c>
      <x:c r="I575" s="21" t="n">
        <x:v>1</x:v>
      </x:c>
      <x:c r="J575" s="21" t="n">
        <x:v>-1</x:v>
      </x:c>
      <x:c r="K575" s="21" t="n">
        <x:f>F575*G575*H575*I575*J575</x:f>
        <x:v>-105.84</x:v>
      </x:c>
      <x:c r="L575" s="2" t="str">
        <x:v>No plaster over openings</x:v>
      </x:c>
      <x:c r="M575" s="2"/>
      <x:c r="N575" s="2"/>
      <x:c r="O575" s="2"/>
      <x:c r="P575" s="2"/>
      <x:c r="Q575" s="2"/>
    </x:row>
    <x:row r="576" ht="22" customHeight="1">
      <x:c r="A576" s="7" t="str">
        <x:v>M0569</x:v>
      </x:c>
      <x:c r="B576" s="7" t="str">
        <x:v>AR03</x:v>
      </x:c>
      <x:c r="C576" s="7" t="str">
        <x:v>T2</x:v>
      </x:c>
      <x:c r="D576" s="7" t="str">
        <x:v>L10</x:v>
      </x:c>
      <x:c r="E576" s="7" t="str">
        <x:v>Floor screed net</x:v>
      </x:c>
      <x:c r="F576" s="20" t="n">
        <x:v>1</x:v>
      </x:c>
      <x:c r="G576" s="20" t="n">
        <x:f>'Controls'!$B$10*'Controls'!$B$11-'Controls'!$B$20*'Controls'!$B$21</x:f>
        <x:v>696</x:v>
      </x:c>
      <x:c r="H576" s="20" t="n">
        <x:v>1</x:v>
      </x:c>
      <x:c r="I576" s="20" t="n">
        <x:v>1</x:v>
      </x:c>
      <x:c r="J576" s="20" t="n">
        <x:v>1</x:v>
      </x:c>
      <x:c r="K576" s="20" t="n">
        <x:f>F576*G576*H576*I576*J576</x:f>
        <x:v>696</x:v>
      </x:c>
      <x:c r="L576" s="7" t="str">
        <x:v>Net structural floor area</x:v>
      </x:c>
      <x:c r="M576" s="2"/>
      <x:c r="N576" s="2"/>
      <x:c r="O576" s="2"/>
      <x:c r="P576" s="2"/>
      <x:c r="Q576" s="2"/>
    </x:row>
    <x:row r="577" ht="22" customHeight="1">
      <x:c r="A577" s="2" t="str">
        <x:v>M0570</x:v>
      </x:c>
      <x:c r="B577" s="2" t="str">
        <x:v>AR04</x:v>
      </x:c>
      <x:c r="C577" s="2" t="str">
        <x:v>T2</x:v>
      </x:c>
      <x:c r="D577" s="2" t="str">
        <x:v>L10</x:v>
      </x:c>
      <x:c r="E577" s="2" t="str">
        <x:v>Floor finish net</x:v>
      </x:c>
      <x:c r="F577" s="21" t="n">
        <x:v>1</x:v>
      </x:c>
      <x:c r="G577" s="21" t="n">
        <x:f>'Controls'!$B$10*'Controls'!$B$11-'Controls'!$B$20*'Controls'!$B$21</x:f>
        <x:v>696</x:v>
      </x:c>
      <x:c r="H577" s="21" t="n">
        <x:v>1</x:v>
      </x:c>
      <x:c r="I577" s="21" t="n">
        <x:v>1</x:v>
      </x:c>
      <x:c r="J577" s="21" t="n">
        <x:v>1</x:v>
      </x:c>
      <x:c r="K577" s="21" t="n">
        <x:f>F577*G577*H577*I577*J577</x:f>
        <x:v>696</x:v>
      </x:c>
      <x:c r="L577" s="2" t="str">
        <x:v>Waste excluded from BOQ</x:v>
      </x:c>
      <x:c r="M577" s="2"/>
      <x:c r="N577" s="2"/>
      <x:c r="O577" s="2"/>
      <x:c r="P577" s="2"/>
      <x:c r="Q577" s="2"/>
    </x:row>
    <x:row r="578" ht="22" customHeight="1">
      <x:c r="A578" s="7" t="str">
        <x:v>M0571</x:v>
      </x:c>
      <x:c r="B578" s="7" t="str">
        <x:v>AR05</x:v>
      </x:c>
      <x:c r="C578" s="7" t="str">
        <x:v>T2</x:v>
      </x:c>
      <x:c r="D578" s="7" t="str">
        <x:v>L10</x:v>
      </x:c>
      <x:c r="E578" s="7" t="str">
        <x:v>Internal wall paint net</x:v>
      </x:c>
      <x:c r="F578" s="20" t="n">
        <x:v>2</x:v>
      </x:c>
      <x:c r="G578" s="20" t="n">
        <x:f>'Controls'!$B$45*('Controls'!$B$12-'Controls'!$B$13)-'Controls'!$B$48*'Controls'!$B$49*'Controls'!$B$50</x:f>
        <x:v>602.6800000000001</x:v>
      </x:c>
      <x:c r="H578" s="20" t="n">
        <x:v>1</x:v>
      </x:c>
      <x:c r="I578" s="20" t="n">
        <x:v>1</x:v>
      </x:c>
      <x:c r="J578" s="20" t="n">
        <x:v>1</x:v>
      </x:c>
      <x:c r="K578" s="20" t="n">
        <x:f>F578*G578*H578*I578*J578</x:f>
        <x:v>1205.3600000000001</x:v>
      </x:c>
      <x:c r="L578" s="7" t="str">
        <x:v>Finished area; two coats priced in rate</x:v>
      </x:c>
      <x:c r="M578" s="2"/>
      <x:c r="N578" s="2"/>
      <x:c r="O578" s="2"/>
      <x:c r="P578" s="2"/>
      <x:c r="Q578" s="2"/>
    </x:row>
    <x:row r="579" ht="22" customHeight="1">
      <x:c r="A579" s="2" t="str">
        <x:v>M0572</x:v>
      </x:c>
      <x:c r="B579" s="2" t="str">
        <x:v>AR06</x:v>
      </x:c>
      <x:c r="C579" s="2" t="str">
        <x:v>T2</x:v>
      </x:c>
      <x:c r="D579" s="2" t="str">
        <x:v>L10</x:v>
      </x:c>
      <x:c r="E579" s="2" t="str">
        <x:v>Door sets</x:v>
      </x:c>
      <x:c r="F579" s="21" t="n">
        <x:f>'Controls'!$B$48</x:f>
        <x:v>28</x:v>
      </x:c>
      <x:c r="G579" s="21" t="n">
        <x:v>1</x:v>
      </x:c>
      <x:c r="H579" s="21" t="n">
        <x:v>1</x:v>
      </x:c>
      <x:c r="I579" s="21" t="n">
        <x:v>1</x:v>
      </x:c>
      <x:c r="J579" s="21" t="n">
        <x:v>1</x:v>
      </x:c>
      <x:c r="K579" s="21" t="n">
        <x:f>F579*G579*H579*I579*J579</x:f>
        <x:v>28</x:v>
      </x:c>
      <x:c r="L579" s="2" t="str">
        <x:v>Door count, not double face</x:v>
      </x:c>
      <x:c r="M579" s="2"/>
      <x:c r="N579" s="2"/>
      <x:c r="O579" s="2"/>
      <x:c r="P579" s="2"/>
      <x:c r="Q579" s="2"/>
    </x:row>
    <x:row r="580" ht="22" customHeight="1">
      <x:c r="A580" s="7" t="str">
        <x:v>M0573</x:v>
      </x:c>
      <x:c r="B580" s="7" t="str">
        <x:v>RC03</x:v>
      </x:c>
      <x:c r="C580" s="7" t="str">
        <x:v>T2</x:v>
      </x:c>
      <x:c r="D580" s="7" t="str">
        <x:v>L11</x:v>
      </x:c>
      <x:c r="E580" s="7" t="str">
        <x:v>Floor slab gross</x:v>
      </x:c>
      <x:c r="F580" s="20" t="n">
        <x:v>1</x:v>
      </x:c>
      <x:c r="G580" s="20" t="n">
        <x:f>'Controls'!$B$10</x:f>
        <x:v>30</x:v>
      </x:c>
      <x:c r="H580" s="20" t="n">
        <x:f>'Controls'!$B$11</x:f>
        <x:v>24</x:v>
      </x:c>
      <x:c r="I580" s="20" t="n">
        <x:f>'Controls'!$B$13</x:f>
        <x:v>0.22</x:v>
      </x:c>
      <x:c r="J580" s="20" t="n">
        <x:v>1</x:v>
      </x:c>
      <x:c r="K580" s="20" t="n">
        <x:f>F580*G580*H580*I580*J580</x:f>
        <x:v>158.4</x:v>
      </x:c>
      <x:c r="L580" s="7" t="str">
        <x:v>Slab includes beam top flange; downstand separate</x:v>
      </x:c>
      <x:c r="M580" s="2"/>
      <x:c r="N580" s="2"/>
      <x:c r="O580" s="2"/>
      <x:c r="P580" s="2"/>
      <x:c r="Q580" s="2"/>
    </x:row>
    <x:row r="581" ht="22" customHeight="1">
      <x:c r="A581" s="2" t="str">
        <x:v>M0574</x:v>
      </x:c>
      <x:c r="B581" s="2" t="str">
        <x:v>RC03</x:v>
      </x:c>
      <x:c r="C581" s="2" t="str">
        <x:v>T2</x:v>
      </x:c>
      <x:c r="D581" s="2" t="str">
        <x:v>L11</x:v>
      </x:c>
      <x:c r="E581" s="2" t="str">
        <x:v>Stair opening deduction</x:v>
      </x:c>
      <x:c r="F581" s="21" t="n">
        <x:v>1</x:v>
      </x:c>
      <x:c r="G581" s="21" t="n">
        <x:f>'Controls'!$B$20</x:f>
        <x:v>4</x:v>
      </x:c>
      <x:c r="H581" s="21" t="n">
        <x:f>'Controls'!$B$21</x:f>
        <x:v>6</x:v>
      </x:c>
      <x:c r="I581" s="21" t="n">
        <x:f>'Controls'!$B$13</x:f>
        <x:v>0.22</x:v>
      </x:c>
      <x:c r="J581" s="21" t="n">
        <x:v>-1</x:v>
      </x:c>
      <x:c r="K581" s="21" t="n">
        <x:f>F581*G581*H581*I581*J581</x:f>
        <x:v>-5.28</x:v>
      </x:c>
      <x:c r="L581" s="2" t="str">
        <x:v>Opening OP-01</x:v>
      </x:c>
      <x:c r="M581" s="2"/>
      <x:c r="N581" s="2"/>
      <x:c r="O581" s="2"/>
      <x:c r="P581" s="2"/>
      <x:c r="Q581" s="2"/>
    </x:row>
    <x:row r="582" ht="22" customHeight="1">
      <x:c r="A582" s="7" t="str">
        <x:v>M0575</x:v>
      </x:c>
      <x:c r="B582" s="7" t="str">
        <x:v>RC04</x:v>
      </x:c>
      <x:c r="C582" s="7" t="str">
        <x:v>T2</x:v>
      </x:c>
      <x:c r="D582" s="7" t="str">
        <x:v>L11</x:v>
      </x:c>
      <x:c r="E582" s="7" t="str">
        <x:v>Beam downstands X</x:v>
      </x:c>
      <x:c r="F582" s="20" t="n">
        <x:v>1</x:v>
      </x:c>
      <x:c r="G582" s="20" t="n">
        <x:f>5*5*('Controls'!$B$10/5-'Controls'!$B$14)</x:f>
        <x:v>137.5</x:v>
      </x:c>
      <x:c r="H582" s="20" t="n">
        <x:f>'Controls'!$B$16</x:f>
        <x:v>0.3</x:v>
      </x:c>
      <x:c r="I582" s="20" t="n">
        <x:f>'Controls'!$B$17-'Controls'!$B$13</x:f>
        <x:v>0.38</x:v>
      </x:c>
      <x:c r="J582" s="20" t="n">
        <x:v>1</x:v>
      </x:c>
      <x:c r="K582" s="20" t="n">
        <x:f>F582*G582*H582*I582*J582</x:f>
        <x:v>15.675</x:v>
      </x:c>
      <x:c r="L582" s="7" t="str">
        <x:v>Clear spans between column faces; no joint overlap</x:v>
      </x:c>
      <x:c r="M582" s="2"/>
      <x:c r="N582" s="2"/>
      <x:c r="O582" s="2"/>
      <x:c r="P582" s="2"/>
      <x:c r="Q582" s="2"/>
    </x:row>
    <x:row r="583" ht="22" customHeight="1">
      <x:c r="A583" s="2" t="str">
        <x:v>M0576</x:v>
      </x:c>
      <x:c r="B583" s="2" t="str">
        <x:v>FW02</x:v>
      </x:c>
      <x:c r="C583" s="2" t="str">
        <x:v>T2</x:v>
      </x:c>
      <x:c r="D583" s="2" t="str">
        <x:v>L11</x:v>
      </x:c>
      <x:c r="E583" s="2" t="str">
        <x:v>Beam forms X</x:v>
      </x:c>
      <x:c r="F583" s="21" t="n">
        <x:v>1</x:v>
      </x:c>
      <x:c r="G583" s="21" t="n">
        <x:f>5*5*('Controls'!$B$10/5-'Controls'!$B$14)</x:f>
        <x:v>137.5</x:v>
      </x:c>
      <x:c r="H583" s="21" t="n">
        <x:f>'Controls'!$B$16+2*('Controls'!$B$17-'Controls'!$B$13)</x:f>
        <x:v>1.06</x:v>
      </x:c>
      <x:c r="I583" s="21" t="n">
        <x:v>1</x:v>
      </x:c>
      <x:c r="J583" s="21" t="n">
        <x:v>1</x:v>
      </x:c>
      <x:c r="K583" s="21" t="n">
        <x:f>F583*G583*H583*I583*J583</x:f>
        <x:v>145.75</x:v>
      </x:c>
      <x:c r="L583" s="2" t="str">
        <x:v>Soffit plus two downstand sides</x:v>
      </x:c>
      <x:c r="M583" s="2"/>
      <x:c r="N583" s="2"/>
      <x:c r="O583" s="2"/>
      <x:c r="P583" s="2"/>
      <x:c r="Q583" s="2"/>
    </x:row>
    <x:row r="584" ht="22" customHeight="1">
      <x:c r="A584" s="7" t="str">
        <x:v>M0577</x:v>
      </x:c>
      <x:c r="B584" s="7" t="str">
        <x:v>RC04</x:v>
      </x:c>
      <x:c r="C584" s="7" t="str">
        <x:v>T2</x:v>
      </x:c>
      <x:c r="D584" s="7" t="str">
        <x:v>L11</x:v>
      </x:c>
      <x:c r="E584" s="7" t="str">
        <x:v>Beam downstands Y</x:v>
      </x:c>
      <x:c r="F584" s="20" t="n">
        <x:v>1</x:v>
      </x:c>
      <x:c r="G584" s="20" t="n">
        <x:f>6*4*('Controls'!$B$11/4-'Controls'!$B$15)</x:f>
        <x:v>132</x:v>
      </x:c>
      <x:c r="H584" s="20" t="n">
        <x:f>'Controls'!$B$16</x:f>
        <x:v>0.3</x:v>
      </x:c>
      <x:c r="I584" s="20" t="n">
        <x:f>'Controls'!$B$17-'Controls'!$B$13</x:f>
        <x:v>0.38</x:v>
      </x:c>
      <x:c r="J584" s="20" t="n">
        <x:v>1</x:v>
      </x:c>
      <x:c r="K584" s="20" t="n">
        <x:f>F584*G584*H584*I584*J584</x:f>
        <x:v>15.048</x:v>
      </x:c>
      <x:c r="L584" s="7" t="str">
        <x:v>Clear spans between column faces; no joint overlap</x:v>
      </x:c>
      <x:c r="M584" s="2"/>
      <x:c r="N584" s="2"/>
      <x:c r="O584" s="2"/>
      <x:c r="P584" s="2"/>
      <x:c r="Q584" s="2"/>
    </x:row>
    <x:row r="585" ht="22" customHeight="1">
      <x:c r="A585" s="2" t="str">
        <x:v>M0578</x:v>
      </x:c>
      <x:c r="B585" s="2" t="str">
        <x:v>FW02</x:v>
      </x:c>
      <x:c r="C585" s="2" t="str">
        <x:v>T2</x:v>
      </x:c>
      <x:c r="D585" s="2" t="str">
        <x:v>L11</x:v>
      </x:c>
      <x:c r="E585" s="2" t="str">
        <x:v>Beam forms Y</x:v>
      </x:c>
      <x:c r="F585" s="21" t="n">
        <x:v>1</x:v>
      </x:c>
      <x:c r="G585" s="21" t="n">
        <x:f>6*4*('Controls'!$B$11/4-'Controls'!$B$15)</x:f>
        <x:v>132</x:v>
      </x:c>
      <x:c r="H585" s="21" t="n">
        <x:f>'Controls'!$B$16+2*('Controls'!$B$17-'Controls'!$B$13)</x:f>
        <x:v>1.06</x:v>
      </x:c>
      <x:c r="I585" s="21" t="n">
        <x:v>1</x:v>
      </x:c>
      <x:c r="J585" s="21" t="n">
        <x:v>1</x:v>
      </x:c>
      <x:c r="K585" s="21" t="n">
        <x:f>F585*G585*H585*I585*J585</x:f>
        <x:v>139.92000000000002</x:v>
      </x:c>
      <x:c r="L585" s="2" t="str">
        <x:v>Soffit plus two downstand sides</x:v>
      </x:c>
      <x:c r="M585" s="2"/>
      <x:c r="N585" s="2"/>
      <x:c r="O585" s="2"/>
      <x:c r="P585" s="2"/>
      <x:c r="Q585" s="2"/>
    </x:row>
    <x:row r="586" ht="22" customHeight="1">
      <x:c r="A586" s="7" t="str">
        <x:v>M0579</x:v>
      </x:c>
      <x:c r="B586" s="7" t="str">
        <x:v>RC05</x:v>
      </x:c>
      <x:c r="C586" s="7" t="str">
        <x:v>T2</x:v>
      </x:c>
      <x:c r="D586" s="7" t="str">
        <x:v>L11</x:v>
      </x:c>
      <x:c r="E586" s="7" t="str">
        <x:v>Thirty columns, clear storey</x:v>
      </x:c>
      <x:c r="F586" s="20" t="n">
        <x:v>30</x:v>
      </x:c>
      <x:c r="G586" s="20" t="n">
        <x:f>'Controls'!$B$14</x:f>
        <x:v>0.5</x:v>
      </x:c>
      <x:c r="H586" s="20" t="n">
        <x:f>'Controls'!$B$15</x:f>
        <x:v>0.5</x:v>
      </x:c>
      <x:c r="I586" s="20" t="n">
        <x:f>'Controls'!$B$12-'Controls'!$B$13</x:f>
        <x:v>2.98</x:v>
      </x:c>
      <x:c r="J586" s="20" t="n">
        <x:v>1</x:v>
      </x:c>
      <x:c r="K586" s="20" t="n">
        <x:f>F586*G586*H586*I586*J586</x:f>
        <x:v>22.35</x:v>
      </x:c>
      <x:c r="L586" s="7" t="str">
        <x:v>Slab volume excluded from columns</x:v>
      </x:c>
      <x:c r="M586" s="2"/>
      <x:c r="N586" s="2"/>
      <x:c r="O586" s="2"/>
      <x:c r="P586" s="2"/>
      <x:c r="Q586" s="2"/>
    </x:row>
    <x:row r="587" ht="22" customHeight="1">
      <x:c r="A587" s="2" t="str">
        <x:v>M0580</x:v>
      </x:c>
      <x:c r="B587" s="2" t="str">
        <x:v>RC06</x:v>
      </x:c>
      <x:c r="C587" s="2" t="str">
        <x:v>T2</x:v>
      </x:c>
      <x:c r="D587" s="2" t="str">
        <x:v>L11</x:v>
      </x:c>
      <x:c r="E587" s="2" t="str">
        <x:v>Core walls clear storey</x:v>
      </x:c>
      <x:c r="F587" s="21" t="n">
        <x:v>1</x:v>
      </x:c>
      <x:c r="G587" s="21" t="n">
        <x:f>'Controls'!$B$19</x:f>
        <x:v>24</x:v>
      </x:c>
      <x:c r="H587" s="21" t="n">
        <x:f>'Controls'!$B$18</x:f>
        <x:v>0.25</x:v>
      </x:c>
      <x:c r="I587" s="21" t="n">
        <x:f>'Controls'!$B$12-'Controls'!$B$13</x:f>
        <x:v>2.98</x:v>
      </x:c>
      <x:c r="J587" s="21" t="n">
        <x:v>1</x:v>
      </x:c>
      <x:c r="K587" s="21" t="n">
        <x:f>F587*G587*H587*I587*J587</x:f>
        <x:v>17.88</x:v>
      </x:c>
      <x:c r="L587" s="2" t="str">
        <x:v>Net clear wall length excludes corners</x:v>
      </x:c>
      <x:c r="M587" s="2"/>
      <x:c r="N587" s="2"/>
      <x:c r="O587" s="2"/>
      <x:c r="P587" s="2"/>
      <x:c r="Q587" s="2"/>
    </x:row>
    <x:row r="588" ht="22" customHeight="1">
      <x:c r="A588" s="7" t="str">
        <x:v>M0581</x:v>
      </x:c>
      <x:c r="B588" s="7" t="str">
        <x:v>RC07</x:v>
      </x:c>
      <x:c r="C588" s="7" t="str">
        <x:v>T2</x:v>
      </x:c>
      <x:c r="D588" s="7" t="str">
        <x:v>L11</x:v>
      </x:c>
      <x:c r="E588" s="7" t="str">
        <x:v>Stair flights waist</x:v>
      </x:c>
      <x:c r="F588" s="20" t="n">
        <x:v>2</x:v>
      </x:c>
      <x:c r="G588" s="20" t="n">
        <x:v>4.1</x:v>
      </x:c>
      <x:c r="H588" s="20" t="n">
        <x:v>1.2</x:v>
      </x:c>
      <x:c r="I588" s="20" t="n">
        <x:v>0.18</x:v>
      </x:c>
      <x:c r="J588" s="20" t="n">
        <x:v>1</x:v>
      </x:c>
      <x:c r="K588" s="20" t="n">
        <x:f>F588*G588*H588*I588*J588</x:f>
        <x:v>1.7711999999999997</x:v>
      </x:c>
      <x:c r="L588" s="7" t="str">
        <x:v>Two flights; geometry separate from floor slab</x:v>
      </x:c>
      <x:c r="M588" s="2"/>
      <x:c r="N588" s="2"/>
      <x:c r="O588" s="2"/>
      <x:c r="P588" s="2"/>
      <x:c r="Q588" s="2"/>
    </x:row>
    <x:row r="589" ht="22" customHeight="1">
      <x:c r="A589" s="2" t="str">
        <x:v>M0582</x:v>
      </x:c>
      <x:c r="B589" s="2" t="str">
        <x:v>RC07</x:v>
      </x:c>
      <x:c r="C589" s="2" t="str">
        <x:v>T2</x:v>
      </x:c>
      <x:c r="D589" s="2" t="str">
        <x:v>L11</x:v>
      </x:c>
      <x:c r="E589" s="2" t="str">
        <x:v>Stair landings</x:v>
      </x:c>
      <x:c r="F589" s="21" t="n">
        <x:v>2</x:v>
      </x:c>
      <x:c r="G589" s="21" t="n">
        <x:v>2</x:v>
      </x:c>
      <x:c r="H589" s="21" t="n">
        <x:v>1.2</x:v>
      </x:c>
      <x:c r="I589" s="21" t="n">
        <x:v>0.18</x:v>
      </x:c>
      <x:c r="J589" s="21" t="n">
        <x:v>1</x:v>
      </x:c>
      <x:c r="K589" s="21" t="n">
        <x:f>F589*G589*H589*I589*J589</x:f>
        <x:v>0.864</x:v>
      </x:c>
      <x:c r="L589" s="2" t="str">
        <x:v>Within stair opening</x:v>
      </x:c>
      <x:c r="M589" s="2"/>
      <x:c r="N589" s="2"/>
      <x:c r="O589" s="2"/>
      <x:c r="P589" s="2"/>
      <x:c r="Q589" s="2"/>
    </x:row>
    <x:row r="590" ht="22" customHeight="1">
      <x:c r="A590" s="7" t="str">
        <x:v>M0583</x:v>
      </x:c>
      <x:c r="B590" s="7" t="str">
        <x:v>FW01</x:v>
      </x:c>
      <x:c r="C590" s="7" t="str">
        <x:v>T2</x:v>
      </x:c>
      <x:c r="D590" s="7" t="str">
        <x:v>L11</x:v>
      </x:c>
      <x:c r="E590" s="7" t="str">
        <x:v>Slab soffit gross</x:v>
      </x:c>
      <x:c r="F590" s="20" t="n">
        <x:v>1</x:v>
      </x:c>
      <x:c r="G590" s="20" t="n">
        <x:f>'Controls'!$B$10</x:f>
        <x:v>30</x:v>
      </x:c>
      <x:c r="H590" s="20" t="n">
        <x:f>'Controls'!$B$11</x:f>
        <x:v>24</x:v>
      </x:c>
      <x:c r="I590" s="20" t="n">
        <x:v>1</x:v>
      </x:c>
      <x:c r="J590" s="20" t="n">
        <x:v>1</x:v>
      </x:c>
      <x:c r="K590" s="20" t="n">
        <x:f>F590*G590*H590*I590*J590</x:f>
        <x:v>720</x:v>
      </x:c>
      <x:c r="L590" s="7" t="str">
        <x:v>Beam soffit deducted below</x:v>
      </x:c>
      <x:c r="M590" s="2"/>
      <x:c r="N590" s="2"/>
      <x:c r="O590" s="2"/>
      <x:c r="P590" s="2"/>
      <x:c r="Q590" s="2"/>
    </x:row>
    <x:row r="591" ht="22" customHeight="1">
      <x:c r="A591" s="2" t="str">
        <x:v>M0584</x:v>
      </x:c>
      <x:c r="B591" s="2" t="str">
        <x:v>FW01</x:v>
      </x:c>
      <x:c r="C591" s="2" t="str">
        <x:v>T2</x:v>
      </x:c>
      <x:c r="D591" s="2" t="str">
        <x:v>L11</x:v>
      </x:c>
      <x:c r="E591" s="2" t="str">
        <x:v>Stair opening deduction</x:v>
      </x:c>
      <x:c r="F591" s="21" t="n">
        <x:v>1</x:v>
      </x:c>
      <x:c r="G591" s="21" t="n">
        <x:f>'Controls'!$B$20</x:f>
        <x:v>4</x:v>
      </x:c>
      <x:c r="H591" s="21" t="n">
        <x:f>'Controls'!$B$21</x:f>
        <x:v>6</x:v>
      </x:c>
      <x:c r="I591" s="21" t="n">
        <x:v>1</x:v>
      </x:c>
      <x:c r="J591" s="21" t="n">
        <x:v>-1</x:v>
      </x:c>
      <x:c r="K591" s="21" t="n">
        <x:f>F591*G591*H591*I591*J591</x:f>
        <x:v>-24</x:v>
      </x:c>
      <x:c r="L591" s="2" t="str">
        <x:v>OP-01</x:v>
      </x:c>
      <x:c r="M591" s="2"/>
      <x:c r="N591" s="2"/>
      <x:c r="O591" s="2"/>
      <x:c r="P591" s="2"/>
      <x:c r="Q591" s="2"/>
    </x:row>
    <x:row r="592" ht="22" customHeight="1">
      <x:c r="A592" s="7" t="str">
        <x:v>M0585</x:v>
      </x:c>
      <x:c r="B592" s="7" t="str">
        <x:v>FW01</x:v>
      </x:c>
      <x:c r="C592" s="7" t="str">
        <x:v>T2</x:v>
      </x:c>
      <x:c r="D592" s="7" t="str">
        <x:v>L11</x:v>
      </x:c>
      <x:c r="E592" s="7" t="str">
        <x:v>Beam soffit deduction</x:v>
      </x:c>
      <x:c r="F592" s="20" t="n">
        <x:v>1</x:v>
      </x:c>
      <x:c r="G592" s="20" t="n">
        <x:f>5*5*('Controls'!$B$10/5-'Controls'!$B$14)+6*4*('Controls'!$B$11/4-'Controls'!$B$15)</x:f>
        <x:v>269.5</x:v>
      </x:c>
      <x:c r="H592" s="20" t="n">
        <x:f>'Controls'!$B$16</x:f>
        <x:v>0.3</x:v>
      </x:c>
      <x:c r="I592" s="20" t="n">
        <x:v>1</x:v>
      </x:c>
      <x:c r="J592" s="20" t="n">
        <x:v>-1</x:v>
      </x:c>
      <x:c r="K592" s="20" t="n">
        <x:f>F592*G592*H592*I592*J592</x:f>
        <x:v>-80.85</x:v>
      </x:c>
      <x:c r="L592" s="7" t="str">
        <x:v>Beam forms measured in FW02</x:v>
      </x:c>
      <x:c r="M592" s="2"/>
      <x:c r="N592" s="2"/>
      <x:c r="O592" s="2"/>
      <x:c r="P592" s="2"/>
      <x:c r="Q592" s="2"/>
    </x:row>
    <x:row r="593" ht="22" customHeight="1">
      <x:c r="A593" s="2" t="str">
        <x:v>M0586</x:v>
      </x:c>
      <x:c r="B593" s="2" t="str">
        <x:v>FW03</x:v>
      </x:c>
      <x:c r="C593" s="2" t="str">
        <x:v>T2</x:v>
      </x:c>
      <x:c r="D593" s="2" t="str">
        <x:v>L11</x:v>
      </x:c>
      <x:c r="E593" s="2" t="str">
        <x:v>Column four faces</x:v>
      </x:c>
      <x:c r="F593" s="21" t="n">
        <x:v>30</x:v>
      </x:c>
      <x:c r="G593" s="21" t="n">
        <x:f>2*('Controls'!$B$14+'Controls'!$B$15)</x:f>
        <x:v>2</x:v>
      </x:c>
      <x:c r="H593" s="21" t="n">
        <x:f>'Controls'!$B$12-'Controls'!$B$13</x:f>
        <x:v>2.98</x:v>
      </x:c>
      <x:c r="I593" s="21" t="n">
        <x:v>1</x:v>
      </x:c>
      <x:c r="J593" s="21" t="n">
        <x:v>1</x:v>
      </x:c>
      <x:c r="K593" s="21" t="n">
        <x:f>F593*G593*H593*I593*J593</x:f>
        <x:v>178.8</x:v>
      </x:c>
      <x:c r="L593" s="2" t="str">
        <x:v>Clear floor-to-soffit</x:v>
      </x:c>
      <x:c r="M593" s="2"/>
      <x:c r="N593" s="2"/>
      <x:c r="O593" s="2"/>
      <x:c r="P593" s="2"/>
      <x:c r="Q593" s="2"/>
    </x:row>
    <x:row r="594" ht="22" customHeight="1">
      <x:c r="A594" s="7" t="str">
        <x:v>M0587</x:v>
      </x:c>
      <x:c r="B594" s="7" t="str">
        <x:v>FW04</x:v>
      </x:c>
      <x:c r="C594" s="7" t="str">
        <x:v>T2</x:v>
      </x:c>
      <x:c r="D594" s="7" t="str">
        <x:v>L11</x:v>
      </x:c>
      <x:c r="E594" s="7" t="str">
        <x:v>Core wall two faces</x:v>
      </x:c>
      <x:c r="F594" s="20" t="n">
        <x:v>2</x:v>
      </x:c>
      <x:c r="G594" s="20" t="n">
        <x:f>'Controls'!$B$19</x:f>
        <x:v>24</x:v>
      </x:c>
      <x:c r="H594" s="20" t="n">
        <x:f>'Controls'!$B$12-'Controls'!$B$13</x:f>
        <x:v>2.98</x:v>
      </x:c>
      <x:c r="I594" s="20" t="n">
        <x:v>1</x:v>
      </x:c>
      <x:c r="J594" s="20" t="n">
        <x:v>1</x:v>
      </x:c>
      <x:c r="K594" s="20" t="n">
        <x:f>F594*G594*H594*I594*J594</x:f>
        <x:v>143.04</x:v>
      </x:c>
      <x:c r="L594" s="7" t="str">
        <x:v>Net perimeter, no repeated corners</x:v>
      </x:c>
      <x:c r="M594" s="2"/>
      <x:c r="N594" s="2"/>
      <x:c r="O594" s="2"/>
      <x:c r="P594" s="2"/>
      <x:c r="Q594" s="2"/>
    </x:row>
    <x:row r="595" ht="22" customHeight="1">
      <x:c r="A595" s="2" t="str">
        <x:v>M0588</x:v>
      </x:c>
      <x:c r="B595" s="2" t="str">
        <x:v>AR01</x:v>
      </x:c>
      <x:c r="C595" s="2" t="str">
        <x:v>T2</x:v>
      </x:c>
      <x:c r="D595" s="2" t="str">
        <x:v>L11</x:v>
      </x:c>
      <x:c r="E595" s="2" t="str">
        <x:v>Partition walls gross</x:v>
      </x:c>
      <x:c r="F595" s="21" t="n">
        <x:v>1</x:v>
      </x:c>
      <x:c r="G595" s="21" t="n">
        <x:f>'Controls'!$B$45</x:f>
        <x:v>220</x:v>
      </x:c>
      <x:c r="H595" s="21" t="n">
        <x:f>'Controls'!$B$12-'Controls'!$B$13</x:f>
        <x:v>2.98</x:v>
      </x:c>
      <x:c r="I595" s="21" t="n">
        <x:f>'Controls'!$B$46</x:f>
        <x:v>0.15</x:v>
      </x:c>
      <x:c r="J595" s="21" t="n">
        <x:v>1</x:v>
      </x:c>
      <x:c r="K595" s="21" t="n">
        <x:f>F595*G595*H595*I595*J595</x:f>
        <x:v>98.34</x:v>
      </x:c>
      <x:c r="L595" s="2" t="str">
        <x:v>Net openings deducted below</x:v>
      </x:c>
      <x:c r="M595" s="2"/>
      <x:c r="N595" s="2"/>
      <x:c r="O595" s="2"/>
      <x:c r="P595" s="2"/>
      <x:c r="Q595" s="2"/>
    </x:row>
    <x:row r="596" ht="22" customHeight="1">
      <x:c r="A596" s="7" t="str">
        <x:v>M0589</x:v>
      </x:c>
      <x:c r="B596" s="7" t="str">
        <x:v>AR01</x:v>
      </x:c>
      <x:c r="C596" s="7" t="str">
        <x:v>T2</x:v>
      </x:c>
      <x:c r="D596" s="7" t="str">
        <x:v>L11</x:v>
      </x:c>
      <x:c r="E596" s="7" t="str">
        <x:v>Internal doors deduction</x:v>
      </x:c>
      <x:c r="F596" s="20" t="n">
        <x:f>'Controls'!$B$48</x:f>
        <x:v>28</x:v>
      </x:c>
      <x:c r="G596" s="20" t="n">
        <x:f>'Controls'!$B$49</x:f>
        <x:v>0.9</x:v>
      </x:c>
      <x:c r="H596" s="20" t="n">
        <x:f>'Controls'!$B$50</x:f>
        <x:v>2.1</x:v>
      </x:c>
      <x:c r="I596" s="20" t="n">
        <x:f>'Controls'!$B$46</x:f>
        <x:v>0.15</x:v>
      </x:c>
      <x:c r="J596" s="20" t="n">
        <x:v>-1</x:v>
      </x:c>
      <x:c r="K596" s="20" t="n">
        <x:f>F596*G596*H596*I596*J596</x:f>
        <x:v>-7.938</x:v>
      </x:c>
      <x:c r="L596" s="7" t="str">
        <x:v>28 doors per floor, OP-02</x:v>
      </x:c>
      <x:c r="M596" s="2"/>
      <x:c r="N596" s="2"/>
      <x:c r="O596" s="2"/>
      <x:c r="P596" s="2"/>
      <x:c r="Q596" s="2"/>
    </x:row>
    <x:row r="597" ht="22" customHeight="1">
      <x:c r="A597" s="2" t="str">
        <x:v>M0590</x:v>
      </x:c>
      <x:c r="B597" s="2" t="str">
        <x:v>AR02</x:v>
      </x:c>
      <x:c r="C597" s="2" t="str">
        <x:v>T2</x:v>
      </x:c>
      <x:c r="D597" s="2" t="str">
        <x:v>L11</x:v>
      </x:c>
      <x:c r="E597" s="2" t="str">
        <x:v>Internal plaster gross</x:v>
      </x:c>
      <x:c r="F597" s="21" t="n">
        <x:v>2</x:v>
      </x:c>
      <x:c r="G597" s="21" t="n">
        <x:f>'Controls'!$B$45</x:f>
        <x:v>220</x:v>
      </x:c>
      <x:c r="H597" s="21" t="n">
        <x:f>'Controls'!$B$12-'Controls'!$B$13</x:f>
        <x:v>2.98</x:v>
      </x:c>
      <x:c r="I597" s="21" t="n">
        <x:v>1</x:v>
      </x:c>
      <x:c r="J597" s="21" t="n">
        <x:v>1</x:v>
      </x:c>
      <x:c r="K597" s="21" t="n">
        <x:f>F597*G597*H597*I597*J597</x:f>
        <x:v>1311.2</x:v>
      </x:c>
      <x:c r="L597" s="2" t="str">
        <x:v>Both faces of partition walls</x:v>
      </x:c>
      <x:c r="M597" s="2"/>
      <x:c r="N597" s="2"/>
      <x:c r="O597" s="2"/>
      <x:c r="P597" s="2"/>
      <x:c r="Q597" s="2"/>
    </x:row>
    <x:row r="598" ht="22" customHeight="1">
      <x:c r="A598" s="7" t="str">
        <x:v>M0591</x:v>
      </x:c>
      <x:c r="B598" s="7" t="str">
        <x:v>AR02</x:v>
      </x:c>
      <x:c r="C598" s="7" t="str">
        <x:v>T2</x:v>
      </x:c>
      <x:c r="D598" s="7" t="str">
        <x:v>L11</x:v>
      </x:c>
      <x:c r="E598" s="7" t="str">
        <x:v>Door area deduction both faces</x:v>
      </x:c>
      <x:c r="F598" s="20" t="n">
        <x:f>2*'Controls'!$B$48</x:f>
        <x:v>56</x:v>
      </x:c>
      <x:c r="G598" s="20" t="n">
        <x:f>'Controls'!$B$49</x:f>
        <x:v>0.9</x:v>
      </x:c>
      <x:c r="H598" s="20" t="n">
        <x:f>'Controls'!$B$50</x:f>
        <x:v>2.1</x:v>
      </x:c>
      <x:c r="I598" s="20" t="n">
        <x:v>1</x:v>
      </x:c>
      <x:c r="J598" s="20" t="n">
        <x:v>-1</x:v>
      </x:c>
      <x:c r="K598" s="20" t="n">
        <x:f>F598*G598*H598*I598*J598</x:f>
        <x:v>-105.84</x:v>
      </x:c>
      <x:c r="L598" s="7" t="str">
        <x:v>No plaster over openings</x:v>
      </x:c>
      <x:c r="M598" s="2"/>
      <x:c r="N598" s="2"/>
      <x:c r="O598" s="2"/>
      <x:c r="P598" s="2"/>
      <x:c r="Q598" s="2"/>
    </x:row>
    <x:row r="599" ht="22" customHeight="1">
      <x:c r="A599" s="2" t="str">
        <x:v>M0592</x:v>
      </x:c>
      <x:c r="B599" s="2" t="str">
        <x:v>AR03</x:v>
      </x:c>
      <x:c r="C599" s="2" t="str">
        <x:v>T2</x:v>
      </x:c>
      <x:c r="D599" s="2" t="str">
        <x:v>L11</x:v>
      </x:c>
      <x:c r="E599" s="2" t="str">
        <x:v>Floor screed net</x:v>
      </x:c>
      <x:c r="F599" s="21" t="n">
        <x:v>1</x:v>
      </x:c>
      <x:c r="G599" s="21" t="n">
        <x:f>'Controls'!$B$10*'Controls'!$B$11-'Controls'!$B$20*'Controls'!$B$21</x:f>
        <x:v>696</x:v>
      </x:c>
      <x:c r="H599" s="21" t="n">
        <x:v>1</x:v>
      </x:c>
      <x:c r="I599" s="21" t="n">
        <x:v>1</x:v>
      </x:c>
      <x:c r="J599" s="21" t="n">
        <x:v>1</x:v>
      </x:c>
      <x:c r="K599" s="21" t="n">
        <x:f>F599*G599*H599*I599*J599</x:f>
        <x:v>696</x:v>
      </x:c>
      <x:c r="L599" s="2" t="str">
        <x:v>Net structural floor area</x:v>
      </x:c>
      <x:c r="M599" s="2"/>
      <x:c r="N599" s="2"/>
      <x:c r="O599" s="2"/>
      <x:c r="P599" s="2"/>
      <x:c r="Q599" s="2"/>
    </x:row>
    <x:row r="600" ht="22" customHeight="1">
      <x:c r="A600" s="7" t="str">
        <x:v>M0593</x:v>
      </x:c>
      <x:c r="B600" s="7" t="str">
        <x:v>AR04</x:v>
      </x:c>
      <x:c r="C600" s="7" t="str">
        <x:v>T2</x:v>
      </x:c>
      <x:c r="D600" s="7" t="str">
        <x:v>L11</x:v>
      </x:c>
      <x:c r="E600" s="7" t="str">
        <x:v>Floor finish net</x:v>
      </x:c>
      <x:c r="F600" s="20" t="n">
        <x:v>1</x:v>
      </x:c>
      <x:c r="G600" s="20" t="n">
        <x:f>'Controls'!$B$10*'Controls'!$B$11-'Controls'!$B$20*'Controls'!$B$21</x:f>
        <x:v>696</x:v>
      </x:c>
      <x:c r="H600" s="20" t="n">
        <x:v>1</x:v>
      </x:c>
      <x:c r="I600" s="20" t="n">
        <x:v>1</x:v>
      </x:c>
      <x:c r="J600" s="20" t="n">
        <x:v>1</x:v>
      </x:c>
      <x:c r="K600" s="20" t="n">
        <x:f>F600*G600*H600*I600*J600</x:f>
        <x:v>696</x:v>
      </x:c>
      <x:c r="L600" s="7" t="str">
        <x:v>Waste excluded from BOQ</x:v>
      </x:c>
      <x:c r="M600" s="2"/>
      <x:c r="N600" s="2"/>
      <x:c r="O600" s="2"/>
      <x:c r="P600" s="2"/>
      <x:c r="Q600" s="2"/>
    </x:row>
    <x:row r="601" ht="22" customHeight="1">
      <x:c r="A601" s="2" t="str">
        <x:v>M0594</x:v>
      </x:c>
      <x:c r="B601" s="2" t="str">
        <x:v>AR05</x:v>
      </x:c>
      <x:c r="C601" s="2" t="str">
        <x:v>T2</x:v>
      </x:c>
      <x:c r="D601" s="2" t="str">
        <x:v>L11</x:v>
      </x:c>
      <x:c r="E601" s="2" t="str">
        <x:v>Internal wall paint net</x:v>
      </x:c>
      <x:c r="F601" s="21" t="n">
        <x:v>2</x:v>
      </x:c>
      <x:c r="G601" s="21" t="n">
        <x:f>'Controls'!$B$45*('Controls'!$B$12-'Controls'!$B$13)-'Controls'!$B$48*'Controls'!$B$49*'Controls'!$B$50</x:f>
        <x:v>602.6800000000001</x:v>
      </x:c>
      <x:c r="H601" s="21" t="n">
        <x:v>1</x:v>
      </x:c>
      <x:c r="I601" s="21" t="n">
        <x:v>1</x:v>
      </x:c>
      <x:c r="J601" s="21" t="n">
        <x:v>1</x:v>
      </x:c>
      <x:c r="K601" s="21" t="n">
        <x:f>F601*G601*H601*I601*J601</x:f>
        <x:v>1205.3600000000001</x:v>
      </x:c>
      <x:c r="L601" s="2" t="str">
        <x:v>Finished area; two coats priced in rate</x:v>
      </x:c>
      <x:c r="M601" s="2"/>
      <x:c r="N601" s="2"/>
      <x:c r="O601" s="2"/>
      <x:c r="P601" s="2"/>
      <x:c r="Q601" s="2"/>
    </x:row>
    <x:row r="602" ht="22" customHeight="1">
      <x:c r="A602" s="7" t="str">
        <x:v>M0595</x:v>
      </x:c>
      <x:c r="B602" s="7" t="str">
        <x:v>AR06</x:v>
      </x:c>
      <x:c r="C602" s="7" t="str">
        <x:v>T2</x:v>
      </x:c>
      <x:c r="D602" s="7" t="str">
        <x:v>L11</x:v>
      </x:c>
      <x:c r="E602" s="7" t="str">
        <x:v>Door sets</x:v>
      </x:c>
      <x:c r="F602" s="20" t="n">
        <x:f>'Controls'!$B$48</x:f>
        <x:v>28</x:v>
      </x:c>
      <x:c r="G602" s="20" t="n">
        <x:v>1</x:v>
      </x:c>
      <x:c r="H602" s="20" t="n">
        <x:v>1</x:v>
      </x:c>
      <x:c r="I602" s="20" t="n">
        <x:v>1</x:v>
      </x:c>
      <x:c r="J602" s="20" t="n">
        <x:v>1</x:v>
      </x:c>
      <x:c r="K602" s="20" t="n">
        <x:f>F602*G602*H602*I602*J602</x:f>
        <x:v>28</x:v>
      </x:c>
      <x:c r="L602" s="7" t="str">
        <x:v>Door count, not double face</x:v>
      </x:c>
      <x:c r="M602" s="2"/>
      <x:c r="N602" s="2"/>
      <x:c r="O602" s="2"/>
      <x:c r="P602" s="2"/>
      <x:c r="Q602" s="2"/>
    </x:row>
    <x:row r="603" ht="22" customHeight="1">
      <x:c r="A603" s="2" t="str">
        <x:v>M0596</x:v>
      </x:c>
      <x:c r="B603" s="2" t="str">
        <x:v>RC03</x:v>
      </x:c>
      <x:c r="C603" s="2" t="str">
        <x:v>T2</x:v>
      </x:c>
      <x:c r="D603" s="2" t="str">
        <x:v>L12</x:v>
      </x:c>
      <x:c r="E603" s="2" t="str">
        <x:v>Floor slab gross</x:v>
      </x:c>
      <x:c r="F603" s="21" t="n">
        <x:v>1</x:v>
      </x:c>
      <x:c r="G603" s="21" t="n">
        <x:f>'Controls'!$B$10</x:f>
        <x:v>30</x:v>
      </x:c>
      <x:c r="H603" s="21" t="n">
        <x:f>'Controls'!$B$11</x:f>
        <x:v>24</x:v>
      </x:c>
      <x:c r="I603" s="21" t="n">
        <x:f>'Controls'!$B$13</x:f>
        <x:v>0.22</x:v>
      </x:c>
      <x:c r="J603" s="21" t="n">
        <x:v>1</x:v>
      </x:c>
      <x:c r="K603" s="21" t="n">
        <x:f>F603*G603*H603*I603*J603</x:f>
        <x:v>158.4</x:v>
      </x:c>
      <x:c r="L603" s="2" t="str">
        <x:v>Slab includes beam top flange; downstand separate</x:v>
      </x:c>
      <x:c r="M603" s="2"/>
      <x:c r="N603" s="2"/>
      <x:c r="O603" s="2"/>
      <x:c r="P603" s="2"/>
      <x:c r="Q603" s="2"/>
    </x:row>
    <x:row r="604" ht="22" customHeight="1">
      <x:c r="A604" s="7" t="str">
        <x:v>M0597</x:v>
      </x:c>
      <x:c r="B604" s="7" t="str">
        <x:v>RC03</x:v>
      </x:c>
      <x:c r="C604" s="7" t="str">
        <x:v>T2</x:v>
      </x:c>
      <x:c r="D604" s="7" t="str">
        <x:v>L12</x:v>
      </x:c>
      <x:c r="E604" s="7" t="str">
        <x:v>Stair opening deduction</x:v>
      </x:c>
      <x:c r="F604" s="20" t="n">
        <x:v>1</x:v>
      </x:c>
      <x:c r="G604" s="20" t="n">
        <x:f>'Controls'!$B$20</x:f>
        <x:v>4</x:v>
      </x:c>
      <x:c r="H604" s="20" t="n">
        <x:f>'Controls'!$B$21</x:f>
        <x:v>6</x:v>
      </x:c>
      <x:c r="I604" s="20" t="n">
        <x:f>'Controls'!$B$13</x:f>
        <x:v>0.22</x:v>
      </x:c>
      <x:c r="J604" s="20" t="n">
        <x:v>-1</x:v>
      </x:c>
      <x:c r="K604" s="20" t="n">
        <x:f>F604*G604*H604*I604*J604</x:f>
        <x:v>-5.28</x:v>
      </x:c>
      <x:c r="L604" s="7" t="str">
        <x:v>Opening OP-01</x:v>
      </x:c>
      <x:c r="M604" s="2"/>
      <x:c r="N604" s="2"/>
      <x:c r="O604" s="2"/>
      <x:c r="P604" s="2"/>
      <x:c r="Q604" s="2"/>
    </x:row>
    <x:row r="605" ht="22" customHeight="1">
      <x:c r="A605" s="2" t="str">
        <x:v>M0598</x:v>
      </x:c>
      <x:c r="B605" s="2" t="str">
        <x:v>RC04</x:v>
      </x:c>
      <x:c r="C605" s="2" t="str">
        <x:v>T2</x:v>
      </x:c>
      <x:c r="D605" s="2" t="str">
        <x:v>L12</x:v>
      </x:c>
      <x:c r="E605" s="2" t="str">
        <x:v>Beam downstands X</x:v>
      </x:c>
      <x:c r="F605" s="21" t="n">
        <x:v>1</x:v>
      </x:c>
      <x:c r="G605" s="21" t="n">
        <x:f>5*5*('Controls'!$B$10/5-'Controls'!$B$14)</x:f>
        <x:v>137.5</x:v>
      </x:c>
      <x:c r="H605" s="21" t="n">
        <x:f>'Controls'!$B$16</x:f>
        <x:v>0.3</x:v>
      </x:c>
      <x:c r="I605" s="21" t="n">
        <x:f>'Controls'!$B$17-'Controls'!$B$13</x:f>
        <x:v>0.38</x:v>
      </x:c>
      <x:c r="J605" s="21" t="n">
        <x:v>1</x:v>
      </x:c>
      <x:c r="K605" s="21" t="n">
        <x:f>F605*G605*H605*I605*J605</x:f>
        <x:v>15.675</x:v>
      </x:c>
      <x:c r="L605" s="2" t="str">
        <x:v>Clear spans between column faces; no joint overlap</x:v>
      </x:c>
      <x:c r="M605" s="2"/>
      <x:c r="N605" s="2"/>
      <x:c r="O605" s="2"/>
      <x:c r="P605" s="2"/>
      <x:c r="Q605" s="2"/>
    </x:row>
    <x:row r="606" ht="22" customHeight="1">
      <x:c r="A606" s="7" t="str">
        <x:v>M0599</x:v>
      </x:c>
      <x:c r="B606" s="7" t="str">
        <x:v>FW02</x:v>
      </x:c>
      <x:c r="C606" s="7" t="str">
        <x:v>T2</x:v>
      </x:c>
      <x:c r="D606" s="7" t="str">
        <x:v>L12</x:v>
      </x:c>
      <x:c r="E606" s="7" t="str">
        <x:v>Beam forms X</x:v>
      </x:c>
      <x:c r="F606" s="20" t="n">
        <x:v>1</x:v>
      </x:c>
      <x:c r="G606" s="20" t="n">
        <x:f>5*5*('Controls'!$B$10/5-'Controls'!$B$14)</x:f>
        <x:v>137.5</x:v>
      </x:c>
      <x:c r="H606" s="20" t="n">
        <x:f>'Controls'!$B$16+2*('Controls'!$B$17-'Controls'!$B$13)</x:f>
        <x:v>1.06</x:v>
      </x:c>
      <x:c r="I606" s="20" t="n">
        <x:v>1</x:v>
      </x:c>
      <x:c r="J606" s="20" t="n">
        <x:v>1</x:v>
      </x:c>
      <x:c r="K606" s="20" t="n">
        <x:f>F606*G606*H606*I606*J606</x:f>
        <x:v>145.75</x:v>
      </x:c>
      <x:c r="L606" s="7" t="str">
        <x:v>Soffit plus two downstand sides</x:v>
      </x:c>
      <x:c r="M606" s="2"/>
      <x:c r="N606" s="2"/>
      <x:c r="O606" s="2"/>
      <x:c r="P606" s="2"/>
      <x:c r="Q606" s="2"/>
    </x:row>
    <x:row r="607" ht="22" customHeight="1">
      <x:c r="A607" s="2" t="str">
        <x:v>M0600</x:v>
      </x:c>
      <x:c r="B607" s="2" t="str">
        <x:v>RC04</x:v>
      </x:c>
      <x:c r="C607" s="2" t="str">
        <x:v>T2</x:v>
      </x:c>
      <x:c r="D607" s="2" t="str">
        <x:v>L12</x:v>
      </x:c>
      <x:c r="E607" s="2" t="str">
        <x:v>Beam downstands Y</x:v>
      </x:c>
      <x:c r="F607" s="21" t="n">
        <x:v>1</x:v>
      </x:c>
      <x:c r="G607" s="21" t="n">
        <x:f>6*4*('Controls'!$B$11/4-'Controls'!$B$15)</x:f>
        <x:v>132</x:v>
      </x:c>
      <x:c r="H607" s="21" t="n">
        <x:f>'Controls'!$B$16</x:f>
        <x:v>0.3</x:v>
      </x:c>
      <x:c r="I607" s="21" t="n">
        <x:f>'Controls'!$B$17-'Controls'!$B$13</x:f>
        <x:v>0.38</x:v>
      </x:c>
      <x:c r="J607" s="21" t="n">
        <x:v>1</x:v>
      </x:c>
      <x:c r="K607" s="21" t="n">
        <x:f>F607*G607*H607*I607*J607</x:f>
        <x:v>15.048</x:v>
      </x:c>
      <x:c r="L607" s="2" t="str">
        <x:v>Clear spans between column faces; no joint overlap</x:v>
      </x:c>
      <x:c r="M607" s="2"/>
      <x:c r="N607" s="2"/>
      <x:c r="O607" s="2"/>
      <x:c r="P607" s="2"/>
      <x:c r="Q607" s="2"/>
    </x:row>
    <x:row r="608" ht="22" customHeight="1">
      <x:c r="A608" s="7" t="str">
        <x:v>M0601</x:v>
      </x:c>
      <x:c r="B608" s="7" t="str">
        <x:v>FW02</x:v>
      </x:c>
      <x:c r="C608" s="7" t="str">
        <x:v>T2</x:v>
      </x:c>
      <x:c r="D608" s="7" t="str">
        <x:v>L12</x:v>
      </x:c>
      <x:c r="E608" s="7" t="str">
        <x:v>Beam forms Y</x:v>
      </x:c>
      <x:c r="F608" s="20" t="n">
        <x:v>1</x:v>
      </x:c>
      <x:c r="G608" s="20" t="n">
        <x:f>6*4*('Controls'!$B$11/4-'Controls'!$B$15)</x:f>
        <x:v>132</x:v>
      </x:c>
      <x:c r="H608" s="20" t="n">
        <x:f>'Controls'!$B$16+2*('Controls'!$B$17-'Controls'!$B$13)</x:f>
        <x:v>1.06</x:v>
      </x:c>
      <x:c r="I608" s="20" t="n">
        <x:v>1</x:v>
      </x:c>
      <x:c r="J608" s="20" t="n">
        <x:v>1</x:v>
      </x:c>
      <x:c r="K608" s="20" t="n">
        <x:f>F608*G608*H608*I608*J608</x:f>
        <x:v>139.92000000000002</x:v>
      </x:c>
      <x:c r="L608" s="7" t="str">
        <x:v>Soffit plus two downstand sides</x:v>
      </x:c>
      <x:c r="M608" s="2"/>
      <x:c r="N608" s="2"/>
      <x:c r="O608" s="2"/>
      <x:c r="P608" s="2"/>
      <x:c r="Q608" s="2"/>
    </x:row>
    <x:row r="609" ht="22" customHeight="1">
      <x:c r="A609" s="2" t="str">
        <x:v>M0602</x:v>
      </x:c>
      <x:c r="B609" s="2" t="str">
        <x:v>RC05</x:v>
      </x:c>
      <x:c r="C609" s="2" t="str">
        <x:v>T2</x:v>
      </x:c>
      <x:c r="D609" s="2" t="str">
        <x:v>L12</x:v>
      </x:c>
      <x:c r="E609" s="2" t="str">
        <x:v>Thirty columns, clear storey</x:v>
      </x:c>
      <x:c r="F609" s="21" t="n">
        <x:v>30</x:v>
      </x:c>
      <x:c r="G609" s="21" t="n">
        <x:f>'Controls'!$B$14</x:f>
        <x:v>0.5</x:v>
      </x:c>
      <x:c r="H609" s="21" t="n">
        <x:f>'Controls'!$B$15</x:f>
        <x:v>0.5</x:v>
      </x:c>
      <x:c r="I609" s="21" t="n">
        <x:f>'Controls'!$B$12-'Controls'!$B$13</x:f>
        <x:v>2.98</x:v>
      </x:c>
      <x:c r="J609" s="21" t="n">
        <x:v>1</x:v>
      </x:c>
      <x:c r="K609" s="21" t="n">
        <x:f>F609*G609*H609*I609*J609</x:f>
        <x:v>22.35</x:v>
      </x:c>
      <x:c r="L609" s="2" t="str">
        <x:v>Slab volume excluded from columns</x:v>
      </x:c>
      <x:c r="M609" s="2"/>
      <x:c r="N609" s="2"/>
      <x:c r="O609" s="2"/>
      <x:c r="P609" s="2"/>
      <x:c r="Q609" s="2"/>
    </x:row>
    <x:row r="610" ht="22" customHeight="1">
      <x:c r="A610" s="7" t="str">
        <x:v>M0603</x:v>
      </x:c>
      <x:c r="B610" s="7" t="str">
        <x:v>RC06</x:v>
      </x:c>
      <x:c r="C610" s="7" t="str">
        <x:v>T2</x:v>
      </x:c>
      <x:c r="D610" s="7" t="str">
        <x:v>L12</x:v>
      </x:c>
      <x:c r="E610" s="7" t="str">
        <x:v>Core walls clear storey</x:v>
      </x:c>
      <x:c r="F610" s="20" t="n">
        <x:v>1</x:v>
      </x:c>
      <x:c r="G610" s="20" t="n">
        <x:f>'Controls'!$B$19</x:f>
        <x:v>24</x:v>
      </x:c>
      <x:c r="H610" s="20" t="n">
        <x:f>'Controls'!$B$18</x:f>
        <x:v>0.25</x:v>
      </x:c>
      <x:c r="I610" s="20" t="n">
        <x:f>'Controls'!$B$12-'Controls'!$B$13</x:f>
        <x:v>2.98</x:v>
      </x:c>
      <x:c r="J610" s="20" t="n">
        <x:v>1</x:v>
      </x:c>
      <x:c r="K610" s="20" t="n">
        <x:f>F610*G610*H610*I610*J610</x:f>
        <x:v>17.88</x:v>
      </x:c>
      <x:c r="L610" s="7" t="str">
        <x:v>Net clear wall length excludes corners</x:v>
      </x:c>
      <x:c r="M610" s="2"/>
      <x:c r="N610" s="2"/>
      <x:c r="O610" s="2"/>
      <x:c r="P610" s="2"/>
      <x:c r="Q610" s="2"/>
    </x:row>
    <x:row r="611" ht="22" customHeight="1">
      <x:c r="A611" s="2" t="str">
        <x:v>M0604</x:v>
      </x:c>
      <x:c r="B611" s="2" t="str">
        <x:v>RC07</x:v>
      </x:c>
      <x:c r="C611" s="2" t="str">
        <x:v>T2</x:v>
      </x:c>
      <x:c r="D611" s="2" t="str">
        <x:v>L12</x:v>
      </x:c>
      <x:c r="E611" s="2" t="str">
        <x:v>Stair flights waist</x:v>
      </x:c>
      <x:c r="F611" s="21" t="n">
        <x:v>2</x:v>
      </x:c>
      <x:c r="G611" s="21" t="n">
        <x:v>4.1</x:v>
      </x:c>
      <x:c r="H611" s="21" t="n">
        <x:v>1.2</x:v>
      </x:c>
      <x:c r="I611" s="21" t="n">
        <x:v>0.18</x:v>
      </x:c>
      <x:c r="J611" s="21" t="n">
        <x:v>1</x:v>
      </x:c>
      <x:c r="K611" s="21" t="n">
        <x:f>F611*G611*H611*I611*J611</x:f>
        <x:v>1.7711999999999997</x:v>
      </x:c>
      <x:c r="L611" s="2" t="str">
        <x:v>Two flights; geometry separate from floor slab</x:v>
      </x:c>
      <x:c r="M611" s="2"/>
      <x:c r="N611" s="2"/>
      <x:c r="O611" s="2"/>
      <x:c r="P611" s="2"/>
      <x:c r="Q611" s="2"/>
    </x:row>
    <x:row r="612" ht="22" customHeight="1">
      <x:c r="A612" s="7" t="str">
        <x:v>M0605</x:v>
      </x:c>
      <x:c r="B612" s="7" t="str">
        <x:v>RC07</x:v>
      </x:c>
      <x:c r="C612" s="7" t="str">
        <x:v>T2</x:v>
      </x:c>
      <x:c r="D612" s="7" t="str">
        <x:v>L12</x:v>
      </x:c>
      <x:c r="E612" s="7" t="str">
        <x:v>Stair landings</x:v>
      </x:c>
      <x:c r="F612" s="20" t="n">
        <x:v>2</x:v>
      </x:c>
      <x:c r="G612" s="20" t="n">
        <x:v>2</x:v>
      </x:c>
      <x:c r="H612" s="20" t="n">
        <x:v>1.2</x:v>
      </x:c>
      <x:c r="I612" s="20" t="n">
        <x:v>0.18</x:v>
      </x:c>
      <x:c r="J612" s="20" t="n">
        <x:v>1</x:v>
      </x:c>
      <x:c r="K612" s="20" t="n">
        <x:f>F612*G612*H612*I612*J612</x:f>
        <x:v>0.864</x:v>
      </x:c>
      <x:c r="L612" s="7" t="str">
        <x:v>Within stair opening</x:v>
      </x:c>
      <x:c r="M612" s="2"/>
      <x:c r="N612" s="2"/>
      <x:c r="O612" s="2"/>
      <x:c r="P612" s="2"/>
      <x:c r="Q612" s="2"/>
    </x:row>
    <x:row r="613" ht="22" customHeight="1">
      <x:c r="A613" s="2" t="str">
        <x:v>M0606</x:v>
      </x:c>
      <x:c r="B613" s="2" t="str">
        <x:v>FW01</x:v>
      </x:c>
      <x:c r="C613" s="2" t="str">
        <x:v>T2</x:v>
      </x:c>
      <x:c r="D613" s="2" t="str">
        <x:v>L12</x:v>
      </x:c>
      <x:c r="E613" s="2" t="str">
        <x:v>Slab soffit gross</x:v>
      </x:c>
      <x:c r="F613" s="21" t="n">
        <x:v>1</x:v>
      </x:c>
      <x:c r="G613" s="21" t="n">
        <x:f>'Controls'!$B$10</x:f>
        <x:v>30</x:v>
      </x:c>
      <x:c r="H613" s="21" t="n">
        <x:f>'Controls'!$B$11</x:f>
        <x:v>24</x:v>
      </x:c>
      <x:c r="I613" s="21" t="n">
        <x:v>1</x:v>
      </x:c>
      <x:c r="J613" s="21" t="n">
        <x:v>1</x:v>
      </x:c>
      <x:c r="K613" s="21" t="n">
        <x:f>F613*G613*H613*I613*J613</x:f>
        <x:v>720</x:v>
      </x:c>
      <x:c r="L613" s="2" t="str">
        <x:v>Beam soffit deducted below</x:v>
      </x:c>
      <x:c r="M613" s="2"/>
      <x:c r="N613" s="2"/>
      <x:c r="O613" s="2"/>
      <x:c r="P613" s="2"/>
      <x:c r="Q613" s="2"/>
    </x:row>
    <x:row r="614" ht="22" customHeight="1">
      <x:c r="A614" s="7" t="str">
        <x:v>M0607</x:v>
      </x:c>
      <x:c r="B614" s="7" t="str">
        <x:v>FW01</x:v>
      </x:c>
      <x:c r="C614" s="7" t="str">
        <x:v>T2</x:v>
      </x:c>
      <x:c r="D614" s="7" t="str">
        <x:v>L12</x:v>
      </x:c>
      <x:c r="E614" s="7" t="str">
        <x:v>Stair opening deduction</x:v>
      </x:c>
      <x:c r="F614" s="20" t="n">
        <x:v>1</x:v>
      </x:c>
      <x:c r="G614" s="20" t="n">
        <x:f>'Controls'!$B$20</x:f>
        <x:v>4</x:v>
      </x:c>
      <x:c r="H614" s="20" t="n">
        <x:f>'Controls'!$B$21</x:f>
        <x:v>6</x:v>
      </x:c>
      <x:c r="I614" s="20" t="n">
        <x:v>1</x:v>
      </x:c>
      <x:c r="J614" s="20" t="n">
        <x:v>-1</x:v>
      </x:c>
      <x:c r="K614" s="20" t="n">
        <x:f>F614*G614*H614*I614*J614</x:f>
        <x:v>-24</x:v>
      </x:c>
      <x:c r="L614" s="7" t="str">
        <x:v>OP-01</x:v>
      </x:c>
      <x:c r="M614" s="2"/>
      <x:c r="N614" s="2"/>
      <x:c r="O614" s="2"/>
      <x:c r="P614" s="2"/>
      <x:c r="Q614" s="2"/>
    </x:row>
    <x:row r="615" ht="22" customHeight="1">
      <x:c r="A615" s="2" t="str">
        <x:v>M0608</x:v>
      </x:c>
      <x:c r="B615" s="2" t="str">
        <x:v>FW01</x:v>
      </x:c>
      <x:c r="C615" s="2" t="str">
        <x:v>T2</x:v>
      </x:c>
      <x:c r="D615" s="2" t="str">
        <x:v>L12</x:v>
      </x:c>
      <x:c r="E615" s="2" t="str">
        <x:v>Beam soffit deduction</x:v>
      </x:c>
      <x:c r="F615" s="21" t="n">
        <x:v>1</x:v>
      </x:c>
      <x:c r="G615" s="21" t="n">
        <x:f>5*5*('Controls'!$B$10/5-'Controls'!$B$14)+6*4*('Controls'!$B$11/4-'Controls'!$B$15)</x:f>
        <x:v>269.5</x:v>
      </x:c>
      <x:c r="H615" s="21" t="n">
        <x:f>'Controls'!$B$16</x:f>
        <x:v>0.3</x:v>
      </x:c>
      <x:c r="I615" s="21" t="n">
        <x:v>1</x:v>
      </x:c>
      <x:c r="J615" s="21" t="n">
        <x:v>-1</x:v>
      </x:c>
      <x:c r="K615" s="21" t="n">
        <x:f>F615*G615*H615*I615*J615</x:f>
        <x:v>-80.85</x:v>
      </x:c>
      <x:c r="L615" s="2" t="str">
        <x:v>Beam forms measured in FW02</x:v>
      </x:c>
      <x:c r="M615" s="2"/>
      <x:c r="N615" s="2"/>
      <x:c r="O615" s="2"/>
      <x:c r="P615" s="2"/>
      <x:c r="Q615" s="2"/>
    </x:row>
    <x:row r="616" ht="22" customHeight="1">
      <x:c r="A616" s="7" t="str">
        <x:v>M0609</x:v>
      </x:c>
      <x:c r="B616" s="7" t="str">
        <x:v>FW03</x:v>
      </x:c>
      <x:c r="C616" s="7" t="str">
        <x:v>T2</x:v>
      </x:c>
      <x:c r="D616" s="7" t="str">
        <x:v>L12</x:v>
      </x:c>
      <x:c r="E616" s="7" t="str">
        <x:v>Column four faces</x:v>
      </x:c>
      <x:c r="F616" s="20" t="n">
        <x:v>30</x:v>
      </x:c>
      <x:c r="G616" s="20" t="n">
        <x:f>2*('Controls'!$B$14+'Controls'!$B$15)</x:f>
        <x:v>2</x:v>
      </x:c>
      <x:c r="H616" s="20" t="n">
        <x:f>'Controls'!$B$12-'Controls'!$B$13</x:f>
        <x:v>2.98</x:v>
      </x:c>
      <x:c r="I616" s="20" t="n">
        <x:v>1</x:v>
      </x:c>
      <x:c r="J616" s="20" t="n">
        <x:v>1</x:v>
      </x:c>
      <x:c r="K616" s="20" t="n">
        <x:f>F616*G616*H616*I616*J616</x:f>
        <x:v>178.8</x:v>
      </x:c>
      <x:c r="L616" s="7" t="str">
        <x:v>Clear floor-to-soffit</x:v>
      </x:c>
      <x:c r="M616" s="2"/>
      <x:c r="N616" s="2"/>
      <x:c r="O616" s="2"/>
      <x:c r="P616" s="2"/>
      <x:c r="Q616" s="2"/>
    </x:row>
    <x:row r="617" ht="22" customHeight="1">
      <x:c r="A617" s="2" t="str">
        <x:v>M0610</x:v>
      </x:c>
      <x:c r="B617" s="2" t="str">
        <x:v>FW04</x:v>
      </x:c>
      <x:c r="C617" s="2" t="str">
        <x:v>T2</x:v>
      </x:c>
      <x:c r="D617" s="2" t="str">
        <x:v>L12</x:v>
      </x:c>
      <x:c r="E617" s="2" t="str">
        <x:v>Core wall two faces</x:v>
      </x:c>
      <x:c r="F617" s="21" t="n">
        <x:v>2</x:v>
      </x:c>
      <x:c r="G617" s="21" t="n">
        <x:f>'Controls'!$B$19</x:f>
        <x:v>24</x:v>
      </x:c>
      <x:c r="H617" s="21" t="n">
        <x:f>'Controls'!$B$12-'Controls'!$B$13</x:f>
        <x:v>2.98</x:v>
      </x:c>
      <x:c r="I617" s="21" t="n">
        <x:v>1</x:v>
      </x:c>
      <x:c r="J617" s="21" t="n">
        <x:v>1</x:v>
      </x:c>
      <x:c r="K617" s="21" t="n">
        <x:f>F617*G617*H617*I617*J617</x:f>
        <x:v>143.04</x:v>
      </x:c>
      <x:c r="L617" s="2" t="str">
        <x:v>Net perimeter, no repeated corners</x:v>
      </x:c>
      <x:c r="M617" s="2"/>
      <x:c r="N617" s="2"/>
      <x:c r="O617" s="2"/>
      <x:c r="P617" s="2"/>
      <x:c r="Q617" s="2"/>
    </x:row>
    <x:row r="618" ht="22" customHeight="1">
      <x:c r="A618" s="7" t="str">
        <x:v>M0611</x:v>
      </x:c>
      <x:c r="B618" s="7" t="str">
        <x:v>AR01</x:v>
      </x:c>
      <x:c r="C618" s="7" t="str">
        <x:v>T2</x:v>
      </x:c>
      <x:c r="D618" s="7" t="str">
        <x:v>L12</x:v>
      </x:c>
      <x:c r="E618" s="7" t="str">
        <x:v>Partition walls gross</x:v>
      </x:c>
      <x:c r="F618" s="20" t="n">
        <x:v>1</x:v>
      </x:c>
      <x:c r="G618" s="20" t="n">
        <x:f>'Controls'!$B$45</x:f>
        <x:v>220</x:v>
      </x:c>
      <x:c r="H618" s="20" t="n">
        <x:f>'Controls'!$B$12-'Controls'!$B$13</x:f>
        <x:v>2.98</x:v>
      </x:c>
      <x:c r="I618" s="20" t="n">
        <x:f>'Controls'!$B$46</x:f>
        <x:v>0.15</x:v>
      </x:c>
      <x:c r="J618" s="20" t="n">
        <x:v>1</x:v>
      </x:c>
      <x:c r="K618" s="20" t="n">
        <x:f>F618*G618*H618*I618*J618</x:f>
        <x:v>98.34</x:v>
      </x:c>
      <x:c r="L618" s="7" t="str">
        <x:v>Net openings deducted below</x:v>
      </x:c>
      <x:c r="M618" s="2"/>
      <x:c r="N618" s="2"/>
      <x:c r="O618" s="2"/>
      <x:c r="P618" s="2"/>
      <x:c r="Q618" s="2"/>
    </x:row>
    <x:row r="619" ht="22" customHeight="1">
      <x:c r="A619" s="2" t="str">
        <x:v>M0612</x:v>
      </x:c>
      <x:c r="B619" s="2" t="str">
        <x:v>AR01</x:v>
      </x:c>
      <x:c r="C619" s="2" t="str">
        <x:v>T2</x:v>
      </x:c>
      <x:c r="D619" s="2" t="str">
        <x:v>L12</x:v>
      </x:c>
      <x:c r="E619" s="2" t="str">
        <x:v>Internal doors deduction</x:v>
      </x:c>
      <x:c r="F619" s="21" t="n">
        <x:f>'Controls'!$B$48</x:f>
        <x:v>28</x:v>
      </x:c>
      <x:c r="G619" s="21" t="n">
        <x:f>'Controls'!$B$49</x:f>
        <x:v>0.9</x:v>
      </x:c>
      <x:c r="H619" s="21" t="n">
        <x:f>'Controls'!$B$50</x:f>
        <x:v>2.1</x:v>
      </x:c>
      <x:c r="I619" s="21" t="n">
        <x:f>'Controls'!$B$46</x:f>
        <x:v>0.15</x:v>
      </x:c>
      <x:c r="J619" s="21" t="n">
        <x:v>-1</x:v>
      </x:c>
      <x:c r="K619" s="21" t="n">
        <x:f>F619*G619*H619*I619*J619</x:f>
        <x:v>-7.938</x:v>
      </x:c>
      <x:c r="L619" s="2" t="str">
        <x:v>28 doors per floor, OP-02</x:v>
      </x:c>
      <x:c r="M619" s="2"/>
      <x:c r="N619" s="2"/>
      <x:c r="O619" s="2"/>
      <x:c r="P619" s="2"/>
      <x:c r="Q619" s="2"/>
    </x:row>
    <x:row r="620" ht="22" customHeight="1">
      <x:c r="A620" s="7" t="str">
        <x:v>M0613</x:v>
      </x:c>
      <x:c r="B620" s="7" t="str">
        <x:v>AR02</x:v>
      </x:c>
      <x:c r="C620" s="7" t="str">
        <x:v>T2</x:v>
      </x:c>
      <x:c r="D620" s="7" t="str">
        <x:v>L12</x:v>
      </x:c>
      <x:c r="E620" s="7" t="str">
        <x:v>Internal plaster gross</x:v>
      </x:c>
      <x:c r="F620" s="20" t="n">
        <x:v>2</x:v>
      </x:c>
      <x:c r="G620" s="20" t="n">
        <x:f>'Controls'!$B$45</x:f>
        <x:v>220</x:v>
      </x:c>
      <x:c r="H620" s="20" t="n">
        <x:f>'Controls'!$B$12-'Controls'!$B$13</x:f>
        <x:v>2.98</x:v>
      </x:c>
      <x:c r="I620" s="20" t="n">
        <x:v>1</x:v>
      </x:c>
      <x:c r="J620" s="20" t="n">
        <x:v>1</x:v>
      </x:c>
      <x:c r="K620" s="20" t="n">
        <x:f>F620*G620*H620*I620*J620</x:f>
        <x:v>1311.2</x:v>
      </x:c>
      <x:c r="L620" s="7" t="str">
        <x:v>Both faces of partition walls</x:v>
      </x:c>
      <x:c r="M620" s="2"/>
      <x:c r="N620" s="2"/>
      <x:c r="O620" s="2"/>
      <x:c r="P620" s="2"/>
      <x:c r="Q620" s="2"/>
    </x:row>
    <x:row r="621" ht="22" customHeight="1">
      <x:c r="A621" s="2" t="str">
        <x:v>M0614</x:v>
      </x:c>
      <x:c r="B621" s="2" t="str">
        <x:v>AR02</x:v>
      </x:c>
      <x:c r="C621" s="2" t="str">
        <x:v>T2</x:v>
      </x:c>
      <x:c r="D621" s="2" t="str">
        <x:v>L12</x:v>
      </x:c>
      <x:c r="E621" s="2" t="str">
        <x:v>Door area deduction both faces</x:v>
      </x:c>
      <x:c r="F621" s="21" t="n">
        <x:f>2*'Controls'!$B$48</x:f>
        <x:v>56</x:v>
      </x:c>
      <x:c r="G621" s="21" t="n">
        <x:f>'Controls'!$B$49</x:f>
        <x:v>0.9</x:v>
      </x:c>
      <x:c r="H621" s="21" t="n">
        <x:f>'Controls'!$B$50</x:f>
        <x:v>2.1</x:v>
      </x:c>
      <x:c r="I621" s="21" t="n">
        <x:v>1</x:v>
      </x:c>
      <x:c r="J621" s="21" t="n">
        <x:v>-1</x:v>
      </x:c>
      <x:c r="K621" s="21" t="n">
        <x:f>F621*G621*H621*I621*J621</x:f>
        <x:v>-105.84</x:v>
      </x:c>
      <x:c r="L621" s="2" t="str">
        <x:v>No plaster over openings</x:v>
      </x:c>
      <x:c r="M621" s="2"/>
      <x:c r="N621" s="2"/>
      <x:c r="O621" s="2"/>
      <x:c r="P621" s="2"/>
      <x:c r="Q621" s="2"/>
    </x:row>
    <x:row r="622" ht="22" customHeight="1">
      <x:c r="A622" s="7" t="str">
        <x:v>M0615</x:v>
      </x:c>
      <x:c r="B622" s="7" t="str">
        <x:v>AR03</x:v>
      </x:c>
      <x:c r="C622" s="7" t="str">
        <x:v>T2</x:v>
      </x:c>
      <x:c r="D622" s="7" t="str">
        <x:v>L12</x:v>
      </x:c>
      <x:c r="E622" s="7" t="str">
        <x:v>Floor screed net</x:v>
      </x:c>
      <x:c r="F622" s="20" t="n">
        <x:v>1</x:v>
      </x:c>
      <x:c r="G622" s="20" t="n">
        <x:f>'Controls'!$B$10*'Controls'!$B$11-'Controls'!$B$20*'Controls'!$B$21</x:f>
        <x:v>696</x:v>
      </x:c>
      <x:c r="H622" s="20" t="n">
        <x:v>1</x:v>
      </x:c>
      <x:c r="I622" s="20" t="n">
        <x:v>1</x:v>
      </x:c>
      <x:c r="J622" s="20" t="n">
        <x:v>1</x:v>
      </x:c>
      <x:c r="K622" s="20" t="n">
        <x:f>F622*G622*H622*I622*J622</x:f>
        <x:v>696</x:v>
      </x:c>
      <x:c r="L622" s="7" t="str">
        <x:v>Net structural floor area</x:v>
      </x:c>
      <x:c r="M622" s="2"/>
      <x:c r="N622" s="2"/>
      <x:c r="O622" s="2"/>
      <x:c r="P622" s="2"/>
      <x:c r="Q622" s="2"/>
    </x:row>
    <x:row r="623" ht="22" customHeight="1">
      <x:c r="A623" s="2" t="str">
        <x:v>M0616</x:v>
      </x:c>
      <x:c r="B623" s="2" t="str">
        <x:v>AR04</x:v>
      </x:c>
      <x:c r="C623" s="2" t="str">
        <x:v>T2</x:v>
      </x:c>
      <x:c r="D623" s="2" t="str">
        <x:v>L12</x:v>
      </x:c>
      <x:c r="E623" s="2" t="str">
        <x:v>Floor finish net</x:v>
      </x:c>
      <x:c r="F623" s="21" t="n">
        <x:v>1</x:v>
      </x:c>
      <x:c r="G623" s="21" t="n">
        <x:f>'Controls'!$B$10*'Controls'!$B$11-'Controls'!$B$20*'Controls'!$B$21</x:f>
        <x:v>696</x:v>
      </x:c>
      <x:c r="H623" s="21" t="n">
        <x:v>1</x:v>
      </x:c>
      <x:c r="I623" s="21" t="n">
        <x:v>1</x:v>
      </x:c>
      <x:c r="J623" s="21" t="n">
        <x:v>1</x:v>
      </x:c>
      <x:c r="K623" s="21" t="n">
        <x:f>F623*G623*H623*I623*J623</x:f>
        <x:v>696</x:v>
      </x:c>
      <x:c r="L623" s="2" t="str">
        <x:v>Waste excluded from BOQ</x:v>
      </x:c>
      <x:c r="M623" s="2"/>
      <x:c r="N623" s="2"/>
      <x:c r="O623" s="2"/>
      <x:c r="P623" s="2"/>
      <x:c r="Q623" s="2"/>
    </x:row>
    <x:row r="624" ht="22" customHeight="1">
      <x:c r="A624" s="7" t="str">
        <x:v>M0617</x:v>
      </x:c>
      <x:c r="B624" s="7" t="str">
        <x:v>AR05</x:v>
      </x:c>
      <x:c r="C624" s="7" t="str">
        <x:v>T2</x:v>
      </x:c>
      <x:c r="D624" s="7" t="str">
        <x:v>L12</x:v>
      </x:c>
      <x:c r="E624" s="7" t="str">
        <x:v>Internal wall paint net</x:v>
      </x:c>
      <x:c r="F624" s="20" t="n">
        <x:v>2</x:v>
      </x:c>
      <x:c r="G624" s="20" t="n">
        <x:f>'Controls'!$B$45*('Controls'!$B$12-'Controls'!$B$13)-'Controls'!$B$48*'Controls'!$B$49*'Controls'!$B$50</x:f>
        <x:v>602.6800000000001</x:v>
      </x:c>
      <x:c r="H624" s="20" t="n">
        <x:v>1</x:v>
      </x:c>
      <x:c r="I624" s="20" t="n">
        <x:v>1</x:v>
      </x:c>
      <x:c r="J624" s="20" t="n">
        <x:v>1</x:v>
      </x:c>
      <x:c r="K624" s="20" t="n">
        <x:f>F624*G624*H624*I624*J624</x:f>
        <x:v>1205.3600000000001</x:v>
      </x:c>
      <x:c r="L624" s="7" t="str">
        <x:v>Finished area; two coats priced in rate</x:v>
      </x:c>
      <x:c r="M624" s="2"/>
      <x:c r="N624" s="2"/>
      <x:c r="O624" s="2"/>
      <x:c r="P624" s="2"/>
      <x:c r="Q624" s="2"/>
    </x:row>
    <x:row r="625" ht="22" customHeight="1">
      <x:c r="A625" s="2" t="str">
        <x:v>M0618</x:v>
      </x:c>
      <x:c r="B625" s="2" t="str">
        <x:v>AR06</x:v>
      </x:c>
      <x:c r="C625" s="2" t="str">
        <x:v>T2</x:v>
      </x:c>
      <x:c r="D625" s="2" t="str">
        <x:v>L12</x:v>
      </x:c>
      <x:c r="E625" s="2" t="str">
        <x:v>Door sets</x:v>
      </x:c>
      <x:c r="F625" s="21" t="n">
        <x:f>'Controls'!$B$48</x:f>
        <x:v>28</x:v>
      </x:c>
      <x:c r="G625" s="21" t="n">
        <x:v>1</x:v>
      </x:c>
      <x:c r="H625" s="21" t="n">
        <x:v>1</x:v>
      </x:c>
      <x:c r="I625" s="21" t="n">
        <x:v>1</x:v>
      </x:c>
      <x:c r="J625" s="21" t="n">
        <x:v>1</x:v>
      </x:c>
      <x:c r="K625" s="21" t="n">
        <x:f>F625*G625*H625*I625*J625</x:f>
        <x:v>28</x:v>
      </x:c>
      <x:c r="L625" s="2" t="str">
        <x:v>Door count, not double face</x:v>
      </x:c>
      <x:c r="M625" s="2"/>
      <x:c r="N625" s="2"/>
      <x:c r="O625" s="2"/>
      <x:c r="P625" s="2"/>
      <x:c r="Q625" s="2"/>
    </x:row>
    <x:row r="626" ht="22" customHeight="1">
      <x:c r="A626" s="7" t="str">
        <x:v>M0619</x:v>
      </x:c>
      <x:c r="B626" s="7" t="str">
        <x:v>RC03</x:v>
      </x:c>
      <x:c r="C626" s="7" t="str">
        <x:v>T3</x:v>
      </x:c>
      <x:c r="D626" s="7" t="str">
        <x:v>L00</x:v>
      </x:c>
      <x:c r="E626" s="7" t="str">
        <x:v>Floor slab gross</x:v>
      </x:c>
      <x:c r="F626" s="20" t="n">
        <x:v>1</x:v>
      </x:c>
      <x:c r="G626" s="20" t="n">
        <x:f>'Controls'!$B$10</x:f>
        <x:v>30</x:v>
      </x:c>
      <x:c r="H626" s="20" t="n">
        <x:f>'Controls'!$B$11</x:f>
        <x:v>24</x:v>
      </x:c>
      <x:c r="I626" s="20" t="n">
        <x:f>'Controls'!$B$13</x:f>
        <x:v>0.22</x:v>
      </x:c>
      <x:c r="J626" s="20" t="n">
        <x:v>1</x:v>
      </x:c>
      <x:c r="K626" s="20" t="n">
        <x:f>F626*G626*H626*I626*J626</x:f>
        <x:v>158.4</x:v>
      </x:c>
      <x:c r="L626" s="7" t="str">
        <x:v>Slab includes beam top flange; downstand separate</x:v>
      </x:c>
      <x:c r="M626" s="2"/>
      <x:c r="N626" s="2"/>
      <x:c r="O626" s="2"/>
      <x:c r="P626" s="2"/>
      <x:c r="Q626" s="2"/>
    </x:row>
    <x:row r="627" ht="22" customHeight="1">
      <x:c r="A627" s="2" t="str">
        <x:v>M0620</x:v>
      </x:c>
      <x:c r="B627" s="2" t="str">
        <x:v>RC03</x:v>
      </x:c>
      <x:c r="C627" s="2" t="str">
        <x:v>T3</x:v>
      </x:c>
      <x:c r="D627" s="2" t="str">
        <x:v>L00</x:v>
      </x:c>
      <x:c r="E627" s="2" t="str">
        <x:v>Stair opening deduction</x:v>
      </x:c>
      <x:c r="F627" s="21" t="n">
        <x:v>1</x:v>
      </x:c>
      <x:c r="G627" s="21" t="n">
        <x:f>'Controls'!$B$20</x:f>
        <x:v>4</x:v>
      </x:c>
      <x:c r="H627" s="21" t="n">
        <x:f>'Controls'!$B$21</x:f>
        <x:v>6</x:v>
      </x:c>
      <x:c r="I627" s="21" t="n">
        <x:f>'Controls'!$B$13</x:f>
        <x:v>0.22</x:v>
      </x:c>
      <x:c r="J627" s="21" t="n">
        <x:v>-1</x:v>
      </x:c>
      <x:c r="K627" s="21" t="n">
        <x:f>F627*G627*H627*I627*J627</x:f>
        <x:v>-5.28</x:v>
      </x:c>
      <x:c r="L627" s="2" t="str">
        <x:v>Opening OP-01</x:v>
      </x:c>
      <x:c r="M627" s="2"/>
      <x:c r="N627" s="2"/>
      <x:c r="O627" s="2"/>
      <x:c r="P627" s="2"/>
      <x:c r="Q627" s="2"/>
    </x:row>
    <x:row r="628" ht="22" customHeight="1">
      <x:c r="A628" s="7" t="str">
        <x:v>M0621</x:v>
      </x:c>
      <x:c r="B628" s="7" t="str">
        <x:v>RC04</x:v>
      </x:c>
      <x:c r="C628" s="7" t="str">
        <x:v>T3</x:v>
      </x:c>
      <x:c r="D628" s="7" t="str">
        <x:v>L00</x:v>
      </x:c>
      <x:c r="E628" s="7" t="str">
        <x:v>Beam downstands X</x:v>
      </x:c>
      <x:c r="F628" s="20" t="n">
        <x:v>1</x:v>
      </x:c>
      <x:c r="G628" s="20" t="n">
        <x:f>5*5*('Controls'!$B$10/5-'Controls'!$B$14)</x:f>
        <x:v>137.5</x:v>
      </x:c>
      <x:c r="H628" s="20" t="n">
        <x:f>'Controls'!$B$16</x:f>
        <x:v>0.3</x:v>
      </x:c>
      <x:c r="I628" s="20" t="n">
        <x:f>'Controls'!$B$17-'Controls'!$B$13</x:f>
        <x:v>0.38</x:v>
      </x:c>
      <x:c r="J628" s="20" t="n">
        <x:v>1</x:v>
      </x:c>
      <x:c r="K628" s="20" t="n">
        <x:f>F628*G628*H628*I628*J628</x:f>
        <x:v>15.675</x:v>
      </x:c>
      <x:c r="L628" s="7" t="str">
        <x:v>Clear spans between column faces; no joint overlap</x:v>
      </x:c>
      <x:c r="M628" s="2"/>
      <x:c r="N628" s="2"/>
      <x:c r="O628" s="2"/>
      <x:c r="P628" s="2"/>
      <x:c r="Q628" s="2"/>
    </x:row>
    <x:row r="629" ht="22" customHeight="1">
      <x:c r="A629" s="2" t="str">
        <x:v>M0622</x:v>
      </x:c>
      <x:c r="B629" s="2" t="str">
        <x:v>FW02</x:v>
      </x:c>
      <x:c r="C629" s="2" t="str">
        <x:v>T3</x:v>
      </x:c>
      <x:c r="D629" s="2" t="str">
        <x:v>L00</x:v>
      </x:c>
      <x:c r="E629" s="2" t="str">
        <x:v>Beam forms X</x:v>
      </x:c>
      <x:c r="F629" s="21" t="n">
        <x:v>1</x:v>
      </x:c>
      <x:c r="G629" s="21" t="n">
        <x:f>5*5*('Controls'!$B$10/5-'Controls'!$B$14)</x:f>
        <x:v>137.5</x:v>
      </x:c>
      <x:c r="H629" s="21" t="n">
        <x:f>'Controls'!$B$16+2*('Controls'!$B$17-'Controls'!$B$13)</x:f>
        <x:v>1.06</x:v>
      </x:c>
      <x:c r="I629" s="21" t="n">
        <x:v>1</x:v>
      </x:c>
      <x:c r="J629" s="21" t="n">
        <x:v>1</x:v>
      </x:c>
      <x:c r="K629" s="21" t="n">
        <x:f>F629*G629*H629*I629*J629</x:f>
        <x:v>145.75</x:v>
      </x:c>
      <x:c r="L629" s="2" t="str">
        <x:v>Soffit plus two downstand sides</x:v>
      </x:c>
      <x:c r="M629" s="2"/>
      <x:c r="N629" s="2"/>
      <x:c r="O629" s="2"/>
      <x:c r="P629" s="2"/>
      <x:c r="Q629" s="2"/>
    </x:row>
    <x:row r="630" ht="22" customHeight="1">
      <x:c r="A630" s="7" t="str">
        <x:v>M0623</x:v>
      </x:c>
      <x:c r="B630" s="7" t="str">
        <x:v>RC04</x:v>
      </x:c>
      <x:c r="C630" s="7" t="str">
        <x:v>T3</x:v>
      </x:c>
      <x:c r="D630" s="7" t="str">
        <x:v>L00</x:v>
      </x:c>
      <x:c r="E630" s="7" t="str">
        <x:v>Beam downstands Y</x:v>
      </x:c>
      <x:c r="F630" s="20" t="n">
        <x:v>1</x:v>
      </x:c>
      <x:c r="G630" s="20" t="n">
        <x:f>6*4*('Controls'!$B$11/4-'Controls'!$B$15)</x:f>
        <x:v>132</x:v>
      </x:c>
      <x:c r="H630" s="20" t="n">
        <x:f>'Controls'!$B$16</x:f>
        <x:v>0.3</x:v>
      </x:c>
      <x:c r="I630" s="20" t="n">
        <x:f>'Controls'!$B$17-'Controls'!$B$13</x:f>
        <x:v>0.38</x:v>
      </x:c>
      <x:c r="J630" s="20" t="n">
        <x:v>1</x:v>
      </x:c>
      <x:c r="K630" s="20" t="n">
        <x:f>F630*G630*H630*I630*J630</x:f>
        <x:v>15.048</x:v>
      </x:c>
      <x:c r="L630" s="7" t="str">
        <x:v>Clear spans between column faces; no joint overlap</x:v>
      </x:c>
      <x:c r="M630" s="2"/>
      <x:c r="N630" s="2"/>
      <x:c r="O630" s="2"/>
      <x:c r="P630" s="2"/>
      <x:c r="Q630" s="2"/>
    </x:row>
    <x:row r="631" ht="22" customHeight="1">
      <x:c r="A631" s="2" t="str">
        <x:v>M0624</x:v>
      </x:c>
      <x:c r="B631" s="2" t="str">
        <x:v>FW02</x:v>
      </x:c>
      <x:c r="C631" s="2" t="str">
        <x:v>T3</x:v>
      </x:c>
      <x:c r="D631" s="2" t="str">
        <x:v>L00</x:v>
      </x:c>
      <x:c r="E631" s="2" t="str">
        <x:v>Beam forms Y</x:v>
      </x:c>
      <x:c r="F631" s="21" t="n">
        <x:v>1</x:v>
      </x:c>
      <x:c r="G631" s="21" t="n">
        <x:f>6*4*('Controls'!$B$11/4-'Controls'!$B$15)</x:f>
        <x:v>132</x:v>
      </x:c>
      <x:c r="H631" s="21" t="n">
        <x:f>'Controls'!$B$16+2*('Controls'!$B$17-'Controls'!$B$13)</x:f>
        <x:v>1.06</x:v>
      </x:c>
      <x:c r="I631" s="21" t="n">
        <x:v>1</x:v>
      </x:c>
      <x:c r="J631" s="21" t="n">
        <x:v>1</x:v>
      </x:c>
      <x:c r="K631" s="21" t="n">
        <x:f>F631*G631*H631*I631*J631</x:f>
        <x:v>139.92000000000002</x:v>
      </x:c>
      <x:c r="L631" s="2" t="str">
        <x:v>Soffit plus two downstand sides</x:v>
      </x:c>
      <x:c r="M631" s="2"/>
      <x:c r="N631" s="2"/>
      <x:c r="O631" s="2"/>
      <x:c r="P631" s="2"/>
      <x:c r="Q631" s="2"/>
    </x:row>
    <x:row r="632" ht="22" customHeight="1">
      <x:c r="A632" s="7" t="str">
        <x:v>M0625</x:v>
      </x:c>
      <x:c r="B632" s="7" t="str">
        <x:v>RC05</x:v>
      </x:c>
      <x:c r="C632" s="7" t="str">
        <x:v>T3</x:v>
      </x:c>
      <x:c r="D632" s="7" t="str">
        <x:v>L00</x:v>
      </x:c>
      <x:c r="E632" s="7" t="str">
        <x:v>Thirty columns, clear storey</x:v>
      </x:c>
      <x:c r="F632" s="20" t="n">
        <x:v>30</x:v>
      </x:c>
      <x:c r="G632" s="20" t="n">
        <x:f>'Controls'!$B$14</x:f>
        <x:v>0.5</x:v>
      </x:c>
      <x:c r="H632" s="20" t="n">
        <x:f>'Controls'!$B$15</x:f>
        <x:v>0.5</x:v>
      </x:c>
      <x:c r="I632" s="20" t="n">
        <x:f>'Controls'!$B$12-'Controls'!$B$13</x:f>
        <x:v>2.98</x:v>
      </x:c>
      <x:c r="J632" s="20" t="n">
        <x:v>1</x:v>
      </x:c>
      <x:c r="K632" s="20" t="n">
        <x:f>F632*G632*H632*I632*J632</x:f>
        <x:v>22.35</x:v>
      </x:c>
      <x:c r="L632" s="7" t="str">
        <x:v>Slab volume excluded from columns</x:v>
      </x:c>
      <x:c r="M632" s="2"/>
      <x:c r="N632" s="2"/>
      <x:c r="O632" s="2"/>
      <x:c r="P632" s="2"/>
      <x:c r="Q632" s="2"/>
    </x:row>
    <x:row r="633" ht="22" customHeight="1">
      <x:c r="A633" s="2" t="str">
        <x:v>M0626</x:v>
      </x:c>
      <x:c r="B633" s="2" t="str">
        <x:v>RC06</x:v>
      </x:c>
      <x:c r="C633" s="2" t="str">
        <x:v>T3</x:v>
      </x:c>
      <x:c r="D633" s="2" t="str">
        <x:v>L00</x:v>
      </x:c>
      <x:c r="E633" s="2" t="str">
        <x:v>Core walls clear storey</x:v>
      </x:c>
      <x:c r="F633" s="21" t="n">
        <x:v>1</x:v>
      </x:c>
      <x:c r="G633" s="21" t="n">
        <x:f>'Controls'!$B$19</x:f>
        <x:v>24</x:v>
      </x:c>
      <x:c r="H633" s="21" t="n">
        <x:f>'Controls'!$B$18</x:f>
        <x:v>0.25</x:v>
      </x:c>
      <x:c r="I633" s="21" t="n">
        <x:f>'Controls'!$B$12-'Controls'!$B$13</x:f>
        <x:v>2.98</x:v>
      </x:c>
      <x:c r="J633" s="21" t="n">
        <x:v>1</x:v>
      </x:c>
      <x:c r="K633" s="21" t="n">
        <x:f>F633*G633*H633*I633*J633</x:f>
        <x:v>17.88</x:v>
      </x:c>
      <x:c r="L633" s="2" t="str">
        <x:v>Net clear wall length excludes corners</x:v>
      </x:c>
      <x:c r="M633" s="2"/>
      <x:c r="N633" s="2"/>
      <x:c r="O633" s="2"/>
      <x:c r="P633" s="2"/>
      <x:c r="Q633" s="2"/>
    </x:row>
    <x:row r="634" ht="22" customHeight="1">
      <x:c r="A634" s="7" t="str">
        <x:v>M0627</x:v>
      </x:c>
      <x:c r="B634" s="7" t="str">
        <x:v>RC07</x:v>
      </x:c>
      <x:c r="C634" s="7" t="str">
        <x:v>T3</x:v>
      </x:c>
      <x:c r="D634" s="7" t="str">
        <x:v>L00</x:v>
      </x:c>
      <x:c r="E634" s="7" t="str">
        <x:v>Stair flights waist</x:v>
      </x:c>
      <x:c r="F634" s="20" t="n">
        <x:v>2</x:v>
      </x:c>
      <x:c r="G634" s="20" t="n">
        <x:v>4.1</x:v>
      </x:c>
      <x:c r="H634" s="20" t="n">
        <x:v>1.2</x:v>
      </x:c>
      <x:c r="I634" s="20" t="n">
        <x:v>0.18</x:v>
      </x:c>
      <x:c r="J634" s="20" t="n">
        <x:v>1</x:v>
      </x:c>
      <x:c r="K634" s="20" t="n">
        <x:f>F634*G634*H634*I634*J634</x:f>
        <x:v>1.7711999999999997</x:v>
      </x:c>
      <x:c r="L634" s="7" t="str">
        <x:v>Two flights; geometry separate from floor slab</x:v>
      </x:c>
      <x:c r="M634" s="2"/>
      <x:c r="N634" s="2"/>
      <x:c r="O634" s="2"/>
      <x:c r="P634" s="2"/>
      <x:c r="Q634" s="2"/>
    </x:row>
    <x:row r="635" ht="22" customHeight="1">
      <x:c r="A635" s="2" t="str">
        <x:v>M0628</x:v>
      </x:c>
      <x:c r="B635" s="2" t="str">
        <x:v>RC07</x:v>
      </x:c>
      <x:c r="C635" s="2" t="str">
        <x:v>T3</x:v>
      </x:c>
      <x:c r="D635" s="2" t="str">
        <x:v>L00</x:v>
      </x:c>
      <x:c r="E635" s="2" t="str">
        <x:v>Stair landings</x:v>
      </x:c>
      <x:c r="F635" s="21" t="n">
        <x:v>2</x:v>
      </x:c>
      <x:c r="G635" s="21" t="n">
        <x:v>2</x:v>
      </x:c>
      <x:c r="H635" s="21" t="n">
        <x:v>1.2</x:v>
      </x:c>
      <x:c r="I635" s="21" t="n">
        <x:v>0.18</x:v>
      </x:c>
      <x:c r="J635" s="21" t="n">
        <x:v>1</x:v>
      </x:c>
      <x:c r="K635" s="21" t="n">
        <x:f>F635*G635*H635*I635*J635</x:f>
        <x:v>0.864</x:v>
      </x:c>
      <x:c r="L635" s="2" t="str">
        <x:v>Within stair opening</x:v>
      </x:c>
      <x:c r="M635" s="2"/>
      <x:c r="N635" s="2"/>
      <x:c r="O635" s="2"/>
      <x:c r="P635" s="2"/>
      <x:c r="Q635" s="2"/>
    </x:row>
    <x:row r="636" ht="22" customHeight="1">
      <x:c r="A636" s="7" t="str">
        <x:v>M0629</x:v>
      </x:c>
      <x:c r="B636" s="7" t="str">
        <x:v>FW01</x:v>
      </x:c>
      <x:c r="C636" s="7" t="str">
        <x:v>T3</x:v>
      </x:c>
      <x:c r="D636" s="7" t="str">
        <x:v>L00</x:v>
      </x:c>
      <x:c r="E636" s="7" t="str">
        <x:v>Slab soffit gross</x:v>
      </x:c>
      <x:c r="F636" s="20" t="n">
        <x:v>1</x:v>
      </x:c>
      <x:c r="G636" s="20" t="n">
        <x:f>'Controls'!$B$10</x:f>
        <x:v>30</x:v>
      </x:c>
      <x:c r="H636" s="20" t="n">
        <x:f>'Controls'!$B$11</x:f>
        <x:v>24</x:v>
      </x:c>
      <x:c r="I636" s="20" t="n">
        <x:v>1</x:v>
      </x:c>
      <x:c r="J636" s="20" t="n">
        <x:v>1</x:v>
      </x:c>
      <x:c r="K636" s="20" t="n">
        <x:f>F636*G636*H636*I636*J636</x:f>
        <x:v>720</x:v>
      </x:c>
      <x:c r="L636" s="7" t="str">
        <x:v>Beam soffit deducted below</x:v>
      </x:c>
      <x:c r="M636" s="2"/>
      <x:c r="N636" s="2"/>
      <x:c r="O636" s="2"/>
      <x:c r="P636" s="2"/>
      <x:c r="Q636" s="2"/>
    </x:row>
    <x:row r="637" ht="22" customHeight="1">
      <x:c r="A637" s="2" t="str">
        <x:v>M0630</x:v>
      </x:c>
      <x:c r="B637" s="2" t="str">
        <x:v>FW01</x:v>
      </x:c>
      <x:c r="C637" s="2" t="str">
        <x:v>T3</x:v>
      </x:c>
      <x:c r="D637" s="2" t="str">
        <x:v>L00</x:v>
      </x:c>
      <x:c r="E637" s="2" t="str">
        <x:v>Stair opening deduction</x:v>
      </x:c>
      <x:c r="F637" s="21" t="n">
        <x:v>1</x:v>
      </x:c>
      <x:c r="G637" s="21" t="n">
        <x:f>'Controls'!$B$20</x:f>
        <x:v>4</x:v>
      </x:c>
      <x:c r="H637" s="21" t="n">
        <x:f>'Controls'!$B$21</x:f>
        <x:v>6</x:v>
      </x:c>
      <x:c r="I637" s="21" t="n">
        <x:v>1</x:v>
      </x:c>
      <x:c r="J637" s="21" t="n">
        <x:v>-1</x:v>
      </x:c>
      <x:c r="K637" s="21" t="n">
        <x:f>F637*G637*H637*I637*J637</x:f>
        <x:v>-24</x:v>
      </x:c>
      <x:c r="L637" s="2" t="str">
        <x:v>OP-01</x:v>
      </x:c>
      <x:c r="M637" s="2"/>
      <x:c r="N637" s="2"/>
      <x:c r="O637" s="2"/>
      <x:c r="P637" s="2"/>
      <x:c r="Q637" s="2"/>
    </x:row>
    <x:row r="638" ht="22" customHeight="1">
      <x:c r="A638" s="7" t="str">
        <x:v>M0631</x:v>
      </x:c>
      <x:c r="B638" s="7" t="str">
        <x:v>FW01</x:v>
      </x:c>
      <x:c r="C638" s="7" t="str">
        <x:v>T3</x:v>
      </x:c>
      <x:c r="D638" s="7" t="str">
        <x:v>L00</x:v>
      </x:c>
      <x:c r="E638" s="7" t="str">
        <x:v>Beam soffit deduction</x:v>
      </x:c>
      <x:c r="F638" s="20" t="n">
        <x:v>1</x:v>
      </x:c>
      <x:c r="G638" s="20" t="n">
        <x:f>5*5*('Controls'!$B$10/5-'Controls'!$B$14)+6*4*('Controls'!$B$11/4-'Controls'!$B$15)</x:f>
        <x:v>269.5</x:v>
      </x:c>
      <x:c r="H638" s="20" t="n">
        <x:f>'Controls'!$B$16</x:f>
        <x:v>0.3</x:v>
      </x:c>
      <x:c r="I638" s="20" t="n">
        <x:v>1</x:v>
      </x:c>
      <x:c r="J638" s="20" t="n">
        <x:v>-1</x:v>
      </x:c>
      <x:c r="K638" s="20" t="n">
        <x:f>F638*G638*H638*I638*J638</x:f>
        <x:v>-80.85</x:v>
      </x:c>
      <x:c r="L638" s="7" t="str">
        <x:v>Beam forms measured in FW02</x:v>
      </x:c>
      <x:c r="M638" s="2"/>
      <x:c r="N638" s="2"/>
      <x:c r="O638" s="2"/>
      <x:c r="P638" s="2"/>
      <x:c r="Q638" s="2"/>
    </x:row>
    <x:row r="639" ht="22" customHeight="1">
      <x:c r="A639" s="2" t="str">
        <x:v>M0632</x:v>
      </x:c>
      <x:c r="B639" s="2" t="str">
        <x:v>FW03</x:v>
      </x:c>
      <x:c r="C639" s="2" t="str">
        <x:v>T3</x:v>
      </x:c>
      <x:c r="D639" s="2" t="str">
        <x:v>L00</x:v>
      </x:c>
      <x:c r="E639" s="2" t="str">
        <x:v>Column four faces</x:v>
      </x:c>
      <x:c r="F639" s="21" t="n">
        <x:v>30</x:v>
      </x:c>
      <x:c r="G639" s="21" t="n">
        <x:f>2*('Controls'!$B$14+'Controls'!$B$15)</x:f>
        <x:v>2</x:v>
      </x:c>
      <x:c r="H639" s="21" t="n">
        <x:f>'Controls'!$B$12-'Controls'!$B$13</x:f>
        <x:v>2.98</x:v>
      </x:c>
      <x:c r="I639" s="21" t="n">
        <x:v>1</x:v>
      </x:c>
      <x:c r="J639" s="21" t="n">
        <x:v>1</x:v>
      </x:c>
      <x:c r="K639" s="21" t="n">
        <x:f>F639*G639*H639*I639*J639</x:f>
        <x:v>178.8</x:v>
      </x:c>
      <x:c r="L639" s="2" t="str">
        <x:v>Clear floor-to-soffit</x:v>
      </x:c>
      <x:c r="M639" s="2"/>
      <x:c r="N639" s="2"/>
      <x:c r="O639" s="2"/>
      <x:c r="P639" s="2"/>
      <x:c r="Q639" s="2"/>
    </x:row>
    <x:row r="640" ht="22" customHeight="1">
      <x:c r="A640" s="7" t="str">
        <x:v>M0633</x:v>
      </x:c>
      <x:c r="B640" s="7" t="str">
        <x:v>FW04</x:v>
      </x:c>
      <x:c r="C640" s="7" t="str">
        <x:v>T3</x:v>
      </x:c>
      <x:c r="D640" s="7" t="str">
        <x:v>L00</x:v>
      </x:c>
      <x:c r="E640" s="7" t="str">
        <x:v>Core wall two faces</x:v>
      </x:c>
      <x:c r="F640" s="20" t="n">
        <x:v>2</x:v>
      </x:c>
      <x:c r="G640" s="20" t="n">
        <x:f>'Controls'!$B$19</x:f>
        <x:v>24</x:v>
      </x:c>
      <x:c r="H640" s="20" t="n">
        <x:f>'Controls'!$B$12-'Controls'!$B$13</x:f>
        <x:v>2.98</x:v>
      </x:c>
      <x:c r="I640" s="20" t="n">
        <x:v>1</x:v>
      </x:c>
      <x:c r="J640" s="20" t="n">
        <x:v>1</x:v>
      </x:c>
      <x:c r="K640" s="20" t="n">
        <x:f>F640*G640*H640*I640*J640</x:f>
        <x:v>143.04</x:v>
      </x:c>
      <x:c r="L640" s="7" t="str">
        <x:v>Net perimeter, no repeated corners</x:v>
      </x:c>
      <x:c r="M640" s="2"/>
      <x:c r="N640" s="2"/>
      <x:c r="O640" s="2"/>
      <x:c r="P640" s="2"/>
      <x:c r="Q640" s="2"/>
    </x:row>
    <x:row r="641" ht="22" customHeight="1">
      <x:c r="A641" s="2" t="str">
        <x:v>M0634</x:v>
      </x:c>
      <x:c r="B641" s="2" t="str">
        <x:v>AR01</x:v>
      </x:c>
      <x:c r="C641" s="2" t="str">
        <x:v>T3</x:v>
      </x:c>
      <x:c r="D641" s="2" t="str">
        <x:v>L00</x:v>
      </x:c>
      <x:c r="E641" s="2" t="str">
        <x:v>Partition walls gross</x:v>
      </x:c>
      <x:c r="F641" s="21" t="n">
        <x:v>1</x:v>
      </x:c>
      <x:c r="G641" s="21" t="n">
        <x:f>'Controls'!$B$45</x:f>
        <x:v>220</x:v>
      </x:c>
      <x:c r="H641" s="21" t="n">
        <x:f>'Controls'!$B$12-'Controls'!$B$13</x:f>
        <x:v>2.98</x:v>
      </x:c>
      <x:c r="I641" s="21" t="n">
        <x:f>'Controls'!$B$46</x:f>
        <x:v>0.15</x:v>
      </x:c>
      <x:c r="J641" s="21" t="n">
        <x:v>1</x:v>
      </x:c>
      <x:c r="K641" s="21" t="n">
        <x:f>F641*G641*H641*I641*J641</x:f>
        <x:v>98.34</x:v>
      </x:c>
      <x:c r="L641" s="2" t="str">
        <x:v>Net openings deducted below</x:v>
      </x:c>
      <x:c r="M641" s="2"/>
      <x:c r="N641" s="2"/>
      <x:c r="O641" s="2"/>
      <x:c r="P641" s="2"/>
      <x:c r="Q641" s="2"/>
    </x:row>
    <x:row r="642" ht="22" customHeight="1">
      <x:c r="A642" s="7" t="str">
        <x:v>M0635</x:v>
      </x:c>
      <x:c r="B642" s="7" t="str">
        <x:v>AR01</x:v>
      </x:c>
      <x:c r="C642" s="7" t="str">
        <x:v>T3</x:v>
      </x:c>
      <x:c r="D642" s="7" t="str">
        <x:v>L00</x:v>
      </x:c>
      <x:c r="E642" s="7" t="str">
        <x:v>Internal doors deduction</x:v>
      </x:c>
      <x:c r="F642" s="20" t="n">
        <x:f>'Controls'!$B$48</x:f>
        <x:v>28</x:v>
      </x:c>
      <x:c r="G642" s="20" t="n">
        <x:f>'Controls'!$B$49</x:f>
        <x:v>0.9</x:v>
      </x:c>
      <x:c r="H642" s="20" t="n">
        <x:f>'Controls'!$B$50</x:f>
        <x:v>2.1</x:v>
      </x:c>
      <x:c r="I642" s="20" t="n">
        <x:f>'Controls'!$B$46</x:f>
        <x:v>0.15</x:v>
      </x:c>
      <x:c r="J642" s="20" t="n">
        <x:v>-1</x:v>
      </x:c>
      <x:c r="K642" s="20" t="n">
        <x:f>F642*G642*H642*I642*J642</x:f>
        <x:v>-7.938</x:v>
      </x:c>
      <x:c r="L642" s="7" t="str">
        <x:v>28 doors per floor, OP-02</x:v>
      </x:c>
      <x:c r="M642" s="2"/>
      <x:c r="N642" s="2"/>
      <x:c r="O642" s="2"/>
      <x:c r="P642" s="2"/>
      <x:c r="Q642" s="2"/>
    </x:row>
    <x:row r="643" ht="22" customHeight="1">
      <x:c r="A643" s="2" t="str">
        <x:v>M0636</x:v>
      </x:c>
      <x:c r="B643" s="2" t="str">
        <x:v>AR02</x:v>
      </x:c>
      <x:c r="C643" s="2" t="str">
        <x:v>T3</x:v>
      </x:c>
      <x:c r="D643" s="2" t="str">
        <x:v>L00</x:v>
      </x:c>
      <x:c r="E643" s="2" t="str">
        <x:v>Internal plaster gross</x:v>
      </x:c>
      <x:c r="F643" s="21" t="n">
        <x:v>2</x:v>
      </x:c>
      <x:c r="G643" s="21" t="n">
        <x:f>'Controls'!$B$45</x:f>
        <x:v>220</x:v>
      </x:c>
      <x:c r="H643" s="21" t="n">
        <x:f>'Controls'!$B$12-'Controls'!$B$13</x:f>
        <x:v>2.98</x:v>
      </x:c>
      <x:c r="I643" s="21" t="n">
        <x:v>1</x:v>
      </x:c>
      <x:c r="J643" s="21" t="n">
        <x:v>1</x:v>
      </x:c>
      <x:c r="K643" s="21" t="n">
        <x:f>F643*G643*H643*I643*J643</x:f>
        <x:v>1311.2</x:v>
      </x:c>
      <x:c r="L643" s="2" t="str">
        <x:v>Both faces of partition walls</x:v>
      </x:c>
      <x:c r="M643" s="2"/>
      <x:c r="N643" s="2"/>
      <x:c r="O643" s="2"/>
      <x:c r="P643" s="2"/>
      <x:c r="Q643" s="2"/>
    </x:row>
    <x:row r="644" ht="22" customHeight="1">
      <x:c r="A644" s="7" t="str">
        <x:v>M0637</x:v>
      </x:c>
      <x:c r="B644" s="7" t="str">
        <x:v>AR02</x:v>
      </x:c>
      <x:c r="C644" s="7" t="str">
        <x:v>T3</x:v>
      </x:c>
      <x:c r="D644" s="7" t="str">
        <x:v>L00</x:v>
      </x:c>
      <x:c r="E644" s="7" t="str">
        <x:v>Door area deduction both faces</x:v>
      </x:c>
      <x:c r="F644" s="20" t="n">
        <x:f>2*'Controls'!$B$48</x:f>
        <x:v>56</x:v>
      </x:c>
      <x:c r="G644" s="20" t="n">
        <x:f>'Controls'!$B$49</x:f>
        <x:v>0.9</x:v>
      </x:c>
      <x:c r="H644" s="20" t="n">
        <x:f>'Controls'!$B$50</x:f>
        <x:v>2.1</x:v>
      </x:c>
      <x:c r="I644" s="20" t="n">
        <x:v>1</x:v>
      </x:c>
      <x:c r="J644" s="20" t="n">
        <x:v>-1</x:v>
      </x:c>
      <x:c r="K644" s="20" t="n">
        <x:f>F644*G644*H644*I644*J644</x:f>
        <x:v>-105.84</x:v>
      </x:c>
      <x:c r="L644" s="7" t="str">
        <x:v>No plaster over openings</x:v>
      </x:c>
      <x:c r="M644" s="2"/>
      <x:c r="N644" s="2"/>
      <x:c r="O644" s="2"/>
      <x:c r="P644" s="2"/>
      <x:c r="Q644" s="2"/>
    </x:row>
    <x:row r="645" ht="22" customHeight="1">
      <x:c r="A645" s="2" t="str">
        <x:v>M0638</x:v>
      </x:c>
      <x:c r="B645" s="2" t="str">
        <x:v>AR03</x:v>
      </x:c>
      <x:c r="C645" s="2" t="str">
        <x:v>T3</x:v>
      </x:c>
      <x:c r="D645" s="2" t="str">
        <x:v>L00</x:v>
      </x:c>
      <x:c r="E645" s="2" t="str">
        <x:v>Floor screed net</x:v>
      </x:c>
      <x:c r="F645" s="21" t="n">
        <x:v>1</x:v>
      </x:c>
      <x:c r="G645" s="21" t="n">
        <x:f>'Controls'!$B$10*'Controls'!$B$11-'Controls'!$B$20*'Controls'!$B$21</x:f>
        <x:v>696</x:v>
      </x:c>
      <x:c r="H645" s="21" t="n">
        <x:v>1</x:v>
      </x:c>
      <x:c r="I645" s="21" t="n">
        <x:v>1</x:v>
      </x:c>
      <x:c r="J645" s="21" t="n">
        <x:v>1</x:v>
      </x:c>
      <x:c r="K645" s="21" t="n">
        <x:f>F645*G645*H645*I645*J645</x:f>
        <x:v>696</x:v>
      </x:c>
      <x:c r="L645" s="2" t="str">
        <x:v>Net structural floor area</x:v>
      </x:c>
      <x:c r="M645" s="2"/>
      <x:c r="N645" s="2"/>
      <x:c r="O645" s="2"/>
      <x:c r="P645" s="2"/>
      <x:c r="Q645" s="2"/>
    </x:row>
    <x:row r="646" ht="22" customHeight="1">
      <x:c r="A646" s="7" t="str">
        <x:v>M0639</x:v>
      </x:c>
      <x:c r="B646" s="7" t="str">
        <x:v>AR04</x:v>
      </x:c>
      <x:c r="C646" s="7" t="str">
        <x:v>T3</x:v>
      </x:c>
      <x:c r="D646" s="7" t="str">
        <x:v>L00</x:v>
      </x:c>
      <x:c r="E646" s="7" t="str">
        <x:v>Floor finish net</x:v>
      </x:c>
      <x:c r="F646" s="20" t="n">
        <x:v>1</x:v>
      </x:c>
      <x:c r="G646" s="20" t="n">
        <x:f>'Controls'!$B$10*'Controls'!$B$11-'Controls'!$B$20*'Controls'!$B$21</x:f>
        <x:v>696</x:v>
      </x:c>
      <x:c r="H646" s="20" t="n">
        <x:v>1</x:v>
      </x:c>
      <x:c r="I646" s="20" t="n">
        <x:v>1</x:v>
      </x:c>
      <x:c r="J646" s="20" t="n">
        <x:v>1</x:v>
      </x:c>
      <x:c r="K646" s="20" t="n">
        <x:f>F646*G646*H646*I646*J646</x:f>
        <x:v>696</x:v>
      </x:c>
      <x:c r="L646" s="7" t="str">
        <x:v>Waste excluded from BOQ</x:v>
      </x:c>
      <x:c r="M646" s="2"/>
      <x:c r="N646" s="2"/>
      <x:c r="O646" s="2"/>
      <x:c r="P646" s="2"/>
      <x:c r="Q646" s="2"/>
    </x:row>
    <x:row r="647" ht="22" customHeight="1">
      <x:c r="A647" s="2" t="str">
        <x:v>M0640</x:v>
      </x:c>
      <x:c r="B647" s="2" t="str">
        <x:v>AR05</x:v>
      </x:c>
      <x:c r="C647" s="2" t="str">
        <x:v>T3</x:v>
      </x:c>
      <x:c r="D647" s="2" t="str">
        <x:v>L00</x:v>
      </x:c>
      <x:c r="E647" s="2" t="str">
        <x:v>Internal wall paint net</x:v>
      </x:c>
      <x:c r="F647" s="21" t="n">
        <x:v>2</x:v>
      </x:c>
      <x:c r="G647" s="21" t="n">
        <x:f>'Controls'!$B$45*('Controls'!$B$12-'Controls'!$B$13)-'Controls'!$B$48*'Controls'!$B$49*'Controls'!$B$50</x:f>
        <x:v>602.6800000000001</x:v>
      </x:c>
      <x:c r="H647" s="21" t="n">
        <x:v>1</x:v>
      </x:c>
      <x:c r="I647" s="21" t="n">
        <x:v>1</x:v>
      </x:c>
      <x:c r="J647" s="21" t="n">
        <x:v>1</x:v>
      </x:c>
      <x:c r="K647" s="21" t="n">
        <x:f>F647*G647*H647*I647*J647</x:f>
        <x:v>1205.3600000000001</x:v>
      </x:c>
      <x:c r="L647" s="2" t="str">
        <x:v>Finished area; two coats priced in rate</x:v>
      </x:c>
      <x:c r="M647" s="2"/>
      <x:c r="N647" s="2"/>
      <x:c r="O647" s="2"/>
      <x:c r="P647" s="2"/>
      <x:c r="Q647" s="2"/>
    </x:row>
    <x:row r="648" ht="22" customHeight="1">
      <x:c r="A648" s="7" t="str">
        <x:v>M0641</x:v>
      </x:c>
      <x:c r="B648" s="7" t="str">
        <x:v>AR06</x:v>
      </x:c>
      <x:c r="C648" s="7" t="str">
        <x:v>T3</x:v>
      </x:c>
      <x:c r="D648" s="7" t="str">
        <x:v>L00</x:v>
      </x:c>
      <x:c r="E648" s="7" t="str">
        <x:v>Door sets</x:v>
      </x:c>
      <x:c r="F648" s="20" t="n">
        <x:f>'Controls'!$B$48</x:f>
        <x:v>28</x:v>
      </x:c>
      <x:c r="G648" s="20" t="n">
        <x:v>1</x:v>
      </x:c>
      <x:c r="H648" s="20" t="n">
        <x:v>1</x:v>
      </x:c>
      <x:c r="I648" s="20" t="n">
        <x:v>1</x:v>
      </x:c>
      <x:c r="J648" s="20" t="n">
        <x:v>1</x:v>
      </x:c>
      <x:c r="K648" s="20" t="n">
        <x:f>F648*G648*H648*I648*J648</x:f>
        <x:v>28</x:v>
      </x:c>
      <x:c r="L648" s="7" t="str">
        <x:v>Door count, not double face</x:v>
      </x:c>
      <x:c r="M648" s="2"/>
      <x:c r="N648" s="2"/>
      <x:c r="O648" s="2"/>
      <x:c r="P648" s="2"/>
      <x:c r="Q648" s="2"/>
    </x:row>
    <x:row r="649" ht="22" customHeight="1">
      <x:c r="A649" s="2" t="str">
        <x:v>M0642</x:v>
      </x:c>
      <x:c r="B649" s="2" t="str">
        <x:v>RC03</x:v>
      </x:c>
      <x:c r="C649" s="2" t="str">
        <x:v>T3</x:v>
      </x:c>
      <x:c r="D649" s="2" t="str">
        <x:v>L01</x:v>
      </x:c>
      <x:c r="E649" s="2" t="str">
        <x:v>Floor slab gross</x:v>
      </x:c>
      <x:c r="F649" s="21" t="n">
        <x:v>1</x:v>
      </x:c>
      <x:c r="G649" s="21" t="n">
        <x:f>'Controls'!$B$10</x:f>
        <x:v>30</x:v>
      </x:c>
      <x:c r="H649" s="21" t="n">
        <x:f>'Controls'!$B$11</x:f>
        <x:v>24</x:v>
      </x:c>
      <x:c r="I649" s="21" t="n">
        <x:f>'Controls'!$B$13</x:f>
        <x:v>0.22</x:v>
      </x:c>
      <x:c r="J649" s="21" t="n">
        <x:v>1</x:v>
      </x:c>
      <x:c r="K649" s="21" t="n">
        <x:f>F649*G649*H649*I649*J649</x:f>
        <x:v>158.4</x:v>
      </x:c>
      <x:c r="L649" s="2" t="str">
        <x:v>Slab includes beam top flange; downstand separate</x:v>
      </x:c>
      <x:c r="M649" s="2"/>
      <x:c r="N649" s="2"/>
      <x:c r="O649" s="2"/>
      <x:c r="P649" s="2"/>
      <x:c r="Q649" s="2"/>
    </x:row>
    <x:row r="650" ht="22" customHeight="1">
      <x:c r="A650" s="7" t="str">
        <x:v>M0643</x:v>
      </x:c>
      <x:c r="B650" s="7" t="str">
        <x:v>RC03</x:v>
      </x:c>
      <x:c r="C650" s="7" t="str">
        <x:v>T3</x:v>
      </x:c>
      <x:c r="D650" s="7" t="str">
        <x:v>L01</x:v>
      </x:c>
      <x:c r="E650" s="7" t="str">
        <x:v>Stair opening deduction</x:v>
      </x:c>
      <x:c r="F650" s="20" t="n">
        <x:v>1</x:v>
      </x:c>
      <x:c r="G650" s="20" t="n">
        <x:f>'Controls'!$B$20</x:f>
        <x:v>4</x:v>
      </x:c>
      <x:c r="H650" s="20" t="n">
        <x:f>'Controls'!$B$21</x:f>
        <x:v>6</x:v>
      </x:c>
      <x:c r="I650" s="20" t="n">
        <x:f>'Controls'!$B$13</x:f>
        <x:v>0.22</x:v>
      </x:c>
      <x:c r="J650" s="20" t="n">
        <x:v>-1</x:v>
      </x:c>
      <x:c r="K650" s="20" t="n">
        <x:f>F650*G650*H650*I650*J650</x:f>
        <x:v>-5.28</x:v>
      </x:c>
      <x:c r="L650" s="7" t="str">
        <x:v>Opening OP-01</x:v>
      </x:c>
      <x:c r="M650" s="2"/>
      <x:c r="N650" s="2"/>
      <x:c r="O650" s="2"/>
      <x:c r="P650" s="2"/>
      <x:c r="Q650" s="2"/>
    </x:row>
    <x:row r="651" ht="22" customHeight="1">
      <x:c r="A651" s="2" t="str">
        <x:v>M0644</x:v>
      </x:c>
      <x:c r="B651" s="2" t="str">
        <x:v>RC04</x:v>
      </x:c>
      <x:c r="C651" s="2" t="str">
        <x:v>T3</x:v>
      </x:c>
      <x:c r="D651" s="2" t="str">
        <x:v>L01</x:v>
      </x:c>
      <x:c r="E651" s="2" t="str">
        <x:v>Beam downstands X</x:v>
      </x:c>
      <x:c r="F651" s="21" t="n">
        <x:v>1</x:v>
      </x:c>
      <x:c r="G651" s="21" t="n">
        <x:f>5*5*('Controls'!$B$10/5-'Controls'!$B$14)</x:f>
        <x:v>137.5</x:v>
      </x:c>
      <x:c r="H651" s="21" t="n">
        <x:f>'Controls'!$B$16</x:f>
        <x:v>0.3</x:v>
      </x:c>
      <x:c r="I651" s="21" t="n">
        <x:f>'Controls'!$B$17-'Controls'!$B$13</x:f>
        <x:v>0.38</x:v>
      </x:c>
      <x:c r="J651" s="21" t="n">
        <x:v>1</x:v>
      </x:c>
      <x:c r="K651" s="21" t="n">
        <x:f>F651*G651*H651*I651*J651</x:f>
        <x:v>15.675</x:v>
      </x:c>
      <x:c r="L651" s="2" t="str">
        <x:v>Clear spans between column faces; no joint overlap</x:v>
      </x:c>
      <x:c r="M651" s="2"/>
      <x:c r="N651" s="2"/>
      <x:c r="O651" s="2"/>
      <x:c r="P651" s="2"/>
      <x:c r="Q651" s="2"/>
    </x:row>
    <x:row r="652" ht="22" customHeight="1">
      <x:c r="A652" s="7" t="str">
        <x:v>M0645</x:v>
      </x:c>
      <x:c r="B652" s="7" t="str">
        <x:v>FW02</x:v>
      </x:c>
      <x:c r="C652" s="7" t="str">
        <x:v>T3</x:v>
      </x:c>
      <x:c r="D652" s="7" t="str">
        <x:v>L01</x:v>
      </x:c>
      <x:c r="E652" s="7" t="str">
        <x:v>Beam forms X</x:v>
      </x:c>
      <x:c r="F652" s="20" t="n">
        <x:v>1</x:v>
      </x:c>
      <x:c r="G652" s="20" t="n">
        <x:f>5*5*('Controls'!$B$10/5-'Controls'!$B$14)</x:f>
        <x:v>137.5</x:v>
      </x:c>
      <x:c r="H652" s="20" t="n">
        <x:f>'Controls'!$B$16+2*('Controls'!$B$17-'Controls'!$B$13)</x:f>
        <x:v>1.06</x:v>
      </x:c>
      <x:c r="I652" s="20" t="n">
        <x:v>1</x:v>
      </x:c>
      <x:c r="J652" s="20" t="n">
        <x:v>1</x:v>
      </x:c>
      <x:c r="K652" s="20" t="n">
        <x:f>F652*G652*H652*I652*J652</x:f>
        <x:v>145.75</x:v>
      </x:c>
      <x:c r="L652" s="7" t="str">
        <x:v>Soffit plus two downstand sides</x:v>
      </x:c>
      <x:c r="M652" s="2"/>
      <x:c r="N652" s="2"/>
      <x:c r="O652" s="2"/>
      <x:c r="P652" s="2"/>
      <x:c r="Q652" s="2"/>
    </x:row>
    <x:row r="653" ht="22" customHeight="1">
      <x:c r="A653" s="2" t="str">
        <x:v>M0646</x:v>
      </x:c>
      <x:c r="B653" s="2" t="str">
        <x:v>RC04</x:v>
      </x:c>
      <x:c r="C653" s="2" t="str">
        <x:v>T3</x:v>
      </x:c>
      <x:c r="D653" s="2" t="str">
        <x:v>L01</x:v>
      </x:c>
      <x:c r="E653" s="2" t="str">
        <x:v>Beam downstands Y</x:v>
      </x:c>
      <x:c r="F653" s="21" t="n">
        <x:v>1</x:v>
      </x:c>
      <x:c r="G653" s="21" t="n">
        <x:f>6*4*('Controls'!$B$11/4-'Controls'!$B$15)</x:f>
        <x:v>132</x:v>
      </x:c>
      <x:c r="H653" s="21" t="n">
        <x:f>'Controls'!$B$16</x:f>
        <x:v>0.3</x:v>
      </x:c>
      <x:c r="I653" s="21" t="n">
        <x:f>'Controls'!$B$17-'Controls'!$B$13</x:f>
        <x:v>0.38</x:v>
      </x:c>
      <x:c r="J653" s="21" t="n">
        <x:v>1</x:v>
      </x:c>
      <x:c r="K653" s="21" t="n">
        <x:f>F653*G653*H653*I653*J653</x:f>
        <x:v>15.048</x:v>
      </x:c>
      <x:c r="L653" s="2" t="str">
        <x:v>Clear spans between column faces; no joint overlap</x:v>
      </x:c>
      <x:c r="M653" s="2"/>
      <x:c r="N653" s="2"/>
      <x:c r="O653" s="2"/>
      <x:c r="P653" s="2"/>
      <x:c r="Q653" s="2"/>
    </x:row>
    <x:row r="654" ht="22" customHeight="1">
      <x:c r="A654" s="7" t="str">
        <x:v>M0647</x:v>
      </x:c>
      <x:c r="B654" s="7" t="str">
        <x:v>FW02</x:v>
      </x:c>
      <x:c r="C654" s="7" t="str">
        <x:v>T3</x:v>
      </x:c>
      <x:c r="D654" s="7" t="str">
        <x:v>L01</x:v>
      </x:c>
      <x:c r="E654" s="7" t="str">
        <x:v>Beam forms Y</x:v>
      </x:c>
      <x:c r="F654" s="20" t="n">
        <x:v>1</x:v>
      </x:c>
      <x:c r="G654" s="20" t="n">
        <x:f>6*4*('Controls'!$B$11/4-'Controls'!$B$15)</x:f>
        <x:v>132</x:v>
      </x:c>
      <x:c r="H654" s="20" t="n">
        <x:f>'Controls'!$B$16+2*('Controls'!$B$17-'Controls'!$B$13)</x:f>
        <x:v>1.06</x:v>
      </x:c>
      <x:c r="I654" s="20" t="n">
        <x:v>1</x:v>
      </x:c>
      <x:c r="J654" s="20" t="n">
        <x:v>1</x:v>
      </x:c>
      <x:c r="K654" s="20" t="n">
        <x:f>F654*G654*H654*I654*J654</x:f>
        <x:v>139.92000000000002</x:v>
      </x:c>
      <x:c r="L654" s="7" t="str">
        <x:v>Soffit plus two downstand sides</x:v>
      </x:c>
      <x:c r="M654" s="2"/>
      <x:c r="N654" s="2"/>
      <x:c r="O654" s="2"/>
      <x:c r="P654" s="2"/>
      <x:c r="Q654" s="2"/>
    </x:row>
    <x:row r="655" ht="22" customHeight="1">
      <x:c r="A655" s="2" t="str">
        <x:v>M0648</x:v>
      </x:c>
      <x:c r="B655" s="2" t="str">
        <x:v>RC05</x:v>
      </x:c>
      <x:c r="C655" s="2" t="str">
        <x:v>T3</x:v>
      </x:c>
      <x:c r="D655" s="2" t="str">
        <x:v>L01</x:v>
      </x:c>
      <x:c r="E655" s="2" t="str">
        <x:v>Thirty columns, clear storey</x:v>
      </x:c>
      <x:c r="F655" s="21" t="n">
        <x:v>30</x:v>
      </x:c>
      <x:c r="G655" s="21" t="n">
        <x:f>'Controls'!$B$14</x:f>
        <x:v>0.5</x:v>
      </x:c>
      <x:c r="H655" s="21" t="n">
        <x:f>'Controls'!$B$15</x:f>
        <x:v>0.5</x:v>
      </x:c>
      <x:c r="I655" s="21" t="n">
        <x:f>'Controls'!$B$12-'Controls'!$B$13</x:f>
        <x:v>2.98</x:v>
      </x:c>
      <x:c r="J655" s="21" t="n">
        <x:v>1</x:v>
      </x:c>
      <x:c r="K655" s="21" t="n">
        <x:f>F655*G655*H655*I655*J655</x:f>
        <x:v>22.35</x:v>
      </x:c>
      <x:c r="L655" s="2" t="str">
        <x:v>Slab volume excluded from columns</x:v>
      </x:c>
      <x:c r="M655" s="2"/>
      <x:c r="N655" s="2"/>
      <x:c r="O655" s="2"/>
      <x:c r="P655" s="2"/>
      <x:c r="Q655" s="2"/>
    </x:row>
    <x:row r="656" ht="22" customHeight="1">
      <x:c r="A656" s="7" t="str">
        <x:v>M0649</x:v>
      </x:c>
      <x:c r="B656" s="7" t="str">
        <x:v>RC06</x:v>
      </x:c>
      <x:c r="C656" s="7" t="str">
        <x:v>T3</x:v>
      </x:c>
      <x:c r="D656" s="7" t="str">
        <x:v>L01</x:v>
      </x:c>
      <x:c r="E656" s="7" t="str">
        <x:v>Core walls clear storey</x:v>
      </x:c>
      <x:c r="F656" s="20" t="n">
        <x:v>1</x:v>
      </x:c>
      <x:c r="G656" s="20" t="n">
        <x:f>'Controls'!$B$19</x:f>
        <x:v>24</x:v>
      </x:c>
      <x:c r="H656" s="20" t="n">
        <x:f>'Controls'!$B$18</x:f>
        <x:v>0.25</x:v>
      </x:c>
      <x:c r="I656" s="20" t="n">
        <x:f>'Controls'!$B$12-'Controls'!$B$13</x:f>
        <x:v>2.98</x:v>
      </x:c>
      <x:c r="J656" s="20" t="n">
        <x:v>1</x:v>
      </x:c>
      <x:c r="K656" s="20" t="n">
        <x:f>F656*G656*H656*I656*J656</x:f>
        <x:v>17.88</x:v>
      </x:c>
      <x:c r="L656" s="7" t="str">
        <x:v>Net clear wall length excludes corners</x:v>
      </x:c>
      <x:c r="M656" s="2"/>
      <x:c r="N656" s="2"/>
      <x:c r="O656" s="2"/>
      <x:c r="P656" s="2"/>
      <x:c r="Q656" s="2"/>
    </x:row>
    <x:row r="657" ht="22" customHeight="1">
      <x:c r="A657" s="2" t="str">
        <x:v>M0650</x:v>
      </x:c>
      <x:c r="B657" s="2" t="str">
        <x:v>RC07</x:v>
      </x:c>
      <x:c r="C657" s="2" t="str">
        <x:v>T3</x:v>
      </x:c>
      <x:c r="D657" s="2" t="str">
        <x:v>L01</x:v>
      </x:c>
      <x:c r="E657" s="2" t="str">
        <x:v>Stair flights waist</x:v>
      </x:c>
      <x:c r="F657" s="21" t="n">
        <x:v>2</x:v>
      </x:c>
      <x:c r="G657" s="21" t="n">
        <x:v>4.1</x:v>
      </x:c>
      <x:c r="H657" s="21" t="n">
        <x:v>1.2</x:v>
      </x:c>
      <x:c r="I657" s="21" t="n">
        <x:v>0.18</x:v>
      </x:c>
      <x:c r="J657" s="21" t="n">
        <x:v>1</x:v>
      </x:c>
      <x:c r="K657" s="21" t="n">
        <x:f>F657*G657*H657*I657*J657</x:f>
        <x:v>1.7711999999999997</x:v>
      </x:c>
      <x:c r="L657" s="2" t="str">
        <x:v>Two flights; geometry separate from floor slab</x:v>
      </x:c>
      <x:c r="M657" s="2"/>
      <x:c r="N657" s="2"/>
      <x:c r="O657" s="2"/>
      <x:c r="P657" s="2"/>
      <x:c r="Q657" s="2"/>
    </x:row>
    <x:row r="658" ht="22" customHeight="1">
      <x:c r="A658" s="7" t="str">
        <x:v>M0651</x:v>
      </x:c>
      <x:c r="B658" s="7" t="str">
        <x:v>RC07</x:v>
      </x:c>
      <x:c r="C658" s="7" t="str">
        <x:v>T3</x:v>
      </x:c>
      <x:c r="D658" s="7" t="str">
        <x:v>L01</x:v>
      </x:c>
      <x:c r="E658" s="7" t="str">
        <x:v>Stair landings</x:v>
      </x:c>
      <x:c r="F658" s="20" t="n">
        <x:v>2</x:v>
      </x:c>
      <x:c r="G658" s="20" t="n">
        <x:v>2</x:v>
      </x:c>
      <x:c r="H658" s="20" t="n">
        <x:v>1.2</x:v>
      </x:c>
      <x:c r="I658" s="20" t="n">
        <x:v>0.18</x:v>
      </x:c>
      <x:c r="J658" s="20" t="n">
        <x:v>1</x:v>
      </x:c>
      <x:c r="K658" s="20" t="n">
        <x:f>F658*G658*H658*I658*J658</x:f>
        <x:v>0.864</x:v>
      </x:c>
      <x:c r="L658" s="7" t="str">
        <x:v>Within stair opening</x:v>
      </x:c>
      <x:c r="M658" s="2"/>
      <x:c r="N658" s="2"/>
      <x:c r="O658" s="2"/>
      <x:c r="P658" s="2"/>
      <x:c r="Q658" s="2"/>
    </x:row>
    <x:row r="659" ht="22" customHeight="1">
      <x:c r="A659" s="2" t="str">
        <x:v>M0652</x:v>
      </x:c>
      <x:c r="B659" s="2" t="str">
        <x:v>FW01</x:v>
      </x:c>
      <x:c r="C659" s="2" t="str">
        <x:v>T3</x:v>
      </x:c>
      <x:c r="D659" s="2" t="str">
        <x:v>L01</x:v>
      </x:c>
      <x:c r="E659" s="2" t="str">
        <x:v>Slab soffit gross</x:v>
      </x:c>
      <x:c r="F659" s="21" t="n">
        <x:v>1</x:v>
      </x:c>
      <x:c r="G659" s="21" t="n">
        <x:f>'Controls'!$B$10</x:f>
        <x:v>30</x:v>
      </x:c>
      <x:c r="H659" s="21" t="n">
        <x:f>'Controls'!$B$11</x:f>
        <x:v>24</x:v>
      </x:c>
      <x:c r="I659" s="21" t="n">
        <x:v>1</x:v>
      </x:c>
      <x:c r="J659" s="21" t="n">
        <x:v>1</x:v>
      </x:c>
      <x:c r="K659" s="21" t="n">
        <x:f>F659*G659*H659*I659*J659</x:f>
        <x:v>720</x:v>
      </x:c>
      <x:c r="L659" s="2" t="str">
        <x:v>Beam soffit deducted below</x:v>
      </x:c>
      <x:c r="M659" s="2"/>
      <x:c r="N659" s="2"/>
      <x:c r="O659" s="2"/>
      <x:c r="P659" s="2"/>
      <x:c r="Q659" s="2"/>
    </x:row>
    <x:row r="660" ht="22" customHeight="1">
      <x:c r="A660" s="7" t="str">
        <x:v>M0653</x:v>
      </x:c>
      <x:c r="B660" s="7" t="str">
        <x:v>FW01</x:v>
      </x:c>
      <x:c r="C660" s="7" t="str">
        <x:v>T3</x:v>
      </x:c>
      <x:c r="D660" s="7" t="str">
        <x:v>L01</x:v>
      </x:c>
      <x:c r="E660" s="7" t="str">
        <x:v>Stair opening deduction</x:v>
      </x:c>
      <x:c r="F660" s="20" t="n">
        <x:v>1</x:v>
      </x:c>
      <x:c r="G660" s="20" t="n">
        <x:f>'Controls'!$B$20</x:f>
        <x:v>4</x:v>
      </x:c>
      <x:c r="H660" s="20" t="n">
        <x:f>'Controls'!$B$21</x:f>
        <x:v>6</x:v>
      </x:c>
      <x:c r="I660" s="20" t="n">
        <x:v>1</x:v>
      </x:c>
      <x:c r="J660" s="20" t="n">
        <x:v>-1</x:v>
      </x:c>
      <x:c r="K660" s="20" t="n">
        <x:f>F660*G660*H660*I660*J660</x:f>
        <x:v>-24</x:v>
      </x:c>
      <x:c r="L660" s="7" t="str">
        <x:v>OP-01</x:v>
      </x:c>
      <x:c r="M660" s="2"/>
      <x:c r="N660" s="2"/>
      <x:c r="O660" s="2"/>
      <x:c r="P660" s="2"/>
      <x:c r="Q660" s="2"/>
    </x:row>
    <x:row r="661" ht="22" customHeight="1">
      <x:c r="A661" s="2" t="str">
        <x:v>M0654</x:v>
      </x:c>
      <x:c r="B661" s="2" t="str">
        <x:v>FW01</x:v>
      </x:c>
      <x:c r="C661" s="2" t="str">
        <x:v>T3</x:v>
      </x:c>
      <x:c r="D661" s="2" t="str">
        <x:v>L01</x:v>
      </x:c>
      <x:c r="E661" s="2" t="str">
        <x:v>Beam soffit deduction</x:v>
      </x:c>
      <x:c r="F661" s="21" t="n">
        <x:v>1</x:v>
      </x:c>
      <x:c r="G661" s="21" t="n">
        <x:f>5*5*('Controls'!$B$10/5-'Controls'!$B$14)+6*4*('Controls'!$B$11/4-'Controls'!$B$15)</x:f>
        <x:v>269.5</x:v>
      </x:c>
      <x:c r="H661" s="21" t="n">
        <x:f>'Controls'!$B$16</x:f>
        <x:v>0.3</x:v>
      </x:c>
      <x:c r="I661" s="21" t="n">
        <x:v>1</x:v>
      </x:c>
      <x:c r="J661" s="21" t="n">
        <x:v>-1</x:v>
      </x:c>
      <x:c r="K661" s="21" t="n">
        <x:f>F661*G661*H661*I661*J661</x:f>
        <x:v>-80.85</x:v>
      </x:c>
      <x:c r="L661" s="2" t="str">
        <x:v>Beam forms measured in FW02</x:v>
      </x:c>
      <x:c r="M661" s="2"/>
      <x:c r="N661" s="2"/>
      <x:c r="O661" s="2"/>
      <x:c r="P661" s="2"/>
      <x:c r="Q661" s="2"/>
    </x:row>
    <x:row r="662" ht="22" customHeight="1">
      <x:c r="A662" s="7" t="str">
        <x:v>M0655</x:v>
      </x:c>
      <x:c r="B662" s="7" t="str">
        <x:v>FW03</x:v>
      </x:c>
      <x:c r="C662" s="7" t="str">
        <x:v>T3</x:v>
      </x:c>
      <x:c r="D662" s="7" t="str">
        <x:v>L01</x:v>
      </x:c>
      <x:c r="E662" s="7" t="str">
        <x:v>Column four faces</x:v>
      </x:c>
      <x:c r="F662" s="20" t="n">
        <x:v>30</x:v>
      </x:c>
      <x:c r="G662" s="20" t="n">
        <x:f>2*('Controls'!$B$14+'Controls'!$B$15)</x:f>
        <x:v>2</x:v>
      </x:c>
      <x:c r="H662" s="20" t="n">
        <x:f>'Controls'!$B$12-'Controls'!$B$13</x:f>
        <x:v>2.98</x:v>
      </x:c>
      <x:c r="I662" s="20" t="n">
        <x:v>1</x:v>
      </x:c>
      <x:c r="J662" s="20" t="n">
        <x:v>1</x:v>
      </x:c>
      <x:c r="K662" s="20" t="n">
        <x:f>F662*G662*H662*I662*J662</x:f>
        <x:v>178.8</x:v>
      </x:c>
      <x:c r="L662" s="7" t="str">
        <x:v>Clear floor-to-soffit</x:v>
      </x:c>
      <x:c r="M662" s="2"/>
      <x:c r="N662" s="2"/>
      <x:c r="O662" s="2"/>
      <x:c r="P662" s="2"/>
      <x:c r="Q662" s="2"/>
    </x:row>
    <x:row r="663" ht="22" customHeight="1">
      <x:c r="A663" s="2" t="str">
        <x:v>M0656</x:v>
      </x:c>
      <x:c r="B663" s="2" t="str">
        <x:v>FW04</x:v>
      </x:c>
      <x:c r="C663" s="2" t="str">
        <x:v>T3</x:v>
      </x:c>
      <x:c r="D663" s="2" t="str">
        <x:v>L01</x:v>
      </x:c>
      <x:c r="E663" s="2" t="str">
        <x:v>Core wall two faces</x:v>
      </x:c>
      <x:c r="F663" s="21" t="n">
        <x:v>2</x:v>
      </x:c>
      <x:c r="G663" s="21" t="n">
        <x:f>'Controls'!$B$19</x:f>
        <x:v>24</x:v>
      </x:c>
      <x:c r="H663" s="21" t="n">
        <x:f>'Controls'!$B$12-'Controls'!$B$13</x:f>
        <x:v>2.98</x:v>
      </x:c>
      <x:c r="I663" s="21" t="n">
        <x:v>1</x:v>
      </x:c>
      <x:c r="J663" s="21" t="n">
        <x:v>1</x:v>
      </x:c>
      <x:c r="K663" s="21" t="n">
        <x:f>F663*G663*H663*I663*J663</x:f>
        <x:v>143.04</x:v>
      </x:c>
      <x:c r="L663" s="2" t="str">
        <x:v>Net perimeter, no repeated corners</x:v>
      </x:c>
      <x:c r="M663" s="2"/>
      <x:c r="N663" s="2"/>
      <x:c r="O663" s="2"/>
      <x:c r="P663" s="2"/>
      <x:c r="Q663" s="2"/>
    </x:row>
    <x:row r="664" ht="22" customHeight="1">
      <x:c r="A664" s="7" t="str">
        <x:v>M0657</x:v>
      </x:c>
      <x:c r="B664" s="7" t="str">
        <x:v>AR01</x:v>
      </x:c>
      <x:c r="C664" s="7" t="str">
        <x:v>T3</x:v>
      </x:c>
      <x:c r="D664" s="7" t="str">
        <x:v>L01</x:v>
      </x:c>
      <x:c r="E664" s="7" t="str">
        <x:v>Partition walls gross</x:v>
      </x:c>
      <x:c r="F664" s="20" t="n">
        <x:v>1</x:v>
      </x:c>
      <x:c r="G664" s="20" t="n">
        <x:f>'Controls'!$B$45</x:f>
        <x:v>220</x:v>
      </x:c>
      <x:c r="H664" s="20" t="n">
        <x:f>'Controls'!$B$12-'Controls'!$B$13</x:f>
        <x:v>2.98</x:v>
      </x:c>
      <x:c r="I664" s="20" t="n">
        <x:f>'Controls'!$B$46</x:f>
        <x:v>0.15</x:v>
      </x:c>
      <x:c r="J664" s="20" t="n">
        <x:v>1</x:v>
      </x:c>
      <x:c r="K664" s="20" t="n">
        <x:f>F664*G664*H664*I664*J664</x:f>
        <x:v>98.34</x:v>
      </x:c>
      <x:c r="L664" s="7" t="str">
        <x:v>Net openings deducted below</x:v>
      </x:c>
      <x:c r="M664" s="2"/>
      <x:c r="N664" s="2"/>
      <x:c r="O664" s="2"/>
      <x:c r="P664" s="2"/>
      <x:c r="Q664" s="2"/>
    </x:row>
    <x:row r="665" ht="22" customHeight="1">
      <x:c r="A665" s="2" t="str">
        <x:v>M0658</x:v>
      </x:c>
      <x:c r="B665" s="2" t="str">
        <x:v>AR01</x:v>
      </x:c>
      <x:c r="C665" s="2" t="str">
        <x:v>T3</x:v>
      </x:c>
      <x:c r="D665" s="2" t="str">
        <x:v>L01</x:v>
      </x:c>
      <x:c r="E665" s="2" t="str">
        <x:v>Internal doors deduction</x:v>
      </x:c>
      <x:c r="F665" s="21" t="n">
        <x:f>'Controls'!$B$48</x:f>
        <x:v>28</x:v>
      </x:c>
      <x:c r="G665" s="21" t="n">
        <x:f>'Controls'!$B$49</x:f>
        <x:v>0.9</x:v>
      </x:c>
      <x:c r="H665" s="21" t="n">
        <x:f>'Controls'!$B$50</x:f>
        <x:v>2.1</x:v>
      </x:c>
      <x:c r="I665" s="21" t="n">
        <x:f>'Controls'!$B$46</x:f>
        <x:v>0.15</x:v>
      </x:c>
      <x:c r="J665" s="21" t="n">
        <x:v>-1</x:v>
      </x:c>
      <x:c r="K665" s="21" t="n">
        <x:f>F665*G665*H665*I665*J665</x:f>
        <x:v>-7.938</x:v>
      </x:c>
      <x:c r="L665" s="2" t="str">
        <x:v>28 doors per floor, OP-02</x:v>
      </x:c>
      <x:c r="M665" s="2"/>
      <x:c r="N665" s="2"/>
      <x:c r="O665" s="2"/>
      <x:c r="P665" s="2"/>
      <x:c r="Q665" s="2"/>
    </x:row>
    <x:row r="666" ht="22" customHeight="1">
      <x:c r="A666" s="7" t="str">
        <x:v>M0659</x:v>
      </x:c>
      <x:c r="B666" s="7" t="str">
        <x:v>AR02</x:v>
      </x:c>
      <x:c r="C666" s="7" t="str">
        <x:v>T3</x:v>
      </x:c>
      <x:c r="D666" s="7" t="str">
        <x:v>L01</x:v>
      </x:c>
      <x:c r="E666" s="7" t="str">
        <x:v>Internal plaster gross</x:v>
      </x:c>
      <x:c r="F666" s="20" t="n">
        <x:v>2</x:v>
      </x:c>
      <x:c r="G666" s="20" t="n">
        <x:f>'Controls'!$B$45</x:f>
        <x:v>220</x:v>
      </x:c>
      <x:c r="H666" s="20" t="n">
        <x:f>'Controls'!$B$12-'Controls'!$B$13</x:f>
        <x:v>2.98</x:v>
      </x:c>
      <x:c r="I666" s="20" t="n">
        <x:v>1</x:v>
      </x:c>
      <x:c r="J666" s="20" t="n">
        <x:v>1</x:v>
      </x:c>
      <x:c r="K666" s="20" t="n">
        <x:f>F666*G666*H666*I666*J666</x:f>
        <x:v>1311.2</x:v>
      </x:c>
      <x:c r="L666" s="7" t="str">
        <x:v>Both faces of partition walls</x:v>
      </x:c>
      <x:c r="M666" s="2"/>
      <x:c r="N666" s="2"/>
      <x:c r="O666" s="2"/>
      <x:c r="P666" s="2"/>
      <x:c r="Q666" s="2"/>
    </x:row>
    <x:row r="667" ht="22" customHeight="1">
      <x:c r="A667" s="2" t="str">
        <x:v>M0660</x:v>
      </x:c>
      <x:c r="B667" s="2" t="str">
        <x:v>AR02</x:v>
      </x:c>
      <x:c r="C667" s="2" t="str">
        <x:v>T3</x:v>
      </x:c>
      <x:c r="D667" s="2" t="str">
        <x:v>L01</x:v>
      </x:c>
      <x:c r="E667" s="2" t="str">
        <x:v>Door area deduction both faces</x:v>
      </x:c>
      <x:c r="F667" s="21" t="n">
        <x:f>2*'Controls'!$B$48</x:f>
        <x:v>56</x:v>
      </x:c>
      <x:c r="G667" s="21" t="n">
        <x:f>'Controls'!$B$49</x:f>
        <x:v>0.9</x:v>
      </x:c>
      <x:c r="H667" s="21" t="n">
        <x:f>'Controls'!$B$50</x:f>
        <x:v>2.1</x:v>
      </x:c>
      <x:c r="I667" s="21" t="n">
        <x:v>1</x:v>
      </x:c>
      <x:c r="J667" s="21" t="n">
        <x:v>-1</x:v>
      </x:c>
      <x:c r="K667" s="21" t="n">
        <x:f>F667*G667*H667*I667*J667</x:f>
        <x:v>-105.84</x:v>
      </x:c>
      <x:c r="L667" s="2" t="str">
        <x:v>No plaster over openings</x:v>
      </x:c>
      <x:c r="M667" s="2"/>
      <x:c r="N667" s="2"/>
      <x:c r="O667" s="2"/>
      <x:c r="P667" s="2"/>
      <x:c r="Q667" s="2"/>
    </x:row>
    <x:row r="668" ht="22" customHeight="1">
      <x:c r="A668" s="7" t="str">
        <x:v>M0661</x:v>
      </x:c>
      <x:c r="B668" s="7" t="str">
        <x:v>AR03</x:v>
      </x:c>
      <x:c r="C668" s="7" t="str">
        <x:v>T3</x:v>
      </x:c>
      <x:c r="D668" s="7" t="str">
        <x:v>L01</x:v>
      </x:c>
      <x:c r="E668" s="7" t="str">
        <x:v>Floor screed net</x:v>
      </x:c>
      <x:c r="F668" s="20" t="n">
        <x:v>1</x:v>
      </x:c>
      <x:c r="G668" s="20" t="n">
        <x:f>'Controls'!$B$10*'Controls'!$B$11-'Controls'!$B$20*'Controls'!$B$21</x:f>
        <x:v>696</x:v>
      </x:c>
      <x:c r="H668" s="20" t="n">
        <x:v>1</x:v>
      </x:c>
      <x:c r="I668" s="20" t="n">
        <x:v>1</x:v>
      </x:c>
      <x:c r="J668" s="20" t="n">
        <x:v>1</x:v>
      </x:c>
      <x:c r="K668" s="20" t="n">
        <x:f>F668*G668*H668*I668*J668</x:f>
        <x:v>696</x:v>
      </x:c>
      <x:c r="L668" s="7" t="str">
        <x:v>Net structural floor area</x:v>
      </x:c>
      <x:c r="M668" s="2"/>
      <x:c r="N668" s="2"/>
      <x:c r="O668" s="2"/>
      <x:c r="P668" s="2"/>
      <x:c r="Q668" s="2"/>
    </x:row>
    <x:row r="669" ht="22" customHeight="1">
      <x:c r="A669" s="2" t="str">
        <x:v>M0662</x:v>
      </x:c>
      <x:c r="B669" s="2" t="str">
        <x:v>AR04</x:v>
      </x:c>
      <x:c r="C669" s="2" t="str">
        <x:v>T3</x:v>
      </x:c>
      <x:c r="D669" s="2" t="str">
        <x:v>L01</x:v>
      </x:c>
      <x:c r="E669" s="2" t="str">
        <x:v>Floor finish net</x:v>
      </x:c>
      <x:c r="F669" s="21" t="n">
        <x:v>1</x:v>
      </x:c>
      <x:c r="G669" s="21" t="n">
        <x:f>'Controls'!$B$10*'Controls'!$B$11-'Controls'!$B$20*'Controls'!$B$21</x:f>
        <x:v>696</x:v>
      </x:c>
      <x:c r="H669" s="21" t="n">
        <x:v>1</x:v>
      </x:c>
      <x:c r="I669" s="21" t="n">
        <x:v>1</x:v>
      </x:c>
      <x:c r="J669" s="21" t="n">
        <x:v>1</x:v>
      </x:c>
      <x:c r="K669" s="21" t="n">
        <x:f>F669*G669*H669*I669*J669</x:f>
        <x:v>696</x:v>
      </x:c>
      <x:c r="L669" s="2" t="str">
        <x:v>Waste excluded from BOQ</x:v>
      </x:c>
      <x:c r="M669" s="2"/>
      <x:c r="N669" s="2"/>
      <x:c r="O669" s="2"/>
      <x:c r="P669" s="2"/>
      <x:c r="Q669" s="2"/>
    </x:row>
    <x:row r="670" ht="22" customHeight="1">
      <x:c r="A670" s="7" t="str">
        <x:v>M0663</x:v>
      </x:c>
      <x:c r="B670" s="7" t="str">
        <x:v>AR05</x:v>
      </x:c>
      <x:c r="C670" s="7" t="str">
        <x:v>T3</x:v>
      </x:c>
      <x:c r="D670" s="7" t="str">
        <x:v>L01</x:v>
      </x:c>
      <x:c r="E670" s="7" t="str">
        <x:v>Internal wall paint net</x:v>
      </x:c>
      <x:c r="F670" s="20" t="n">
        <x:v>2</x:v>
      </x:c>
      <x:c r="G670" s="20" t="n">
        <x:f>'Controls'!$B$45*('Controls'!$B$12-'Controls'!$B$13)-'Controls'!$B$48*'Controls'!$B$49*'Controls'!$B$50</x:f>
        <x:v>602.6800000000001</x:v>
      </x:c>
      <x:c r="H670" s="20" t="n">
        <x:v>1</x:v>
      </x:c>
      <x:c r="I670" s="20" t="n">
        <x:v>1</x:v>
      </x:c>
      <x:c r="J670" s="20" t="n">
        <x:v>1</x:v>
      </x:c>
      <x:c r="K670" s="20" t="n">
        <x:f>F670*G670*H670*I670*J670</x:f>
        <x:v>1205.3600000000001</x:v>
      </x:c>
      <x:c r="L670" s="7" t="str">
        <x:v>Finished area; two coats priced in rate</x:v>
      </x:c>
      <x:c r="M670" s="2"/>
      <x:c r="N670" s="2"/>
      <x:c r="O670" s="2"/>
      <x:c r="P670" s="2"/>
      <x:c r="Q670" s="2"/>
    </x:row>
    <x:row r="671" ht="22" customHeight="1">
      <x:c r="A671" s="2" t="str">
        <x:v>M0664</x:v>
      </x:c>
      <x:c r="B671" s="2" t="str">
        <x:v>AR06</x:v>
      </x:c>
      <x:c r="C671" s="2" t="str">
        <x:v>T3</x:v>
      </x:c>
      <x:c r="D671" s="2" t="str">
        <x:v>L01</x:v>
      </x:c>
      <x:c r="E671" s="2" t="str">
        <x:v>Door sets</x:v>
      </x:c>
      <x:c r="F671" s="21" t="n">
        <x:f>'Controls'!$B$48</x:f>
        <x:v>28</x:v>
      </x:c>
      <x:c r="G671" s="21" t="n">
        <x:v>1</x:v>
      </x:c>
      <x:c r="H671" s="21" t="n">
        <x:v>1</x:v>
      </x:c>
      <x:c r="I671" s="21" t="n">
        <x:v>1</x:v>
      </x:c>
      <x:c r="J671" s="21" t="n">
        <x:v>1</x:v>
      </x:c>
      <x:c r="K671" s="21" t="n">
        <x:f>F671*G671*H671*I671*J671</x:f>
        <x:v>28</x:v>
      </x:c>
      <x:c r="L671" s="2" t="str">
        <x:v>Door count, not double face</x:v>
      </x:c>
      <x:c r="M671" s="2"/>
      <x:c r="N671" s="2"/>
      <x:c r="O671" s="2"/>
      <x:c r="P671" s="2"/>
      <x:c r="Q671" s="2"/>
    </x:row>
    <x:row r="672" ht="22" customHeight="1">
      <x:c r="A672" s="7" t="str">
        <x:v>M0665</x:v>
      </x:c>
      <x:c r="B672" s="7" t="str">
        <x:v>RC03</x:v>
      </x:c>
      <x:c r="C672" s="7" t="str">
        <x:v>T3</x:v>
      </x:c>
      <x:c r="D672" s="7" t="str">
        <x:v>L02</x:v>
      </x:c>
      <x:c r="E672" s="7" t="str">
        <x:v>Floor slab gross</x:v>
      </x:c>
      <x:c r="F672" s="20" t="n">
        <x:v>1</x:v>
      </x:c>
      <x:c r="G672" s="20" t="n">
        <x:f>'Controls'!$B$10</x:f>
        <x:v>30</x:v>
      </x:c>
      <x:c r="H672" s="20" t="n">
        <x:f>'Controls'!$B$11</x:f>
        <x:v>24</x:v>
      </x:c>
      <x:c r="I672" s="20" t="n">
        <x:f>'Controls'!$B$13</x:f>
        <x:v>0.22</x:v>
      </x:c>
      <x:c r="J672" s="20" t="n">
        <x:v>1</x:v>
      </x:c>
      <x:c r="K672" s="20" t="n">
        <x:f>F672*G672*H672*I672*J672</x:f>
        <x:v>158.4</x:v>
      </x:c>
      <x:c r="L672" s="7" t="str">
        <x:v>Slab includes beam top flange; downstand separate</x:v>
      </x:c>
      <x:c r="M672" s="2"/>
      <x:c r="N672" s="2"/>
      <x:c r="O672" s="2"/>
      <x:c r="P672" s="2"/>
      <x:c r="Q672" s="2"/>
    </x:row>
    <x:row r="673" ht="22" customHeight="1">
      <x:c r="A673" s="2" t="str">
        <x:v>M0666</x:v>
      </x:c>
      <x:c r="B673" s="2" t="str">
        <x:v>RC03</x:v>
      </x:c>
      <x:c r="C673" s="2" t="str">
        <x:v>T3</x:v>
      </x:c>
      <x:c r="D673" s="2" t="str">
        <x:v>L02</x:v>
      </x:c>
      <x:c r="E673" s="2" t="str">
        <x:v>Stair opening deduction</x:v>
      </x:c>
      <x:c r="F673" s="21" t="n">
        <x:v>1</x:v>
      </x:c>
      <x:c r="G673" s="21" t="n">
        <x:f>'Controls'!$B$20</x:f>
        <x:v>4</x:v>
      </x:c>
      <x:c r="H673" s="21" t="n">
        <x:f>'Controls'!$B$21</x:f>
        <x:v>6</x:v>
      </x:c>
      <x:c r="I673" s="21" t="n">
        <x:f>'Controls'!$B$13</x:f>
        <x:v>0.22</x:v>
      </x:c>
      <x:c r="J673" s="21" t="n">
        <x:v>-1</x:v>
      </x:c>
      <x:c r="K673" s="21" t="n">
        <x:f>F673*G673*H673*I673*J673</x:f>
        <x:v>-5.28</x:v>
      </x:c>
      <x:c r="L673" s="2" t="str">
        <x:v>Opening OP-01</x:v>
      </x:c>
      <x:c r="M673" s="2"/>
      <x:c r="N673" s="2"/>
      <x:c r="O673" s="2"/>
      <x:c r="P673" s="2"/>
      <x:c r="Q673" s="2"/>
    </x:row>
    <x:row r="674" ht="22" customHeight="1">
      <x:c r="A674" s="7" t="str">
        <x:v>M0667</x:v>
      </x:c>
      <x:c r="B674" s="7" t="str">
        <x:v>RC04</x:v>
      </x:c>
      <x:c r="C674" s="7" t="str">
        <x:v>T3</x:v>
      </x:c>
      <x:c r="D674" s="7" t="str">
        <x:v>L02</x:v>
      </x:c>
      <x:c r="E674" s="7" t="str">
        <x:v>Beam downstands X</x:v>
      </x:c>
      <x:c r="F674" s="20" t="n">
        <x:v>1</x:v>
      </x:c>
      <x:c r="G674" s="20" t="n">
        <x:f>5*5*('Controls'!$B$10/5-'Controls'!$B$14)</x:f>
        <x:v>137.5</x:v>
      </x:c>
      <x:c r="H674" s="20" t="n">
        <x:f>'Controls'!$B$16</x:f>
        <x:v>0.3</x:v>
      </x:c>
      <x:c r="I674" s="20" t="n">
        <x:f>'Controls'!$B$17-'Controls'!$B$13</x:f>
        <x:v>0.38</x:v>
      </x:c>
      <x:c r="J674" s="20" t="n">
        <x:v>1</x:v>
      </x:c>
      <x:c r="K674" s="20" t="n">
        <x:f>F674*G674*H674*I674*J674</x:f>
        <x:v>15.675</x:v>
      </x:c>
      <x:c r="L674" s="7" t="str">
        <x:v>Clear spans between column faces; no joint overlap</x:v>
      </x:c>
      <x:c r="M674" s="2"/>
      <x:c r="N674" s="2"/>
      <x:c r="O674" s="2"/>
      <x:c r="P674" s="2"/>
      <x:c r="Q674" s="2"/>
    </x:row>
    <x:row r="675" ht="22" customHeight="1">
      <x:c r="A675" s="2" t="str">
        <x:v>M0668</x:v>
      </x:c>
      <x:c r="B675" s="2" t="str">
        <x:v>FW02</x:v>
      </x:c>
      <x:c r="C675" s="2" t="str">
        <x:v>T3</x:v>
      </x:c>
      <x:c r="D675" s="2" t="str">
        <x:v>L02</x:v>
      </x:c>
      <x:c r="E675" s="2" t="str">
        <x:v>Beam forms X</x:v>
      </x:c>
      <x:c r="F675" s="21" t="n">
        <x:v>1</x:v>
      </x:c>
      <x:c r="G675" s="21" t="n">
        <x:f>5*5*('Controls'!$B$10/5-'Controls'!$B$14)</x:f>
        <x:v>137.5</x:v>
      </x:c>
      <x:c r="H675" s="21" t="n">
        <x:f>'Controls'!$B$16+2*('Controls'!$B$17-'Controls'!$B$13)</x:f>
        <x:v>1.06</x:v>
      </x:c>
      <x:c r="I675" s="21" t="n">
        <x:v>1</x:v>
      </x:c>
      <x:c r="J675" s="21" t="n">
        <x:v>1</x:v>
      </x:c>
      <x:c r="K675" s="21" t="n">
        <x:f>F675*G675*H675*I675*J675</x:f>
        <x:v>145.75</x:v>
      </x:c>
      <x:c r="L675" s="2" t="str">
        <x:v>Soffit plus two downstand sides</x:v>
      </x:c>
      <x:c r="M675" s="2"/>
      <x:c r="N675" s="2"/>
      <x:c r="O675" s="2"/>
      <x:c r="P675" s="2"/>
      <x:c r="Q675" s="2"/>
    </x:row>
    <x:row r="676" ht="22" customHeight="1">
      <x:c r="A676" s="7" t="str">
        <x:v>M0669</x:v>
      </x:c>
      <x:c r="B676" s="7" t="str">
        <x:v>RC04</x:v>
      </x:c>
      <x:c r="C676" s="7" t="str">
        <x:v>T3</x:v>
      </x:c>
      <x:c r="D676" s="7" t="str">
        <x:v>L02</x:v>
      </x:c>
      <x:c r="E676" s="7" t="str">
        <x:v>Beam downstands Y</x:v>
      </x:c>
      <x:c r="F676" s="20" t="n">
        <x:v>1</x:v>
      </x:c>
      <x:c r="G676" s="20" t="n">
        <x:f>6*4*('Controls'!$B$11/4-'Controls'!$B$15)</x:f>
        <x:v>132</x:v>
      </x:c>
      <x:c r="H676" s="20" t="n">
        <x:f>'Controls'!$B$16</x:f>
        <x:v>0.3</x:v>
      </x:c>
      <x:c r="I676" s="20" t="n">
        <x:f>'Controls'!$B$17-'Controls'!$B$13</x:f>
        <x:v>0.38</x:v>
      </x:c>
      <x:c r="J676" s="20" t="n">
        <x:v>1</x:v>
      </x:c>
      <x:c r="K676" s="20" t="n">
        <x:f>F676*G676*H676*I676*J676</x:f>
        <x:v>15.048</x:v>
      </x:c>
      <x:c r="L676" s="7" t="str">
        <x:v>Clear spans between column faces; no joint overlap</x:v>
      </x:c>
      <x:c r="M676" s="2"/>
      <x:c r="N676" s="2"/>
      <x:c r="O676" s="2"/>
      <x:c r="P676" s="2"/>
      <x:c r="Q676" s="2"/>
    </x:row>
    <x:row r="677" ht="22" customHeight="1">
      <x:c r="A677" s="2" t="str">
        <x:v>M0670</x:v>
      </x:c>
      <x:c r="B677" s="2" t="str">
        <x:v>FW02</x:v>
      </x:c>
      <x:c r="C677" s="2" t="str">
        <x:v>T3</x:v>
      </x:c>
      <x:c r="D677" s="2" t="str">
        <x:v>L02</x:v>
      </x:c>
      <x:c r="E677" s="2" t="str">
        <x:v>Beam forms Y</x:v>
      </x:c>
      <x:c r="F677" s="21" t="n">
        <x:v>1</x:v>
      </x:c>
      <x:c r="G677" s="21" t="n">
        <x:f>6*4*('Controls'!$B$11/4-'Controls'!$B$15)</x:f>
        <x:v>132</x:v>
      </x:c>
      <x:c r="H677" s="21" t="n">
        <x:f>'Controls'!$B$16+2*('Controls'!$B$17-'Controls'!$B$13)</x:f>
        <x:v>1.06</x:v>
      </x:c>
      <x:c r="I677" s="21" t="n">
        <x:v>1</x:v>
      </x:c>
      <x:c r="J677" s="21" t="n">
        <x:v>1</x:v>
      </x:c>
      <x:c r="K677" s="21" t="n">
        <x:f>F677*G677*H677*I677*J677</x:f>
        <x:v>139.92000000000002</x:v>
      </x:c>
      <x:c r="L677" s="2" t="str">
        <x:v>Soffit plus two downstand sides</x:v>
      </x:c>
      <x:c r="M677" s="2"/>
      <x:c r="N677" s="2"/>
      <x:c r="O677" s="2"/>
      <x:c r="P677" s="2"/>
      <x:c r="Q677" s="2"/>
    </x:row>
    <x:row r="678" ht="22" customHeight="1">
      <x:c r="A678" s="7" t="str">
        <x:v>M0671</x:v>
      </x:c>
      <x:c r="B678" s="7" t="str">
        <x:v>RC05</x:v>
      </x:c>
      <x:c r="C678" s="7" t="str">
        <x:v>T3</x:v>
      </x:c>
      <x:c r="D678" s="7" t="str">
        <x:v>L02</x:v>
      </x:c>
      <x:c r="E678" s="7" t="str">
        <x:v>Thirty columns, clear storey</x:v>
      </x:c>
      <x:c r="F678" s="20" t="n">
        <x:v>30</x:v>
      </x:c>
      <x:c r="G678" s="20" t="n">
        <x:f>'Controls'!$B$14</x:f>
        <x:v>0.5</x:v>
      </x:c>
      <x:c r="H678" s="20" t="n">
        <x:f>'Controls'!$B$15</x:f>
        <x:v>0.5</x:v>
      </x:c>
      <x:c r="I678" s="20" t="n">
        <x:f>'Controls'!$B$12-'Controls'!$B$13</x:f>
        <x:v>2.98</x:v>
      </x:c>
      <x:c r="J678" s="20" t="n">
        <x:v>1</x:v>
      </x:c>
      <x:c r="K678" s="20" t="n">
        <x:f>F678*G678*H678*I678*J678</x:f>
        <x:v>22.35</x:v>
      </x:c>
      <x:c r="L678" s="7" t="str">
        <x:v>Slab volume excluded from columns</x:v>
      </x:c>
      <x:c r="M678" s="2"/>
      <x:c r="N678" s="2"/>
      <x:c r="O678" s="2"/>
      <x:c r="P678" s="2"/>
      <x:c r="Q678" s="2"/>
    </x:row>
    <x:row r="679" ht="22" customHeight="1">
      <x:c r="A679" s="2" t="str">
        <x:v>M0672</x:v>
      </x:c>
      <x:c r="B679" s="2" t="str">
        <x:v>RC06</x:v>
      </x:c>
      <x:c r="C679" s="2" t="str">
        <x:v>T3</x:v>
      </x:c>
      <x:c r="D679" s="2" t="str">
        <x:v>L02</x:v>
      </x:c>
      <x:c r="E679" s="2" t="str">
        <x:v>Core walls clear storey</x:v>
      </x:c>
      <x:c r="F679" s="21" t="n">
        <x:v>1</x:v>
      </x:c>
      <x:c r="G679" s="21" t="n">
        <x:f>'Controls'!$B$19</x:f>
        <x:v>24</x:v>
      </x:c>
      <x:c r="H679" s="21" t="n">
        <x:f>'Controls'!$B$18</x:f>
        <x:v>0.25</x:v>
      </x:c>
      <x:c r="I679" s="21" t="n">
        <x:f>'Controls'!$B$12-'Controls'!$B$13</x:f>
        <x:v>2.98</x:v>
      </x:c>
      <x:c r="J679" s="21" t="n">
        <x:v>1</x:v>
      </x:c>
      <x:c r="K679" s="21" t="n">
        <x:f>F679*G679*H679*I679*J679</x:f>
        <x:v>17.88</x:v>
      </x:c>
      <x:c r="L679" s="2" t="str">
        <x:v>Net clear wall length excludes corners</x:v>
      </x:c>
      <x:c r="M679" s="2"/>
      <x:c r="N679" s="2"/>
      <x:c r="O679" s="2"/>
      <x:c r="P679" s="2"/>
      <x:c r="Q679" s="2"/>
    </x:row>
    <x:row r="680" ht="22" customHeight="1">
      <x:c r="A680" s="7" t="str">
        <x:v>M0673</x:v>
      </x:c>
      <x:c r="B680" s="7" t="str">
        <x:v>RC07</x:v>
      </x:c>
      <x:c r="C680" s="7" t="str">
        <x:v>T3</x:v>
      </x:c>
      <x:c r="D680" s="7" t="str">
        <x:v>L02</x:v>
      </x:c>
      <x:c r="E680" s="7" t="str">
        <x:v>Stair flights waist</x:v>
      </x:c>
      <x:c r="F680" s="20" t="n">
        <x:v>2</x:v>
      </x:c>
      <x:c r="G680" s="20" t="n">
        <x:v>4.1</x:v>
      </x:c>
      <x:c r="H680" s="20" t="n">
        <x:v>1.2</x:v>
      </x:c>
      <x:c r="I680" s="20" t="n">
        <x:v>0.18</x:v>
      </x:c>
      <x:c r="J680" s="20" t="n">
        <x:v>1</x:v>
      </x:c>
      <x:c r="K680" s="20" t="n">
        <x:f>F680*G680*H680*I680*J680</x:f>
        <x:v>1.7711999999999997</x:v>
      </x:c>
      <x:c r="L680" s="7" t="str">
        <x:v>Two flights; geometry separate from floor slab</x:v>
      </x:c>
      <x:c r="M680" s="2"/>
      <x:c r="N680" s="2"/>
      <x:c r="O680" s="2"/>
      <x:c r="P680" s="2"/>
      <x:c r="Q680" s="2"/>
    </x:row>
    <x:row r="681" ht="22" customHeight="1">
      <x:c r="A681" s="2" t="str">
        <x:v>M0674</x:v>
      </x:c>
      <x:c r="B681" s="2" t="str">
        <x:v>RC07</x:v>
      </x:c>
      <x:c r="C681" s="2" t="str">
        <x:v>T3</x:v>
      </x:c>
      <x:c r="D681" s="2" t="str">
        <x:v>L02</x:v>
      </x:c>
      <x:c r="E681" s="2" t="str">
        <x:v>Stair landings</x:v>
      </x:c>
      <x:c r="F681" s="21" t="n">
        <x:v>2</x:v>
      </x:c>
      <x:c r="G681" s="21" t="n">
        <x:v>2</x:v>
      </x:c>
      <x:c r="H681" s="21" t="n">
        <x:v>1.2</x:v>
      </x:c>
      <x:c r="I681" s="21" t="n">
        <x:v>0.18</x:v>
      </x:c>
      <x:c r="J681" s="21" t="n">
        <x:v>1</x:v>
      </x:c>
      <x:c r="K681" s="21" t="n">
        <x:f>F681*G681*H681*I681*J681</x:f>
        <x:v>0.864</x:v>
      </x:c>
      <x:c r="L681" s="2" t="str">
        <x:v>Within stair opening</x:v>
      </x:c>
      <x:c r="M681" s="2"/>
      <x:c r="N681" s="2"/>
      <x:c r="O681" s="2"/>
      <x:c r="P681" s="2"/>
      <x:c r="Q681" s="2"/>
    </x:row>
    <x:row r="682" ht="22" customHeight="1">
      <x:c r="A682" s="7" t="str">
        <x:v>M0675</x:v>
      </x:c>
      <x:c r="B682" s="7" t="str">
        <x:v>FW01</x:v>
      </x:c>
      <x:c r="C682" s="7" t="str">
        <x:v>T3</x:v>
      </x:c>
      <x:c r="D682" s="7" t="str">
        <x:v>L02</x:v>
      </x:c>
      <x:c r="E682" s="7" t="str">
        <x:v>Slab soffit gross</x:v>
      </x:c>
      <x:c r="F682" s="20" t="n">
        <x:v>1</x:v>
      </x:c>
      <x:c r="G682" s="20" t="n">
        <x:f>'Controls'!$B$10</x:f>
        <x:v>30</x:v>
      </x:c>
      <x:c r="H682" s="20" t="n">
        <x:f>'Controls'!$B$11</x:f>
        <x:v>24</x:v>
      </x:c>
      <x:c r="I682" s="20" t="n">
        <x:v>1</x:v>
      </x:c>
      <x:c r="J682" s="20" t="n">
        <x:v>1</x:v>
      </x:c>
      <x:c r="K682" s="20" t="n">
        <x:f>F682*G682*H682*I682*J682</x:f>
        <x:v>720</x:v>
      </x:c>
      <x:c r="L682" s="7" t="str">
        <x:v>Beam soffit deducted below</x:v>
      </x:c>
      <x:c r="M682" s="2"/>
      <x:c r="N682" s="2"/>
      <x:c r="O682" s="2"/>
      <x:c r="P682" s="2"/>
      <x:c r="Q682" s="2"/>
    </x:row>
    <x:row r="683" ht="22" customHeight="1">
      <x:c r="A683" s="2" t="str">
        <x:v>M0676</x:v>
      </x:c>
      <x:c r="B683" s="2" t="str">
        <x:v>FW01</x:v>
      </x:c>
      <x:c r="C683" s="2" t="str">
        <x:v>T3</x:v>
      </x:c>
      <x:c r="D683" s="2" t="str">
        <x:v>L02</x:v>
      </x:c>
      <x:c r="E683" s="2" t="str">
        <x:v>Stair opening deduction</x:v>
      </x:c>
      <x:c r="F683" s="21" t="n">
        <x:v>1</x:v>
      </x:c>
      <x:c r="G683" s="21" t="n">
        <x:f>'Controls'!$B$20</x:f>
        <x:v>4</x:v>
      </x:c>
      <x:c r="H683" s="21" t="n">
        <x:f>'Controls'!$B$21</x:f>
        <x:v>6</x:v>
      </x:c>
      <x:c r="I683" s="21" t="n">
        <x:v>1</x:v>
      </x:c>
      <x:c r="J683" s="21" t="n">
        <x:v>-1</x:v>
      </x:c>
      <x:c r="K683" s="21" t="n">
        <x:f>F683*G683*H683*I683*J683</x:f>
        <x:v>-24</x:v>
      </x:c>
      <x:c r="L683" s="2" t="str">
        <x:v>OP-01</x:v>
      </x:c>
      <x:c r="M683" s="2"/>
      <x:c r="N683" s="2"/>
      <x:c r="O683" s="2"/>
      <x:c r="P683" s="2"/>
      <x:c r="Q683" s="2"/>
    </x:row>
    <x:row r="684" ht="22" customHeight="1">
      <x:c r="A684" s="7" t="str">
        <x:v>M0677</x:v>
      </x:c>
      <x:c r="B684" s="7" t="str">
        <x:v>FW01</x:v>
      </x:c>
      <x:c r="C684" s="7" t="str">
        <x:v>T3</x:v>
      </x:c>
      <x:c r="D684" s="7" t="str">
        <x:v>L02</x:v>
      </x:c>
      <x:c r="E684" s="7" t="str">
        <x:v>Beam soffit deduction</x:v>
      </x:c>
      <x:c r="F684" s="20" t="n">
        <x:v>1</x:v>
      </x:c>
      <x:c r="G684" s="20" t="n">
        <x:f>5*5*('Controls'!$B$10/5-'Controls'!$B$14)+6*4*('Controls'!$B$11/4-'Controls'!$B$15)</x:f>
        <x:v>269.5</x:v>
      </x:c>
      <x:c r="H684" s="20" t="n">
        <x:f>'Controls'!$B$16</x:f>
        <x:v>0.3</x:v>
      </x:c>
      <x:c r="I684" s="20" t="n">
        <x:v>1</x:v>
      </x:c>
      <x:c r="J684" s="20" t="n">
        <x:v>-1</x:v>
      </x:c>
      <x:c r="K684" s="20" t="n">
        <x:f>F684*G684*H684*I684*J684</x:f>
        <x:v>-80.85</x:v>
      </x:c>
      <x:c r="L684" s="7" t="str">
        <x:v>Beam forms measured in FW02</x:v>
      </x:c>
      <x:c r="M684" s="2"/>
      <x:c r="N684" s="2"/>
      <x:c r="O684" s="2"/>
      <x:c r="P684" s="2"/>
      <x:c r="Q684" s="2"/>
    </x:row>
    <x:row r="685" ht="22" customHeight="1">
      <x:c r="A685" s="2" t="str">
        <x:v>M0678</x:v>
      </x:c>
      <x:c r="B685" s="2" t="str">
        <x:v>FW03</x:v>
      </x:c>
      <x:c r="C685" s="2" t="str">
        <x:v>T3</x:v>
      </x:c>
      <x:c r="D685" s="2" t="str">
        <x:v>L02</x:v>
      </x:c>
      <x:c r="E685" s="2" t="str">
        <x:v>Column four faces</x:v>
      </x:c>
      <x:c r="F685" s="21" t="n">
        <x:v>30</x:v>
      </x:c>
      <x:c r="G685" s="21" t="n">
        <x:f>2*('Controls'!$B$14+'Controls'!$B$15)</x:f>
        <x:v>2</x:v>
      </x:c>
      <x:c r="H685" s="21" t="n">
        <x:f>'Controls'!$B$12-'Controls'!$B$13</x:f>
        <x:v>2.98</x:v>
      </x:c>
      <x:c r="I685" s="21" t="n">
        <x:v>1</x:v>
      </x:c>
      <x:c r="J685" s="21" t="n">
        <x:v>1</x:v>
      </x:c>
      <x:c r="K685" s="21" t="n">
        <x:f>F685*G685*H685*I685*J685</x:f>
        <x:v>178.8</x:v>
      </x:c>
      <x:c r="L685" s="2" t="str">
        <x:v>Clear floor-to-soffit</x:v>
      </x:c>
      <x:c r="M685" s="2"/>
      <x:c r="N685" s="2"/>
      <x:c r="O685" s="2"/>
      <x:c r="P685" s="2"/>
      <x:c r="Q685" s="2"/>
    </x:row>
    <x:row r="686" ht="22" customHeight="1">
      <x:c r="A686" s="7" t="str">
        <x:v>M0679</x:v>
      </x:c>
      <x:c r="B686" s="7" t="str">
        <x:v>FW04</x:v>
      </x:c>
      <x:c r="C686" s="7" t="str">
        <x:v>T3</x:v>
      </x:c>
      <x:c r="D686" s="7" t="str">
        <x:v>L02</x:v>
      </x:c>
      <x:c r="E686" s="7" t="str">
        <x:v>Core wall two faces</x:v>
      </x:c>
      <x:c r="F686" s="20" t="n">
        <x:v>2</x:v>
      </x:c>
      <x:c r="G686" s="20" t="n">
        <x:f>'Controls'!$B$19</x:f>
        <x:v>24</x:v>
      </x:c>
      <x:c r="H686" s="20" t="n">
        <x:f>'Controls'!$B$12-'Controls'!$B$13</x:f>
        <x:v>2.98</x:v>
      </x:c>
      <x:c r="I686" s="20" t="n">
        <x:v>1</x:v>
      </x:c>
      <x:c r="J686" s="20" t="n">
        <x:v>1</x:v>
      </x:c>
      <x:c r="K686" s="20" t="n">
        <x:f>F686*G686*H686*I686*J686</x:f>
        <x:v>143.04</x:v>
      </x:c>
      <x:c r="L686" s="7" t="str">
        <x:v>Net perimeter, no repeated corners</x:v>
      </x:c>
      <x:c r="M686" s="2"/>
      <x:c r="N686" s="2"/>
      <x:c r="O686" s="2"/>
      <x:c r="P686" s="2"/>
      <x:c r="Q686" s="2"/>
    </x:row>
    <x:row r="687" ht="22" customHeight="1">
      <x:c r="A687" s="2" t="str">
        <x:v>M0680</x:v>
      </x:c>
      <x:c r="B687" s="2" t="str">
        <x:v>AR01</x:v>
      </x:c>
      <x:c r="C687" s="2" t="str">
        <x:v>T3</x:v>
      </x:c>
      <x:c r="D687" s="2" t="str">
        <x:v>L02</x:v>
      </x:c>
      <x:c r="E687" s="2" t="str">
        <x:v>Partition walls gross</x:v>
      </x:c>
      <x:c r="F687" s="21" t="n">
        <x:v>1</x:v>
      </x:c>
      <x:c r="G687" s="21" t="n">
        <x:f>'Controls'!$B$45</x:f>
        <x:v>220</x:v>
      </x:c>
      <x:c r="H687" s="21" t="n">
        <x:f>'Controls'!$B$12-'Controls'!$B$13</x:f>
        <x:v>2.98</x:v>
      </x:c>
      <x:c r="I687" s="21" t="n">
        <x:f>'Controls'!$B$46</x:f>
        <x:v>0.15</x:v>
      </x:c>
      <x:c r="J687" s="21" t="n">
        <x:v>1</x:v>
      </x:c>
      <x:c r="K687" s="21" t="n">
        <x:f>F687*G687*H687*I687*J687</x:f>
        <x:v>98.34</x:v>
      </x:c>
      <x:c r="L687" s="2" t="str">
        <x:v>Net openings deducted below</x:v>
      </x:c>
      <x:c r="M687" s="2"/>
      <x:c r="N687" s="2"/>
      <x:c r="O687" s="2"/>
      <x:c r="P687" s="2"/>
      <x:c r="Q687" s="2"/>
    </x:row>
    <x:row r="688" ht="22" customHeight="1">
      <x:c r="A688" s="7" t="str">
        <x:v>M0681</x:v>
      </x:c>
      <x:c r="B688" s="7" t="str">
        <x:v>AR01</x:v>
      </x:c>
      <x:c r="C688" s="7" t="str">
        <x:v>T3</x:v>
      </x:c>
      <x:c r="D688" s="7" t="str">
        <x:v>L02</x:v>
      </x:c>
      <x:c r="E688" s="7" t="str">
        <x:v>Internal doors deduction</x:v>
      </x:c>
      <x:c r="F688" s="20" t="n">
        <x:f>'Controls'!$B$48</x:f>
        <x:v>28</x:v>
      </x:c>
      <x:c r="G688" s="20" t="n">
        <x:f>'Controls'!$B$49</x:f>
        <x:v>0.9</x:v>
      </x:c>
      <x:c r="H688" s="20" t="n">
        <x:f>'Controls'!$B$50</x:f>
        <x:v>2.1</x:v>
      </x:c>
      <x:c r="I688" s="20" t="n">
        <x:f>'Controls'!$B$46</x:f>
        <x:v>0.15</x:v>
      </x:c>
      <x:c r="J688" s="20" t="n">
        <x:v>-1</x:v>
      </x:c>
      <x:c r="K688" s="20" t="n">
        <x:f>F688*G688*H688*I688*J688</x:f>
        <x:v>-7.938</x:v>
      </x:c>
      <x:c r="L688" s="7" t="str">
        <x:v>28 doors per floor, OP-02</x:v>
      </x:c>
      <x:c r="M688" s="2"/>
      <x:c r="N688" s="2"/>
      <x:c r="O688" s="2"/>
      <x:c r="P688" s="2"/>
      <x:c r="Q688" s="2"/>
    </x:row>
    <x:row r="689" ht="22" customHeight="1">
      <x:c r="A689" s="2" t="str">
        <x:v>M0682</x:v>
      </x:c>
      <x:c r="B689" s="2" t="str">
        <x:v>AR02</x:v>
      </x:c>
      <x:c r="C689" s="2" t="str">
        <x:v>T3</x:v>
      </x:c>
      <x:c r="D689" s="2" t="str">
        <x:v>L02</x:v>
      </x:c>
      <x:c r="E689" s="2" t="str">
        <x:v>Internal plaster gross</x:v>
      </x:c>
      <x:c r="F689" s="21" t="n">
        <x:v>2</x:v>
      </x:c>
      <x:c r="G689" s="21" t="n">
        <x:f>'Controls'!$B$45</x:f>
        <x:v>220</x:v>
      </x:c>
      <x:c r="H689" s="21" t="n">
        <x:f>'Controls'!$B$12-'Controls'!$B$13</x:f>
        <x:v>2.98</x:v>
      </x:c>
      <x:c r="I689" s="21" t="n">
        <x:v>1</x:v>
      </x:c>
      <x:c r="J689" s="21" t="n">
        <x:v>1</x:v>
      </x:c>
      <x:c r="K689" s="21" t="n">
        <x:f>F689*G689*H689*I689*J689</x:f>
        <x:v>1311.2</x:v>
      </x:c>
      <x:c r="L689" s="2" t="str">
        <x:v>Both faces of partition walls</x:v>
      </x:c>
      <x:c r="M689" s="2"/>
      <x:c r="N689" s="2"/>
      <x:c r="O689" s="2"/>
      <x:c r="P689" s="2"/>
      <x:c r="Q689" s="2"/>
    </x:row>
    <x:row r="690" ht="22" customHeight="1">
      <x:c r="A690" s="7" t="str">
        <x:v>M0683</x:v>
      </x:c>
      <x:c r="B690" s="7" t="str">
        <x:v>AR02</x:v>
      </x:c>
      <x:c r="C690" s="7" t="str">
        <x:v>T3</x:v>
      </x:c>
      <x:c r="D690" s="7" t="str">
        <x:v>L02</x:v>
      </x:c>
      <x:c r="E690" s="7" t="str">
        <x:v>Door area deduction both faces</x:v>
      </x:c>
      <x:c r="F690" s="20" t="n">
        <x:f>2*'Controls'!$B$48</x:f>
        <x:v>56</x:v>
      </x:c>
      <x:c r="G690" s="20" t="n">
        <x:f>'Controls'!$B$49</x:f>
        <x:v>0.9</x:v>
      </x:c>
      <x:c r="H690" s="20" t="n">
        <x:f>'Controls'!$B$50</x:f>
        <x:v>2.1</x:v>
      </x:c>
      <x:c r="I690" s="20" t="n">
        <x:v>1</x:v>
      </x:c>
      <x:c r="J690" s="20" t="n">
        <x:v>-1</x:v>
      </x:c>
      <x:c r="K690" s="20" t="n">
        <x:f>F690*G690*H690*I690*J690</x:f>
        <x:v>-105.84</x:v>
      </x:c>
      <x:c r="L690" s="7" t="str">
        <x:v>No plaster over openings</x:v>
      </x:c>
      <x:c r="M690" s="2"/>
      <x:c r="N690" s="2"/>
      <x:c r="O690" s="2"/>
      <x:c r="P690" s="2"/>
      <x:c r="Q690" s="2"/>
    </x:row>
    <x:row r="691" ht="22" customHeight="1">
      <x:c r="A691" s="2" t="str">
        <x:v>M0684</x:v>
      </x:c>
      <x:c r="B691" s="2" t="str">
        <x:v>AR03</x:v>
      </x:c>
      <x:c r="C691" s="2" t="str">
        <x:v>T3</x:v>
      </x:c>
      <x:c r="D691" s="2" t="str">
        <x:v>L02</x:v>
      </x:c>
      <x:c r="E691" s="2" t="str">
        <x:v>Floor screed net</x:v>
      </x:c>
      <x:c r="F691" s="21" t="n">
        <x:v>1</x:v>
      </x:c>
      <x:c r="G691" s="21" t="n">
        <x:f>'Controls'!$B$10*'Controls'!$B$11-'Controls'!$B$20*'Controls'!$B$21</x:f>
        <x:v>696</x:v>
      </x:c>
      <x:c r="H691" s="21" t="n">
        <x:v>1</x:v>
      </x:c>
      <x:c r="I691" s="21" t="n">
        <x:v>1</x:v>
      </x:c>
      <x:c r="J691" s="21" t="n">
        <x:v>1</x:v>
      </x:c>
      <x:c r="K691" s="21" t="n">
        <x:f>F691*G691*H691*I691*J691</x:f>
        <x:v>696</x:v>
      </x:c>
      <x:c r="L691" s="2" t="str">
        <x:v>Net structural floor area</x:v>
      </x:c>
      <x:c r="M691" s="2"/>
      <x:c r="N691" s="2"/>
      <x:c r="O691" s="2"/>
      <x:c r="P691" s="2"/>
      <x:c r="Q691" s="2"/>
    </x:row>
    <x:row r="692" ht="22" customHeight="1">
      <x:c r="A692" s="7" t="str">
        <x:v>M0685</x:v>
      </x:c>
      <x:c r="B692" s="7" t="str">
        <x:v>AR04</x:v>
      </x:c>
      <x:c r="C692" s="7" t="str">
        <x:v>T3</x:v>
      </x:c>
      <x:c r="D692" s="7" t="str">
        <x:v>L02</x:v>
      </x:c>
      <x:c r="E692" s="7" t="str">
        <x:v>Floor finish net</x:v>
      </x:c>
      <x:c r="F692" s="20" t="n">
        <x:v>1</x:v>
      </x:c>
      <x:c r="G692" s="20" t="n">
        <x:f>'Controls'!$B$10*'Controls'!$B$11-'Controls'!$B$20*'Controls'!$B$21</x:f>
        <x:v>696</x:v>
      </x:c>
      <x:c r="H692" s="20" t="n">
        <x:v>1</x:v>
      </x:c>
      <x:c r="I692" s="20" t="n">
        <x:v>1</x:v>
      </x:c>
      <x:c r="J692" s="20" t="n">
        <x:v>1</x:v>
      </x:c>
      <x:c r="K692" s="20" t="n">
        <x:f>F692*G692*H692*I692*J692</x:f>
        <x:v>696</x:v>
      </x:c>
      <x:c r="L692" s="7" t="str">
        <x:v>Waste excluded from BOQ</x:v>
      </x:c>
      <x:c r="M692" s="2"/>
      <x:c r="N692" s="2"/>
      <x:c r="O692" s="2"/>
      <x:c r="P692" s="2"/>
      <x:c r="Q692" s="2"/>
    </x:row>
    <x:row r="693" ht="22" customHeight="1">
      <x:c r="A693" s="2" t="str">
        <x:v>M0686</x:v>
      </x:c>
      <x:c r="B693" s="2" t="str">
        <x:v>AR05</x:v>
      </x:c>
      <x:c r="C693" s="2" t="str">
        <x:v>T3</x:v>
      </x:c>
      <x:c r="D693" s="2" t="str">
        <x:v>L02</x:v>
      </x:c>
      <x:c r="E693" s="2" t="str">
        <x:v>Internal wall paint net</x:v>
      </x:c>
      <x:c r="F693" s="21" t="n">
        <x:v>2</x:v>
      </x:c>
      <x:c r="G693" s="21" t="n">
        <x:f>'Controls'!$B$45*('Controls'!$B$12-'Controls'!$B$13)-'Controls'!$B$48*'Controls'!$B$49*'Controls'!$B$50</x:f>
        <x:v>602.6800000000001</x:v>
      </x:c>
      <x:c r="H693" s="21" t="n">
        <x:v>1</x:v>
      </x:c>
      <x:c r="I693" s="21" t="n">
        <x:v>1</x:v>
      </x:c>
      <x:c r="J693" s="21" t="n">
        <x:v>1</x:v>
      </x:c>
      <x:c r="K693" s="21" t="n">
        <x:f>F693*G693*H693*I693*J693</x:f>
        <x:v>1205.3600000000001</x:v>
      </x:c>
      <x:c r="L693" s="2" t="str">
        <x:v>Finished area; two coats priced in rate</x:v>
      </x:c>
      <x:c r="M693" s="2"/>
      <x:c r="N693" s="2"/>
      <x:c r="O693" s="2"/>
      <x:c r="P693" s="2"/>
      <x:c r="Q693" s="2"/>
    </x:row>
    <x:row r="694" ht="22" customHeight="1">
      <x:c r="A694" s="7" t="str">
        <x:v>M0687</x:v>
      </x:c>
      <x:c r="B694" s="7" t="str">
        <x:v>AR06</x:v>
      </x:c>
      <x:c r="C694" s="7" t="str">
        <x:v>T3</x:v>
      </x:c>
      <x:c r="D694" s="7" t="str">
        <x:v>L02</x:v>
      </x:c>
      <x:c r="E694" s="7" t="str">
        <x:v>Door sets</x:v>
      </x:c>
      <x:c r="F694" s="20" t="n">
        <x:f>'Controls'!$B$48</x:f>
        <x:v>28</x:v>
      </x:c>
      <x:c r="G694" s="20" t="n">
        <x:v>1</x:v>
      </x:c>
      <x:c r="H694" s="20" t="n">
        <x:v>1</x:v>
      </x:c>
      <x:c r="I694" s="20" t="n">
        <x:v>1</x:v>
      </x:c>
      <x:c r="J694" s="20" t="n">
        <x:v>1</x:v>
      </x:c>
      <x:c r="K694" s="20" t="n">
        <x:f>F694*G694*H694*I694*J694</x:f>
        <x:v>28</x:v>
      </x:c>
      <x:c r="L694" s="7" t="str">
        <x:v>Door count, not double face</x:v>
      </x:c>
      <x:c r="M694" s="2"/>
      <x:c r="N694" s="2"/>
      <x:c r="O694" s="2"/>
      <x:c r="P694" s="2"/>
      <x:c r="Q694" s="2"/>
    </x:row>
    <x:row r="695" ht="22" customHeight="1">
      <x:c r="A695" s="2" t="str">
        <x:v>M0688</x:v>
      </x:c>
      <x:c r="B695" s="2" t="str">
        <x:v>RC03</x:v>
      </x:c>
      <x:c r="C695" s="2" t="str">
        <x:v>T3</x:v>
      </x:c>
      <x:c r="D695" s="2" t="str">
        <x:v>L03</x:v>
      </x:c>
      <x:c r="E695" s="2" t="str">
        <x:v>Floor slab gross</x:v>
      </x:c>
      <x:c r="F695" s="21" t="n">
        <x:v>1</x:v>
      </x:c>
      <x:c r="G695" s="21" t="n">
        <x:f>'Controls'!$B$10</x:f>
        <x:v>30</x:v>
      </x:c>
      <x:c r="H695" s="21" t="n">
        <x:f>'Controls'!$B$11</x:f>
        <x:v>24</x:v>
      </x:c>
      <x:c r="I695" s="21" t="n">
        <x:f>'Controls'!$B$13</x:f>
        <x:v>0.22</x:v>
      </x:c>
      <x:c r="J695" s="21" t="n">
        <x:v>1</x:v>
      </x:c>
      <x:c r="K695" s="21" t="n">
        <x:f>F695*G695*H695*I695*J695</x:f>
        <x:v>158.4</x:v>
      </x:c>
      <x:c r="L695" s="2" t="str">
        <x:v>Slab includes beam top flange; downstand separate</x:v>
      </x:c>
      <x:c r="M695" s="2"/>
      <x:c r="N695" s="2"/>
      <x:c r="O695" s="2"/>
      <x:c r="P695" s="2"/>
      <x:c r="Q695" s="2"/>
    </x:row>
    <x:row r="696" ht="22" customHeight="1">
      <x:c r="A696" s="7" t="str">
        <x:v>M0689</x:v>
      </x:c>
      <x:c r="B696" s="7" t="str">
        <x:v>RC03</x:v>
      </x:c>
      <x:c r="C696" s="7" t="str">
        <x:v>T3</x:v>
      </x:c>
      <x:c r="D696" s="7" t="str">
        <x:v>L03</x:v>
      </x:c>
      <x:c r="E696" s="7" t="str">
        <x:v>Stair opening deduction</x:v>
      </x:c>
      <x:c r="F696" s="20" t="n">
        <x:v>1</x:v>
      </x:c>
      <x:c r="G696" s="20" t="n">
        <x:f>'Controls'!$B$20</x:f>
        <x:v>4</x:v>
      </x:c>
      <x:c r="H696" s="20" t="n">
        <x:f>'Controls'!$B$21</x:f>
        <x:v>6</x:v>
      </x:c>
      <x:c r="I696" s="20" t="n">
        <x:f>'Controls'!$B$13</x:f>
        <x:v>0.22</x:v>
      </x:c>
      <x:c r="J696" s="20" t="n">
        <x:v>-1</x:v>
      </x:c>
      <x:c r="K696" s="20" t="n">
        <x:f>F696*G696*H696*I696*J696</x:f>
        <x:v>-5.28</x:v>
      </x:c>
      <x:c r="L696" s="7" t="str">
        <x:v>Opening OP-01</x:v>
      </x:c>
      <x:c r="M696" s="2"/>
      <x:c r="N696" s="2"/>
      <x:c r="O696" s="2"/>
      <x:c r="P696" s="2"/>
      <x:c r="Q696" s="2"/>
    </x:row>
    <x:row r="697" ht="22" customHeight="1">
      <x:c r="A697" s="2" t="str">
        <x:v>M0690</x:v>
      </x:c>
      <x:c r="B697" s="2" t="str">
        <x:v>RC04</x:v>
      </x:c>
      <x:c r="C697" s="2" t="str">
        <x:v>T3</x:v>
      </x:c>
      <x:c r="D697" s="2" t="str">
        <x:v>L03</x:v>
      </x:c>
      <x:c r="E697" s="2" t="str">
        <x:v>Beam downstands X</x:v>
      </x:c>
      <x:c r="F697" s="21" t="n">
        <x:v>1</x:v>
      </x:c>
      <x:c r="G697" s="21" t="n">
        <x:f>5*5*('Controls'!$B$10/5-'Controls'!$B$14)</x:f>
        <x:v>137.5</x:v>
      </x:c>
      <x:c r="H697" s="21" t="n">
        <x:f>'Controls'!$B$16</x:f>
        <x:v>0.3</x:v>
      </x:c>
      <x:c r="I697" s="21" t="n">
        <x:f>'Controls'!$B$17-'Controls'!$B$13</x:f>
        <x:v>0.38</x:v>
      </x:c>
      <x:c r="J697" s="21" t="n">
        <x:v>1</x:v>
      </x:c>
      <x:c r="K697" s="21" t="n">
        <x:f>F697*G697*H697*I697*J697</x:f>
        <x:v>15.675</x:v>
      </x:c>
      <x:c r="L697" s="2" t="str">
        <x:v>Clear spans between column faces; no joint overlap</x:v>
      </x:c>
      <x:c r="M697" s="2"/>
      <x:c r="N697" s="2"/>
      <x:c r="O697" s="2"/>
      <x:c r="P697" s="2"/>
      <x:c r="Q697" s="2"/>
    </x:row>
    <x:row r="698" ht="22" customHeight="1">
      <x:c r="A698" s="7" t="str">
        <x:v>M0691</x:v>
      </x:c>
      <x:c r="B698" s="7" t="str">
        <x:v>FW02</x:v>
      </x:c>
      <x:c r="C698" s="7" t="str">
        <x:v>T3</x:v>
      </x:c>
      <x:c r="D698" s="7" t="str">
        <x:v>L03</x:v>
      </x:c>
      <x:c r="E698" s="7" t="str">
        <x:v>Beam forms X</x:v>
      </x:c>
      <x:c r="F698" s="20" t="n">
        <x:v>1</x:v>
      </x:c>
      <x:c r="G698" s="20" t="n">
        <x:f>5*5*('Controls'!$B$10/5-'Controls'!$B$14)</x:f>
        <x:v>137.5</x:v>
      </x:c>
      <x:c r="H698" s="20" t="n">
        <x:f>'Controls'!$B$16+2*('Controls'!$B$17-'Controls'!$B$13)</x:f>
        <x:v>1.06</x:v>
      </x:c>
      <x:c r="I698" s="20" t="n">
        <x:v>1</x:v>
      </x:c>
      <x:c r="J698" s="20" t="n">
        <x:v>1</x:v>
      </x:c>
      <x:c r="K698" s="20" t="n">
        <x:f>F698*G698*H698*I698*J698</x:f>
        <x:v>145.75</x:v>
      </x:c>
      <x:c r="L698" s="7" t="str">
        <x:v>Soffit plus two downstand sides</x:v>
      </x:c>
      <x:c r="M698" s="2"/>
      <x:c r="N698" s="2"/>
      <x:c r="O698" s="2"/>
      <x:c r="P698" s="2"/>
      <x:c r="Q698" s="2"/>
    </x:row>
    <x:row r="699" ht="22" customHeight="1">
      <x:c r="A699" s="2" t="str">
        <x:v>M0692</x:v>
      </x:c>
      <x:c r="B699" s="2" t="str">
        <x:v>RC04</x:v>
      </x:c>
      <x:c r="C699" s="2" t="str">
        <x:v>T3</x:v>
      </x:c>
      <x:c r="D699" s="2" t="str">
        <x:v>L03</x:v>
      </x:c>
      <x:c r="E699" s="2" t="str">
        <x:v>Beam downstands Y</x:v>
      </x:c>
      <x:c r="F699" s="21" t="n">
        <x:v>1</x:v>
      </x:c>
      <x:c r="G699" s="21" t="n">
        <x:f>6*4*('Controls'!$B$11/4-'Controls'!$B$15)</x:f>
        <x:v>132</x:v>
      </x:c>
      <x:c r="H699" s="21" t="n">
        <x:f>'Controls'!$B$16</x:f>
        <x:v>0.3</x:v>
      </x:c>
      <x:c r="I699" s="21" t="n">
        <x:f>'Controls'!$B$17-'Controls'!$B$13</x:f>
        <x:v>0.38</x:v>
      </x:c>
      <x:c r="J699" s="21" t="n">
        <x:v>1</x:v>
      </x:c>
      <x:c r="K699" s="21" t="n">
        <x:f>F699*G699*H699*I699*J699</x:f>
        <x:v>15.048</x:v>
      </x:c>
      <x:c r="L699" s="2" t="str">
        <x:v>Clear spans between column faces; no joint overlap</x:v>
      </x:c>
      <x:c r="M699" s="2"/>
      <x:c r="N699" s="2"/>
      <x:c r="O699" s="2"/>
      <x:c r="P699" s="2"/>
      <x:c r="Q699" s="2"/>
    </x:row>
    <x:row r="700" ht="22" customHeight="1">
      <x:c r="A700" s="7" t="str">
        <x:v>M0693</x:v>
      </x:c>
      <x:c r="B700" s="7" t="str">
        <x:v>FW02</x:v>
      </x:c>
      <x:c r="C700" s="7" t="str">
        <x:v>T3</x:v>
      </x:c>
      <x:c r="D700" s="7" t="str">
        <x:v>L03</x:v>
      </x:c>
      <x:c r="E700" s="7" t="str">
        <x:v>Beam forms Y</x:v>
      </x:c>
      <x:c r="F700" s="20" t="n">
        <x:v>1</x:v>
      </x:c>
      <x:c r="G700" s="20" t="n">
        <x:f>6*4*('Controls'!$B$11/4-'Controls'!$B$15)</x:f>
        <x:v>132</x:v>
      </x:c>
      <x:c r="H700" s="20" t="n">
        <x:f>'Controls'!$B$16+2*('Controls'!$B$17-'Controls'!$B$13)</x:f>
        <x:v>1.06</x:v>
      </x:c>
      <x:c r="I700" s="20" t="n">
        <x:v>1</x:v>
      </x:c>
      <x:c r="J700" s="20" t="n">
        <x:v>1</x:v>
      </x:c>
      <x:c r="K700" s="20" t="n">
        <x:f>F700*G700*H700*I700*J700</x:f>
        <x:v>139.92000000000002</x:v>
      </x:c>
      <x:c r="L700" s="7" t="str">
        <x:v>Soffit plus two downstand sides</x:v>
      </x:c>
      <x:c r="M700" s="2"/>
      <x:c r="N700" s="2"/>
      <x:c r="O700" s="2"/>
      <x:c r="P700" s="2"/>
      <x:c r="Q700" s="2"/>
    </x:row>
    <x:row r="701" ht="22" customHeight="1">
      <x:c r="A701" s="2" t="str">
        <x:v>M0694</x:v>
      </x:c>
      <x:c r="B701" s="2" t="str">
        <x:v>RC05</x:v>
      </x:c>
      <x:c r="C701" s="2" t="str">
        <x:v>T3</x:v>
      </x:c>
      <x:c r="D701" s="2" t="str">
        <x:v>L03</x:v>
      </x:c>
      <x:c r="E701" s="2" t="str">
        <x:v>Thirty columns, clear storey</x:v>
      </x:c>
      <x:c r="F701" s="21" t="n">
        <x:v>30</x:v>
      </x:c>
      <x:c r="G701" s="21" t="n">
        <x:f>'Controls'!$B$14</x:f>
        <x:v>0.5</x:v>
      </x:c>
      <x:c r="H701" s="21" t="n">
        <x:f>'Controls'!$B$15</x:f>
        <x:v>0.5</x:v>
      </x:c>
      <x:c r="I701" s="21" t="n">
        <x:f>'Controls'!$B$12-'Controls'!$B$13</x:f>
        <x:v>2.98</x:v>
      </x:c>
      <x:c r="J701" s="21" t="n">
        <x:v>1</x:v>
      </x:c>
      <x:c r="K701" s="21" t="n">
        <x:f>F701*G701*H701*I701*J701</x:f>
        <x:v>22.35</x:v>
      </x:c>
      <x:c r="L701" s="2" t="str">
        <x:v>Slab volume excluded from columns</x:v>
      </x:c>
      <x:c r="M701" s="2"/>
      <x:c r="N701" s="2"/>
      <x:c r="O701" s="2"/>
      <x:c r="P701" s="2"/>
      <x:c r="Q701" s="2"/>
    </x:row>
    <x:row r="702" ht="22" customHeight="1">
      <x:c r="A702" s="7" t="str">
        <x:v>M0695</x:v>
      </x:c>
      <x:c r="B702" s="7" t="str">
        <x:v>RC06</x:v>
      </x:c>
      <x:c r="C702" s="7" t="str">
        <x:v>T3</x:v>
      </x:c>
      <x:c r="D702" s="7" t="str">
        <x:v>L03</x:v>
      </x:c>
      <x:c r="E702" s="7" t="str">
        <x:v>Core walls clear storey</x:v>
      </x:c>
      <x:c r="F702" s="20" t="n">
        <x:v>1</x:v>
      </x:c>
      <x:c r="G702" s="20" t="n">
        <x:f>'Controls'!$B$19</x:f>
        <x:v>24</x:v>
      </x:c>
      <x:c r="H702" s="20" t="n">
        <x:f>'Controls'!$B$18</x:f>
        <x:v>0.25</x:v>
      </x:c>
      <x:c r="I702" s="20" t="n">
        <x:f>'Controls'!$B$12-'Controls'!$B$13</x:f>
        <x:v>2.98</x:v>
      </x:c>
      <x:c r="J702" s="20" t="n">
        <x:v>1</x:v>
      </x:c>
      <x:c r="K702" s="20" t="n">
        <x:f>F702*G702*H702*I702*J702</x:f>
        <x:v>17.88</x:v>
      </x:c>
      <x:c r="L702" s="7" t="str">
        <x:v>Net clear wall length excludes corners</x:v>
      </x:c>
      <x:c r="M702" s="2"/>
      <x:c r="N702" s="2"/>
      <x:c r="O702" s="2"/>
      <x:c r="P702" s="2"/>
      <x:c r="Q702" s="2"/>
    </x:row>
    <x:row r="703" ht="22" customHeight="1">
      <x:c r="A703" s="2" t="str">
        <x:v>M0696</x:v>
      </x:c>
      <x:c r="B703" s="2" t="str">
        <x:v>RC07</x:v>
      </x:c>
      <x:c r="C703" s="2" t="str">
        <x:v>T3</x:v>
      </x:c>
      <x:c r="D703" s="2" t="str">
        <x:v>L03</x:v>
      </x:c>
      <x:c r="E703" s="2" t="str">
        <x:v>Stair flights waist</x:v>
      </x:c>
      <x:c r="F703" s="21" t="n">
        <x:v>2</x:v>
      </x:c>
      <x:c r="G703" s="21" t="n">
        <x:v>4.1</x:v>
      </x:c>
      <x:c r="H703" s="21" t="n">
        <x:v>1.2</x:v>
      </x:c>
      <x:c r="I703" s="21" t="n">
        <x:v>0.18</x:v>
      </x:c>
      <x:c r="J703" s="21" t="n">
        <x:v>1</x:v>
      </x:c>
      <x:c r="K703" s="21" t="n">
        <x:f>F703*G703*H703*I703*J703</x:f>
        <x:v>1.7711999999999997</x:v>
      </x:c>
      <x:c r="L703" s="2" t="str">
        <x:v>Two flights; geometry separate from floor slab</x:v>
      </x:c>
      <x:c r="M703" s="2"/>
      <x:c r="N703" s="2"/>
      <x:c r="O703" s="2"/>
      <x:c r="P703" s="2"/>
      <x:c r="Q703" s="2"/>
    </x:row>
    <x:row r="704" ht="22" customHeight="1">
      <x:c r="A704" s="7" t="str">
        <x:v>M0697</x:v>
      </x:c>
      <x:c r="B704" s="7" t="str">
        <x:v>RC07</x:v>
      </x:c>
      <x:c r="C704" s="7" t="str">
        <x:v>T3</x:v>
      </x:c>
      <x:c r="D704" s="7" t="str">
        <x:v>L03</x:v>
      </x:c>
      <x:c r="E704" s="7" t="str">
        <x:v>Stair landings</x:v>
      </x:c>
      <x:c r="F704" s="20" t="n">
        <x:v>2</x:v>
      </x:c>
      <x:c r="G704" s="20" t="n">
        <x:v>2</x:v>
      </x:c>
      <x:c r="H704" s="20" t="n">
        <x:v>1.2</x:v>
      </x:c>
      <x:c r="I704" s="20" t="n">
        <x:v>0.18</x:v>
      </x:c>
      <x:c r="J704" s="20" t="n">
        <x:v>1</x:v>
      </x:c>
      <x:c r="K704" s="20" t="n">
        <x:f>F704*G704*H704*I704*J704</x:f>
        <x:v>0.864</x:v>
      </x:c>
      <x:c r="L704" s="7" t="str">
        <x:v>Within stair opening</x:v>
      </x:c>
      <x:c r="M704" s="2"/>
      <x:c r="N704" s="2"/>
      <x:c r="O704" s="2"/>
      <x:c r="P704" s="2"/>
      <x:c r="Q704" s="2"/>
    </x:row>
    <x:row r="705" ht="22" customHeight="1">
      <x:c r="A705" s="2" t="str">
        <x:v>M0698</x:v>
      </x:c>
      <x:c r="B705" s="2" t="str">
        <x:v>FW01</x:v>
      </x:c>
      <x:c r="C705" s="2" t="str">
        <x:v>T3</x:v>
      </x:c>
      <x:c r="D705" s="2" t="str">
        <x:v>L03</x:v>
      </x:c>
      <x:c r="E705" s="2" t="str">
        <x:v>Slab soffit gross</x:v>
      </x:c>
      <x:c r="F705" s="21" t="n">
        <x:v>1</x:v>
      </x:c>
      <x:c r="G705" s="21" t="n">
        <x:f>'Controls'!$B$10</x:f>
        <x:v>30</x:v>
      </x:c>
      <x:c r="H705" s="21" t="n">
        <x:f>'Controls'!$B$11</x:f>
        <x:v>24</x:v>
      </x:c>
      <x:c r="I705" s="21" t="n">
        <x:v>1</x:v>
      </x:c>
      <x:c r="J705" s="21" t="n">
        <x:v>1</x:v>
      </x:c>
      <x:c r="K705" s="21" t="n">
        <x:f>F705*G705*H705*I705*J705</x:f>
        <x:v>720</x:v>
      </x:c>
      <x:c r="L705" s="2" t="str">
        <x:v>Beam soffit deducted below</x:v>
      </x:c>
      <x:c r="M705" s="2"/>
      <x:c r="N705" s="2"/>
      <x:c r="O705" s="2"/>
      <x:c r="P705" s="2"/>
      <x:c r="Q705" s="2"/>
    </x:row>
    <x:row r="706" ht="22" customHeight="1">
      <x:c r="A706" s="7" t="str">
        <x:v>M0699</x:v>
      </x:c>
      <x:c r="B706" s="7" t="str">
        <x:v>FW01</x:v>
      </x:c>
      <x:c r="C706" s="7" t="str">
        <x:v>T3</x:v>
      </x:c>
      <x:c r="D706" s="7" t="str">
        <x:v>L03</x:v>
      </x:c>
      <x:c r="E706" s="7" t="str">
        <x:v>Stair opening deduction</x:v>
      </x:c>
      <x:c r="F706" s="20" t="n">
        <x:v>1</x:v>
      </x:c>
      <x:c r="G706" s="20" t="n">
        <x:f>'Controls'!$B$20</x:f>
        <x:v>4</x:v>
      </x:c>
      <x:c r="H706" s="20" t="n">
        <x:f>'Controls'!$B$21</x:f>
        <x:v>6</x:v>
      </x:c>
      <x:c r="I706" s="20" t="n">
        <x:v>1</x:v>
      </x:c>
      <x:c r="J706" s="20" t="n">
        <x:v>-1</x:v>
      </x:c>
      <x:c r="K706" s="20" t="n">
        <x:f>F706*G706*H706*I706*J706</x:f>
        <x:v>-24</x:v>
      </x:c>
      <x:c r="L706" s="7" t="str">
        <x:v>OP-01</x:v>
      </x:c>
      <x:c r="M706" s="2"/>
      <x:c r="N706" s="2"/>
      <x:c r="O706" s="2"/>
      <x:c r="P706" s="2"/>
      <x:c r="Q706" s="2"/>
    </x:row>
    <x:row r="707" ht="22" customHeight="1">
      <x:c r="A707" s="2" t="str">
        <x:v>M0700</x:v>
      </x:c>
      <x:c r="B707" s="2" t="str">
        <x:v>FW01</x:v>
      </x:c>
      <x:c r="C707" s="2" t="str">
        <x:v>T3</x:v>
      </x:c>
      <x:c r="D707" s="2" t="str">
        <x:v>L03</x:v>
      </x:c>
      <x:c r="E707" s="2" t="str">
        <x:v>Beam soffit deduction</x:v>
      </x:c>
      <x:c r="F707" s="21" t="n">
        <x:v>1</x:v>
      </x:c>
      <x:c r="G707" s="21" t="n">
        <x:f>5*5*('Controls'!$B$10/5-'Controls'!$B$14)+6*4*('Controls'!$B$11/4-'Controls'!$B$15)</x:f>
        <x:v>269.5</x:v>
      </x:c>
      <x:c r="H707" s="21" t="n">
        <x:f>'Controls'!$B$16</x:f>
        <x:v>0.3</x:v>
      </x:c>
      <x:c r="I707" s="21" t="n">
        <x:v>1</x:v>
      </x:c>
      <x:c r="J707" s="21" t="n">
        <x:v>-1</x:v>
      </x:c>
      <x:c r="K707" s="21" t="n">
        <x:f>F707*G707*H707*I707*J707</x:f>
        <x:v>-80.85</x:v>
      </x:c>
      <x:c r="L707" s="2" t="str">
        <x:v>Beam forms measured in FW02</x:v>
      </x:c>
      <x:c r="M707" s="2"/>
      <x:c r="N707" s="2"/>
      <x:c r="O707" s="2"/>
      <x:c r="P707" s="2"/>
      <x:c r="Q707" s="2"/>
    </x:row>
    <x:row r="708" ht="22" customHeight="1">
      <x:c r="A708" s="7" t="str">
        <x:v>M0701</x:v>
      </x:c>
      <x:c r="B708" s="7" t="str">
        <x:v>FW03</x:v>
      </x:c>
      <x:c r="C708" s="7" t="str">
        <x:v>T3</x:v>
      </x:c>
      <x:c r="D708" s="7" t="str">
        <x:v>L03</x:v>
      </x:c>
      <x:c r="E708" s="7" t="str">
        <x:v>Column four faces</x:v>
      </x:c>
      <x:c r="F708" s="20" t="n">
        <x:v>30</x:v>
      </x:c>
      <x:c r="G708" s="20" t="n">
        <x:f>2*('Controls'!$B$14+'Controls'!$B$15)</x:f>
        <x:v>2</x:v>
      </x:c>
      <x:c r="H708" s="20" t="n">
        <x:f>'Controls'!$B$12-'Controls'!$B$13</x:f>
        <x:v>2.98</x:v>
      </x:c>
      <x:c r="I708" s="20" t="n">
        <x:v>1</x:v>
      </x:c>
      <x:c r="J708" s="20" t="n">
        <x:v>1</x:v>
      </x:c>
      <x:c r="K708" s="20" t="n">
        <x:f>F708*G708*H708*I708*J708</x:f>
        <x:v>178.8</x:v>
      </x:c>
      <x:c r="L708" s="7" t="str">
        <x:v>Clear floor-to-soffit</x:v>
      </x:c>
      <x:c r="M708" s="2"/>
      <x:c r="N708" s="2"/>
      <x:c r="O708" s="2"/>
      <x:c r="P708" s="2"/>
      <x:c r="Q708" s="2"/>
    </x:row>
    <x:row r="709" ht="22" customHeight="1">
      <x:c r="A709" s="2" t="str">
        <x:v>M0702</x:v>
      </x:c>
      <x:c r="B709" s="2" t="str">
        <x:v>FW04</x:v>
      </x:c>
      <x:c r="C709" s="2" t="str">
        <x:v>T3</x:v>
      </x:c>
      <x:c r="D709" s="2" t="str">
        <x:v>L03</x:v>
      </x:c>
      <x:c r="E709" s="2" t="str">
        <x:v>Core wall two faces</x:v>
      </x:c>
      <x:c r="F709" s="21" t="n">
        <x:v>2</x:v>
      </x:c>
      <x:c r="G709" s="21" t="n">
        <x:f>'Controls'!$B$19</x:f>
        <x:v>24</x:v>
      </x:c>
      <x:c r="H709" s="21" t="n">
        <x:f>'Controls'!$B$12-'Controls'!$B$13</x:f>
        <x:v>2.98</x:v>
      </x:c>
      <x:c r="I709" s="21" t="n">
        <x:v>1</x:v>
      </x:c>
      <x:c r="J709" s="21" t="n">
        <x:v>1</x:v>
      </x:c>
      <x:c r="K709" s="21" t="n">
        <x:f>F709*G709*H709*I709*J709</x:f>
        <x:v>143.04</x:v>
      </x:c>
      <x:c r="L709" s="2" t="str">
        <x:v>Net perimeter, no repeated corners</x:v>
      </x:c>
      <x:c r="M709" s="2"/>
      <x:c r="N709" s="2"/>
      <x:c r="O709" s="2"/>
      <x:c r="P709" s="2"/>
      <x:c r="Q709" s="2"/>
    </x:row>
    <x:row r="710" ht="22" customHeight="1">
      <x:c r="A710" s="7" t="str">
        <x:v>M0703</x:v>
      </x:c>
      <x:c r="B710" s="7" t="str">
        <x:v>AR01</x:v>
      </x:c>
      <x:c r="C710" s="7" t="str">
        <x:v>T3</x:v>
      </x:c>
      <x:c r="D710" s="7" t="str">
        <x:v>L03</x:v>
      </x:c>
      <x:c r="E710" s="7" t="str">
        <x:v>Partition walls gross</x:v>
      </x:c>
      <x:c r="F710" s="20" t="n">
        <x:v>1</x:v>
      </x:c>
      <x:c r="G710" s="20" t="n">
        <x:f>'Controls'!$B$45</x:f>
        <x:v>220</x:v>
      </x:c>
      <x:c r="H710" s="20" t="n">
        <x:f>'Controls'!$B$12-'Controls'!$B$13</x:f>
        <x:v>2.98</x:v>
      </x:c>
      <x:c r="I710" s="20" t="n">
        <x:f>'Controls'!$B$46</x:f>
        <x:v>0.15</x:v>
      </x:c>
      <x:c r="J710" s="20" t="n">
        <x:v>1</x:v>
      </x:c>
      <x:c r="K710" s="20" t="n">
        <x:f>F710*G710*H710*I710*J710</x:f>
        <x:v>98.34</x:v>
      </x:c>
      <x:c r="L710" s="7" t="str">
        <x:v>Net openings deducted below</x:v>
      </x:c>
      <x:c r="M710" s="2"/>
      <x:c r="N710" s="2"/>
      <x:c r="O710" s="2"/>
      <x:c r="P710" s="2"/>
      <x:c r="Q710" s="2"/>
    </x:row>
    <x:row r="711" ht="22" customHeight="1">
      <x:c r="A711" s="2" t="str">
        <x:v>M0704</x:v>
      </x:c>
      <x:c r="B711" s="2" t="str">
        <x:v>AR01</x:v>
      </x:c>
      <x:c r="C711" s="2" t="str">
        <x:v>T3</x:v>
      </x:c>
      <x:c r="D711" s="2" t="str">
        <x:v>L03</x:v>
      </x:c>
      <x:c r="E711" s="2" t="str">
        <x:v>Internal doors deduction</x:v>
      </x:c>
      <x:c r="F711" s="21" t="n">
        <x:f>'Controls'!$B$48</x:f>
        <x:v>28</x:v>
      </x:c>
      <x:c r="G711" s="21" t="n">
        <x:f>'Controls'!$B$49</x:f>
        <x:v>0.9</x:v>
      </x:c>
      <x:c r="H711" s="21" t="n">
        <x:f>'Controls'!$B$50</x:f>
        <x:v>2.1</x:v>
      </x:c>
      <x:c r="I711" s="21" t="n">
        <x:f>'Controls'!$B$46</x:f>
        <x:v>0.15</x:v>
      </x:c>
      <x:c r="J711" s="21" t="n">
        <x:v>-1</x:v>
      </x:c>
      <x:c r="K711" s="21" t="n">
        <x:f>F711*G711*H711*I711*J711</x:f>
        <x:v>-7.938</x:v>
      </x:c>
      <x:c r="L711" s="2" t="str">
        <x:v>28 doors per floor, OP-02</x:v>
      </x:c>
      <x:c r="M711" s="2"/>
      <x:c r="N711" s="2"/>
      <x:c r="O711" s="2"/>
      <x:c r="P711" s="2"/>
      <x:c r="Q711" s="2"/>
    </x:row>
    <x:row r="712" ht="22" customHeight="1">
      <x:c r="A712" s="7" t="str">
        <x:v>M0705</x:v>
      </x:c>
      <x:c r="B712" s="7" t="str">
        <x:v>AR02</x:v>
      </x:c>
      <x:c r="C712" s="7" t="str">
        <x:v>T3</x:v>
      </x:c>
      <x:c r="D712" s="7" t="str">
        <x:v>L03</x:v>
      </x:c>
      <x:c r="E712" s="7" t="str">
        <x:v>Internal plaster gross</x:v>
      </x:c>
      <x:c r="F712" s="20" t="n">
        <x:v>2</x:v>
      </x:c>
      <x:c r="G712" s="20" t="n">
        <x:f>'Controls'!$B$45</x:f>
        <x:v>220</x:v>
      </x:c>
      <x:c r="H712" s="20" t="n">
        <x:f>'Controls'!$B$12-'Controls'!$B$13</x:f>
        <x:v>2.98</x:v>
      </x:c>
      <x:c r="I712" s="20" t="n">
        <x:v>1</x:v>
      </x:c>
      <x:c r="J712" s="20" t="n">
        <x:v>1</x:v>
      </x:c>
      <x:c r="K712" s="20" t="n">
        <x:f>F712*G712*H712*I712*J712</x:f>
        <x:v>1311.2</x:v>
      </x:c>
      <x:c r="L712" s="7" t="str">
        <x:v>Both faces of partition walls</x:v>
      </x:c>
      <x:c r="M712" s="2"/>
      <x:c r="N712" s="2"/>
      <x:c r="O712" s="2"/>
      <x:c r="P712" s="2"/>
      <x:c r="Q712" s="2"/>
    </x:row>
    <x:row r="713" ht="22" customHeight="1">
      <x:c r="A713" s="2" t="str">
        <x:v>M0706</x:v>
      </x:c>
      <x:c r="B713" s="2" t="str">
        <x:v>AR02</x:v>
      </x:c>
      <x:c r="C713" s="2" t="str">
        <x:v>T3</x:v>
      </x:c>
      <x:c r="D713" s="2" t="str">
        <x:v>L03</x:v>
      </x:c>
      <x:c r="E713" s="2" t="str">
        <x:v>Door area deduction both faces</x:v>
      </x:c>
      <x:c r="F713" s="21" t="n">
        <x:f>2*'Controls'!$B$48</x:f>
        <x:v>56</x:v>
      </x:c>
      <x:c r="G713" s="21" t="n">
        <x:f>'Controls'!$B$49</x:f>
        <x:v>0.9</x:v>
      </x:c>
      <x:c r="H713" s="21" t="n">
        <x:f>'Controls'!$B$50</x:f>
        <x:v>2.1</x:v>
      </x:c>
      <x:c r="I713" s="21" t="n">
        <x:v>1</x:v>
      </x:c>
      <x:c r="J713" s="21" t="n">
        <x:v>-1</x:v>
      </x:c>
      <x:c r="K713" s="21" t="n">
        <x:f>F713*G713*H713*I713*J713</x:f>
        <x:v>-105.84</x:v>
      </x:c>
      <x:c r="L713" s="2" t="str">
        <x:v>No plaster over openings</x:v>
      </x:c>
      <x:c r="M713" s="2"/>
      <x:c r="N713" s="2"/>
      <x:c r="O713" s="2"/>
      <x:c r="P713" s="2"/>
      <x:c r="Q713" s="2"/>
    </x:row>
    <x:row r="714" ht="22" customHeight="1">
      <x:c r="A714" s="7" t="str">
        <x:v>M0707</x:v>
      </x:c>
      <x:c r="B714" s="7" t="str">
        <x:v>AR03</x:v>
      </x:c>
      <x:c r="C714" s="7" t="str">
        <x:v>T3</x:v>
      </x:c>
      <x:c r="D714" s="7" t="str">
        <x:v>L03</x:v>
      </x:c>
      <x:c r="E714" s="7" t="str">
        <x:v>Floor screed net</x:v>
      </x:c>
      <x:c r="F714" s="20" t="n">
        <x:v>1</x:v>
      </x:c>
      <x:c r="G714" s="20" t="n">
        <x:f>'Controls'!$B$10*'Controls'!$B$11-'Controls'!$B$20*'Controls'!$B$21</x:f>
        <x:v>696</x:v>
      </x:c>
      <x:c r="H714" s="20" t="n">
        <x:v>1</x:v>
      </x:c>
      <x:c r="I714" s="20" t="n">
        <x:v>1</x:v>
      </x:c>
      <x:c r="J714" s="20" t="n">
        <x:v>1</x:v>
      </x:c>
      <x:c r="K714" s="20" t="n">
        <x:f>F714*G714*H714*I714*J714</x:f>
        <x:v>696</x:v>
      </x:c>
      <x:c r="L714" s="7" t="str">
        <x:v>Net structural floor area</x:v>
      </x:c>
      <x:c r="M714" s="2"/>
      <x:c r="N714" s="2"/>
      <x:c r="O714" s="2"/>
      <x:c r="P714" s="2"/>
      <x:c r="Q714" s="2"/>
    </x:row>
    <x:row r="715" ht="22" customHeight="1">
      <x:c r="A715" s="2" t="str">
        <x:v>M0708</x:v>
      </x:c>
      <x:c r="B715" s="2" t="str">
        <x:v>AR04</x:v>
      </x:c>
      <x:c r="C715" s="2" t="str">
        <x:v>T3</x:v>
      </x:c>
      <x:c r="D715" s="2" t="str">
        <x:v>L03</x:v>
      </x:c>
      <x:c r="E715" s="2" t="str">
        <x:v>Floor finish net</x:v>
      </x:c>
      <x:c r="F715" s="21" t="n">
        <x:v>1</x:v>
      </x:c>
      <x:c r="G715" s="21" t="n">
        <x:f>'Controls'!$B$10*'Controls'!$B$11-'Controls'!$B$20*'Controls'!$B$21</x:f>
        <x:v>696</x:v>
      </x:c>
      <x:c r="H715" s="21" t="n">
        <x:v>1</x:v>
      </x:c>
      <x:c r="I715" s="21" t="n">
        <x:v>1</x:v>
      </x:c>
      <x:c r="J715" s="21" t="n">
        <x:v>1</x:v>
      </x:c>
      <x:c r="K715" s="21" t="n">
        <x:f>F715*G715*H715*I715*J715</x:f>
        <x:v>696</x:v>
      </x:c>
      <x:c r="L715" s="2" t="str">
        <x:v>Waste excluded from BOQ</x:v>
      </x:c>
      <x:c r="M715" s="2"/>
      <x:c r="N715" s="2"/>
      <x:c r="O715" s="2"/>
      <x:c r="P715" s="2"/>
      <x:c r="Q715" s="2"/>
    </x:row>
    <x:row r="716" ht="22" customHeight="1">
      <x:c r="A716" s="7" t="str">
        <x:v>M0709</x:v>
      </x:c>
      <x:c r="B716" s="7" t="str">
        <x:v>AR05</x:v>
      </x:c>
      <x:c r="C716" s="7" t="str">
        <x:v>T3</x:v>
      </x:c>
      <x:c r="D716" s="7" t="str">
        <x:v>L03</x:v>
      </x:c>
      <x:c r="E716" s="7" t="str">
        <x:v>Internal wall paint net</x:v>
      </x:c>
      <x:c r="F716" s="20" t="n">
        <x:v>2</x:v>
      </x:c>
      <x:c r="G716" s="20" t="n">
        <x:f>'Controls'!$B$45*('Controls'!$B$12-'Controls'!$B$13)-'Controls'!$B$48*'Controls'!$B$49*'Controls'!$B$50</x:f>
        <x:v>602.6800000000001</x:v>
      </x:c>
      <x:c r="H716" s="20" t="n">
        <x:v>1</x:v>
      </x:c>
      <x:c r="I716" s="20" t="n">
        <x:v>1</x:v>
      </x:c>
      <x:c r="J716" s="20" t="n">
        <x:v>1</x:v>
      </x:c>
      <x:c r="K716" s="20" t="n">
        <x:f>F716*G716*H716*I716*J716</x:f>
        <x:v>1205.3600000000001</x:v>
      </x:c>
      <x:c r="L716" s="7" t="str">
        <x:v>Finished area; two coats priced in rate</x:v>
      </x:c>
      <x:c r="M716" s="2"/>
      <x:c r="N716" s="2"/>
      <x:c r="O716" s="2"/>
      <x:c r="P716" s="2"/>
      <x:c r="Q716" s="2"/>
    </x:row>
    <x:row r="717" ht="22" customHeight="1">
      <x:c r="A717" s="2" t="str">
        <x:v>M0710</x:v>
      </x:c>
      <x:c r="B717" s="2" t="str">
        <x:v>AR06</x:v>
      </x:c>
      <x:c r="C717" s="2" t="str">
        <x:v>T3</x:v>
      </x:c>
      <x:c r="D717" s="2" t="str">
        <x:v>L03</x:v>
      </x:c>
      <x:c r="E717" s="2" t="str">
        <x:v>Door sets</x:v>
      </x:c>
      <x:c r="F717" s="21" t="n">
        <x:f>'Controls'!$B$48</x:f>
        <x:v>28</x:v>
      </x:c>
      <x:c r="G717" s="21" t="n">
        <x:v>1</x:v>
      </x:c>
      <x:c r="H717" s="21" t="n">
        <x:v>1</x:v>
      </x:c>
      <x:c r="I717" s="21" t="n">
        <x:v>1</x:v>
      </x:c>
      <x:c r="J717" s="21" t="n">
        <x:v>1</x:v>
      </x:c>
      <x:c r="K717" s="21" t="n">
        <x:f>F717*G717*H717*I717*J717</x:f>
        <x:v>28</x:v>
      </x:c>
      <x:c r="L717" s="2" t="str">
        <x:v>Door count, not double face</x:v>
      </x:c>
      <x:c r="M717" s="2"/>
      <x:c r="N717" s="2"/>
      <x:c r="O717" s="2"/>
      <x:c r="P717" s="2"/>
      <x:c r="Q717" s="2"/>
    </x:row>
    <x:row r="718" ht="22" customHeight="1">
      <x:c r="A718" s="7" t="str">
        <x:v>M0711</x:v>
      </x:c>
      <x:c r="B718" s="7" t="str">
        <x:v>RC03</x:v>
      </x:c>
      <x:c r="C718" s="7" t="str">
        <x:v>T3</x:v>
      </x:c>
      <x:c r="D718" s="7" t="str">
        <x:v>L04</x:v>
      </x:c>
      <x:c r="E718" s="7" t="str">
        <x:v>Floor slab gross</x:v>
      </x:c>
      <x:c r="F718" s="20" t="n">
        <x:v>1</x:v>
      </x:c>
      <x:c r="G718" s="20" t="n">
        <x:f>'Controls'!$B$10</x:f>
        <x:v>30</x:v>
      </x:c>
      <x:c r="H718" s="20" t="n">
        <x:f>'Controls'!$B$11</x:f>
        <x:v>24</x:v>
      </x:c>
      <x:c r="I718" s="20" t="n">
        <x:f>'Controls'!$B$13</x:f>
        <x:v>0.22</x:v>
      </x:c>
      <x:c r="J718" s="20" t="n">
        <x:v>1</x:v>
      </x:c>
      <x:c r="K718" s="20" t="n">
        <x:f>F718*G718*H718*I718*J718</x:f>
        <x:v>158.4</x:v>
      </x:c>
      <x:c r="L718" s="7" t="str">
        <x:v>Slab includes beam top flange; downstand separate</x:v>
      </x:c>
      <x:c r="M718" s="2"/>
      <x:c r="N718" s="2"/>
      <x:c r="O718" s="2"/>
      <x:c r="P718" s="2"/>
      <x:c r="Q718" s="2"/>
    </x:row>
    <x:row r="719" ht="22" customHeight="1">
      <x:c r="A719" s="2" t="str">
        <x:v>M0712</x:v>
      </x:c>
      <x:c r="B719" s="2" t="str">
        <x:v>RC03</x:v>
      </x:c>
      <x:c r="C719" s="2" t="str">
        <x:v>T3</x:v>
      </x:c>
      <x:c r="D719" s="2" t="str">
        <x:v>L04</x:v>
      </x:c>
      <x:c r="E719" s="2" t="str">
        <x:v>Stair opening deduction</x:v>
      </x:c>
      <x:c r="F719" s="21" t="n">
        <x:v>1</x:v>
      </x:c>
      <x:c r="G719" s="21" t="n">
        <x:f>'Controls'!$B$20</x:f>
        <x:v>4</x:v>
      </x:c>
      <x:c r="H719" s="21" t="n">
        <x:f>'Controls'!$B$21</x:f>
        <x:v>6</x:v>
      </x:c>
      <x:c r="I719" s="21" t="n">
        <x:f>'Controls'!$B$13</x:f>
        <x:v>0.22</x:v>
      </x:c>
      <x:c r="J719" s="21" t="n">
        <x:v>-1</x:v>
      </x:c>
      <x:c r="K719" s="21" t="n">
        <x:f>F719*G719*H719*I719*J719</x:f>
        <x:v>-5.28</x:v>
      </x:c>
      <x:c r="L719" s="2" t="str">
        <x:v>Opening OP-01</x:v>
      </x:c>
      <x:c r="M719" s="2"/>
      <x:c r="N719" s="2"/>
      <x:c r="O719" s="2"/>
      <x:c r="P719" s="2"/>
      <x:c r="Q719" s="2"/>
    </x:row>
    <x:row r="720" ht="22" customHeight="1">
      <x:c r="A720" s="7" t="str">
        <x:v>M0713</x:v>
      </x:c>
      <x:c r="B720" s="7" t="str">
        <x:v>RC04</x:v>
      </x:c>
      <x:c r="C720" s="7" t="str">
        <x:v>T3</x:v>
      </x:c>
      <x:c r="D720" s="7" t="str">
        <x:v>L04</x:v>
      </x:c>
      <x:c r="E720" s="7" t="str">
        <x:v>Beam downstands X</x:v>
      </x:c>
      <x:c r="F720" s="20" t="n">
        <x:v>1</x:v>
      </x:c>
      <x:c r="G720" s="20" t="n">
        <x:f>5*5*('Controls'!$B$10/5-'Controls'!$B$14)</x:f>
        <x:v>137.5</x:v>
      </x:c>
      <x:c r="H720" s="20" t="n">
        <x:f>'Controls'!$B$16</x:f>
        <x:v>0.3</x:v>
      </x:c>
      <x:c r="I720" s="20" t="n">
        <x:f>'Controls'!$B$17-'Controls'!$B$13</x:f>
        <x:v>0.38</x:v>
      </x:c>
      <x:c r="J720" s="20" t="n">
        <x:v>1</x:v>
      </x:c>
      <x:c r="K720" s="20" t="n">
        <x:f>F720*G720*H720*I720*J720</x:f>
        <x:v>15.675</x:v>
      </x:c>
      <x:c r="L720" s="7" t="str">
        <x:v>Clear spans between column faces; no joint overlap</x:v>
      </x:c>
      <x:c r="M720" s="2"/>
      <x:c r="N720" s="2"/>
      <x:c r="O720" s="2"/>
      <x:c r="P720" s="2"/>
      <x:c r="Q720" s="2"/>
    </x:row>
    <x:row r="721" ht="22" customHeight="1">
      <x:c r="A721" s="2" t="str">
        <x:v>M0714</x:v>
      </x:c>
      <x:c r="B721" s="2" t="str">
        <x:v>FW02</x:v>
      </x:c>
      <x:c r="C721" s="2" t="str">
        <x:v>T3</x:v>
      </x:c>
      <x:c r="D721" s="2" t="str">
        <x:v>L04</x:v>
      </x:c>
      <x:c r="E721" s="2" t="str">
        <x:v>Beam forms X</x:v>
      </x:c>
      <x:c r="F721" s="21" t="n">
        <x:v>1</x:v>
      </x:c>
      <x:c r="G721" s="21" t="n">
        <x:f>5*5*('Controls'!$B$10/5-'Controls'!$B$14)</x:f>
        <x:v>137.5</x:v>
      </x:c>
      <x:c r="H721" s="21" t="n">
        <x:f>'Controls'!$B$16+2*('Controls'!$B$17-'Controls'!$B$13)</x:f>
        <x:v>1.06</x:v>
      </x:c>
      <x:c r="I721" s="21" t="n">
        <x:v>1</x:v>
      </x:c>
      <x:c r="J721" s="21" t="n">
        <x:v>1</x:v>
      </x:c>
      <x:c r="K721" s="21" t="n">
        <x:f>F721*G721*H721*I721*J721</x:f>
        <x:v>145.75</x:v>
      </x:c>
      <x:c r="L721" s="2" t="str">
        <x:v>Soffit plus two downstand sides</x:v>
      </x:c>
      <x:c r="M721" s="2"/>
      <x:c r="N721" s="2"/>
      <x:c r="O721" s="2"/>
      <x:c r="P721" s="2"/>
      <x:c r="Q721" s="2"/>
    </x:row>
    <x:row r="722" ht="22" customHeight="1">
      <x:c r="A722" s="7" t="str">
        <x:v>M0715</x:v>
      </x:c>
      <x:c r="B722" s="7" t="str">
        <x:v>RC04</x:v>
      </x:c>
      <x:c r="C722" s="7" t="str">
        <x:v>T3</x:v>
      </x:c>
      <x:c r="D722" s="7" t="str">
        <x:v>L04</x:v>
      </x:c>
      <x:c r="E722" s="7" t="str">
        <x:v>Beam downstands Y</x:v>
      </x:c>
      <x:c r="F722" s="20" t="n">
        <x:v>1</x:v>
      </x:c>
      <x:c r="G722" s="20" t="n">
        <x:f>6*4*('Controls'!$B$11/4-'Controls'!$B$15)</x:f>
        <x:v>132</x:v>
      </x:c>
      <x:c r="H722" s="20" t="n">
        <x:f>'Controls'!$B$16</x:f>
        <x:v>0.3</x:v>
      </x:c>
      <x:c r="I722" s="20" t="n">
        <x:f>'Controls'!$B$17-'Controls'!$B$13</x:f>
        <x:v>0.38</x:v>
      </x:c>
      <x:c r="J722" s="20" t="n">
        <x:v>1</x:v>
      </x:c>
      <x:c r="K722" s="20" t="n">
        <x:f>F722*G722*H722*I722*J722</x:f>
        <x:v>15.048</x:v>
      </x:c>
      <x:c r="L722" s="7" t="str">
        <x:v>Clear spans between column faces; no joint overlap</x:v>
      </x:c>
      <x:c r="M722" s="2"/>
      <x:c r="N722" s="2"/>
      <x:c r="O722" s="2"/>
      <x:c r="P722" s="2"/>
      <x:c r="Q722" s="2"/>
    </x:row>
    <x:row r="723" ht="22" customHeight="1">
      <x:c r="A723" s="2" t="str">
        <x:v>M0716</x:v>
      </x:c>
      <x:c r="B723" s="2" t="str">
        <x:v>FW02</x:v>
      </x:c>
      <x:c r="C723" s="2" t="str">
        <x:v>T3</x:v>
      </x:c>
      <x:c r="D723" s="2" t="str">
        <x:v>L04</x:v>
      </x:c>
      <x:c r="E723" s="2" t="str">
        <x:v>Beam forms Y</x:v>
      </x:c>
      <x:c r="F723" s="21" t="n">
        <x:v>1</x:v>
      </x:c>
      <x:c r="G723" s="21" t="n">
        <x:f>6*4*('Controls'!$B$11/4-'Controls'!$B$15)</x:f>
        <x:v>132</x:v>
      </x:c>
      <x:c r="H723" s="21" t="n">
        <x:f>'Controls'!$B$16+2*('Controls'!$B$17-'Controls'!$B$13)</x:f>
        <x:v>1.06</x:v>
      </x:c>
      <x:c r="I723" s="21" t="n">
        <x:v>1</x:v>
      </x:c>
      <x:c r="J723" s="21" t="n">
        <x:v>1</x:v>
      </x:c>
      <x:c r="K723" s="21" t="n">
        <x:f>F723*G723*H723*I723*J723</x:f>
        <x:v>139.92000000000002</x:v>
      </x:c>
      <x:c r="L723" s="2" t="str">
        <x:v>Soffit plus two downstand sides</x:v>
      </x:c>
      <x:c r="M723" s="2"/>
      <x:c r="N723" s="2"/>
      <x:c r="O723" s="2"/>
      <x:c r="P723" s="2"/>
      <x:c r="Q723" s="2"/>
    </x:row>
    <x:row r="724" ht="22" customHeight="1">
      <x:c r="A724" s="7" t="str">
        <x:v>M0717</x:v>
      </x:c>
      <x:c r="B724" s="7" t="str">
        <x:v>RC05</x:v>
      </x:c>
      <x:c r="C724" s="7" t="str">
        <x:v>T3</x:v>
      </x:c>
      <x:c r="D724" s="7" t="str">
        <x:v>L04</x:v>
      </x:c>
      <x:c r="E724" s="7" t="str">
        <x:v>Thirty columns, clear storey</x:v>
      </x:c>
      <x:c r="F724" s="20" t="n">
        <x:v>30</x:v>
      </x:c>
      <x:c r="G724" s="20" t="n">
        <x:f>'Controls'!$B$14</x:f>
        <x:v>0.5</x:v>
      </x:c>
      <x:c r="H724" s="20" t="n">
        <x:f>'Controls'!$B$15</x:f>
        <x:v>0.5</x:v>
      </x:c>
      <x:c r="I724" s="20" t="n">
        <x:f>'Controls'!$B$12-'Controls'!$B$13</x:f>
        <x:v>2.98</x:v>
      </x:c>
      <x:c r="J724" s="20" t="n">
        <x:v>1</x:v>
      </x:c>
      <x:c r="K724" s="20" t="n">
        <x:f>F724*G724*H724*I724*J724</x:f>
        <x:v>22.35</x:v>
      </x:c>
      <x:c r="L724" s="7" t="str">
        <x:v>Slab volume excluded from columns</x:v>
      </x:c>
      <x:c r="M724" s="2"/>
      <x:c r="N724" s="2"/>
      <x:c r="O724" s="2"/>
      <x:c r="P724" s="2"/>
      <x:c r="Q724" s="2"/>
    </x:row>
    <x:row r="725" ht="22" customHeight="1">
      <x:c r="A725" s="2" t="str">
        <x:v>M0718</x:v>
      </x:c>
      <x:c r="B725" s="2" t="str">
        <x:v>RC06</x:v>
      </x:c>
      <x:c r="C725" s="2" t="str">
        <x:v>T3</x:v>
      </x:c>
      <x:c r="D725" s="2" t="str">
        <x:v>L04</x:v>
      </x:c>
      <x:c r="E725" s="2" t="str">
        <x:v>Core walls clear storey</x:v>
      </x:c>
      <x:c r="F725" s="21" t="n">
        <x:v>1</x:v>
      </x:c>
      <x:c r="G725" s="21" t="n">
        <x:f>'Controls'!$B$19</x:f>
        <x:v>24</x:v>
      </x:c>
      <x:c r="H725" s="21" t="n">
        <x:f>'Controls'!$B$18</x:f>
        <x:v>0.25</x:v>
      </x:c>
      <x:c r="I725" s="21" t="n">
        <x:f>'Controls'!$B$12-'Controls'!$B$13</x:f>
        <x:v>2.98</x:v>
      </x:c>
      <x:c r="J725" s="21" t="n">
        <x:v>1</x:v>
      </x:c>
      <x:c r="K725" s="21" t="n">
        <x:f>F725*G725*H725*I725*J725</x:f>
        <x:v>17.88</x:v>
      </x:c>
      <x:c r="L725" s="2" t="str">
        <x:v>Net clear wall length excludes corners</x:v>
      </x:c>
      <x:c r="M725" s="2"/>
      <x:c r="N725" s="2"/>
      <x:c r="O725" s="2"/>
      <x:c r="P725" s="2"/>
      <x:c r="Q725" s="2"/>
    </x:row>
    <x:row r="726" ht="22" customHeight="1">
      <x:c r="A726" s="7" t="str">
        <x:v>M0719</x:v>
      </x:c>
      <x:c r="B726" s="7" t="str">
        <x:v>RC07</x:v>
      </x:c>
      <x:c r="C726" s="7" t="str">
        <x:v>T3</x:v>
      </x:c>
      <x:c r="D726" s="7" t="str">
        <x:v>L04</x:v>
      </x:c>
      <x:c r="E726" s="7" t="str">
        <x:v>Stair flights waist</x:v>
      </x:c>
      <x:c r="F726" s="20" t="n">
        <x:v>2</x:v>
      </x:c>
      <x:c r="G726" s="20" t="n">
        <x:v>4.1</x:v>
      </x:c>
      <x:c r="H726" s="20" t="n">
        <x:v>1.2</x:v>
      </x:c>
      <x:c r="I726" s="20" t="n">
        <x:v>0.18</x:v>
      </x:c>
      <x:c r="J726" s="20" t="n">
        <x:v>1</x:v>
      </x:c>
      <x:c r="K726" s="20" t="n">
        <x:f>F726*G726*H726*I726*J726</x:f>
        <x:v>1.7711999999999997</x:v>
      </x:c>
      <x:c r="L726" s="7" t="str">
        <x:v>Two flights; geometry separate from floor slab</x:v>
      </x:c>
      <x:c r="M726" s="2"/>
      <x:c r="N726" s="2"/>
      <x:c r="O726" s="2"/>
      <x:c r="P726" s="2"/>
      <x:c r="Q726" s="2"/>
    </x:row>
    <x:row r="727" ht="22" customHeight="1">
      <x:c r="A727" s="2" t="str">
        <x:v>M0720</x:v>
      </x:c>
      <x:c r="B727" s="2" t="str">
        <x:v>RC07</x:v>
      </x:c>
      <x:c r="C727" s="2" t="str">
        <x:v>T3</x:v>
      </x:c>
      <x:c r="D727" s="2" t="str">
        <x:v>L04</x:v>
      </x:c>
      <x:c r="E727" s="2" t="str">
        <x:v>Stair landings</x:v>
      </x:c>
      <x:c r="F727" s="21" t="n">
        <x:v>2</x:v>
      </x:c>
      <x:c r="G727" s="21" t="n">
        <x:v>2</x:v>
      </x:c>
      <x:c r="H727" s="21" t="n">
        <x:v>1.2</x:v>
      </x:c>
      <x:c r="I727" s="21" t="n">
        <x:v>0.18</x:v>
      </x:c>
      <x:c r="J727" s="21" t="n">
        <x:v>1</x:v>
      </x:c>
      <x:c r="K727" s="21" t="n">
        <x:f>F727*G727*H727*I727*J727</x:f>
        <x:v>0.864</x:v>
      </x:c>
      <x:c r="L727" s="2" t="str">
        <x:v>Within stair opening</x:v>
      </x:c>
      <x:c r="M727" s="2"/>
      <x:c r="N727" s="2"/>
      <x:c r="O727" s="2"/>
      <x:c r="P727" s="2"/>
      <x:c r="Q727" s="2"/>
    </x:row>
    <x:row r="728" ht="22" customHeight="1">
      <x:c r="A728" s="7" t="str">
        <x:v>M0721</x:v>
      </x:c>
      <x:c r="B728" s="7" t="str">
        <x:v>FW01</x:v>
      </x:c>
      <x:c r="C728" s="7" t="str">
        <x:v>T3</x:v>
      </x:c>
      <x:c r="D728" s="7" t="str">
        <x:v>L04</x:v>
      </x:c>
      <x:c r="E728" s="7" t="str">
        <x:v>Slab soffit gross</x:v>
      </x:c>
      <x:c r="F728" s="20" t="n">
        <x:v>1</x:v>
      </x:c>
      <x:c r="G728" s="20" t="n">
        <x:f>'Controls'!$B$10</x:f>
        <x:v>30</x:v>
      </x:c>
      <x:c r="H728" s="20" t="n">
        <x:f>'Controls'!$B$11</x:f>
        <x:v>24</x:v>
      </x:c>
      <x:c r="I728" s="20" t="n">
        <x:v>1</x:v>
      </x:c>
      <x:c r="J728" s="20" t="n">
        <x:v>1</x:v>
      </x:c>
      <x:c r="K728" s="20" t="n">
        <x:f>F728*G728*H728*I728*J728</x:f>
        <x:v>720</x:v>
      </x:c>
      <x:c r="L728" s="7" t="str">
        <x:v>Beam soffit deducted below</x:v>
      </x:c>
      <x:c r="M728" s="2"/>
      <x:c r="N728" s="2"/>
      <x:c r="O728" s="2"/>
      <x:c r="P728" s="2"/>
      <x:c r="Q728" s="2"/>
    </x:row>
    <x:row r="729" ht="22" customHeight="1">
      <x:c r="A729" s="2" t="str">
        <x:v>M0722</x:v>
      </x:c>
      <x:c r="B729" s="2" t="str">
        <x:v>FW01</x:v>
      </x:c>
      <x:c r="C729" s="2" t="str">
        <x:v>T3</x:v>
      </x:c>
      <x:c r="D729" s="2" t="str">
        <x:v>L04</x:v>
      </x:c>
      <x:c r="E729" s="2" t="str">
        <x:v>Stair opening deduction</x:v>
      </x:c>
      <x:c r="F729" s="21" t="n">
        <x:v>1</x:v>
      </x:c>
      <x:c r="G729" s="21" t="n">
        <x:f>'Controls'!$B$20</x:f>
        <x:v>4</x:v>
      </x:c>
      <x:c r="H729" s="21" t="n">
        <x:f>'Controls'!$B$21</x:f>
        <x:v>6</x:v>
      </x:c>
      <x:c r="I729" s="21" t="n">
        <x:v>1</x:v>
      </x:c>
      <x:c r="J729" s="21" t="n">
        <x:v>-1</x:v>
      </x:c>
      <x:c r="K729" s="21" t="n">
        <x:f>F729*G729*H729*I729*J729</x:f>
        <x:v>-24</x:v>
      </x:c>
      <x:c r="L729" s="2" t="str">
        <x:v>OP-01</x:v>
      </x:c>
      <x:c r="M729" s="2"/>
      <x:c r="N729" s="2"/>
      <x:c r="O729" s="2"/>
      <x:c r="P729" s="2"/>
      <x:c r="Q729" s="2"/>
    </x:row>
    <x:row r="730" ht="22" customHeight="1">
      <x:c r="A730" s="7" t="str">
        <x:v>M0723</x:v>
      </x:c>
      <x:c r="B730" s="7" t="str">
        <x:v>FW01</x:v>
      </x:c>
      <x:c r="C730" s="7" t="str">
        <x:v>T3</x:v>
      </x:c>
      <x:c r="D730" s="7" t="str">
        <x:v>L04</x:v>
      </x:c>
      <x:c r="E730" s="7" t="str">
        <x:v>Beam soffit deduction</x:v>
      </x:c>
      <x:c r="F730" s="20" t="n">
        <x:v>1</x:v>
      </x:c>
      <x:c r="G730" s="20" t="n">
        <x:f>5*5*('Controls'!$B$10/5-'Controls'!$B$14)+6*4*('Controls'!$B$11/4-'Controls'!$B$15)</x:f>
        <x:v>269.5</x:v>
      </x:c>
      <x:c r="H730" s="20" t="n">
        <x:f>'Controls'!$B$16</x:f>
        <x:v>0.3</x:v>
      </x:c>
      <x:c r="I730" s="20" t="n">
        <x:v>1</x:v>
      </x:c>
      <x:c r="J730" s="20" t="n">
        <x:v>-1</x:v>
      </x:c>
      <x:c r="K730" s="20" t="n">
        <x:f>F730*G730*H730*I730*J730</x:f>
        <x:v>-80.85</x:v>
      </x:c>
      <x:c r="L730" s="7" t="str">
        <x:v>Beam forms measured in FW02</x:v>
      </x:c>
      <x:c r="M730" s="2"/>
      <x:c r="N730" s="2"/>
      <x:c r="O730" s="2"/>
      <x:c r="P730" s="2"/>
      <x:c r="Q730" s="2"/>
    </x:row>
    <x:row r="731" ht="22" customHeight="1">
      <x:c r="A731" s="2" t="str">
        <x:v>M0724</x:v>
      </x:c>
      <x:c r="B731" s="2" t="str">
        <x:v>FW03</x:v>
      </x:c>
      <x:c r="C731" s="2" t="str">
        <x:v>T3</x:v>
      </x:c>
      <x:c r="D731" s="2" t="str">
        <x:v>L04</x:v>
      </x:c>
      <x:c r="E731" s="2" t="str">
        <x:v>Column four faces</x:v>
      </x:c>
      <x:c r="F731" s="21" t="n">
        <x:v>30</x:v>
      </x:c>
      <x:c r="G731" s="21" t="n">
        <x:f>2*('Controls'!$B$14+'Controls'!$B$15)</x:f>
        <x:v>2</x:v>
      </x:c>
      <x:c r="H731" s="21" t="n">
        <x:f>'Controls'!$B$12-'Controls'!$B$13</x:f>
        <x:v>2.98</x:v>
      </x:c>
      <x:c r="I731" s="21" t="n">
        <x:v>1</x:v>
      </x:c>
      <x:c r="J731" s="21" t="n">
        <x:v>1</x:v>
      </x:c>
      <x:c r="K731" s="21" t="n">
        <x:f>F731*G731*H731*I731*J731</x:f>
        <x:v>178.8</x:v>
      </x:c>
      <x:c r="L731" s="2" t="str">
        <x:v>Clear floor-to-soffit</x:v>
      </x:c>
      <x:c r="M731" s="2"/>
      <x:c r="N731" s="2"/>
      <x:c r="O731" s="2"/>
      <x:c r="P731" s="2"/>
      <x:c r="Q731" s="2"/>
    </x:row>
    <x:row r="732" ht="22" customHeight="1">
      <x:c r="A732" s="7" t="str">
        <x:v>M0725</x:v>
      </x:c>
      <x:c r="B732" s="7" t="str">
        <x:v>FW04</x:v>
      </x:c>
      <x:c r="C732" s="7" t="str">
        <x:v>T3</x:v>
      </x:c>
      <x:c r="D732" s="7" t="str">
        <x:v>L04</x:v>
      </x:c>
      <x:c r="E732" s="7" t="str">
        <x:v>Core wall two faces</x:v>
      </x:c>
      <x:c r="F732" s="20" t="n">
        <x:v>2</x:v>
      </x:c>
      <x:c r="G732" s="20" t="n">
        <x:f>'Controls'!$B$19</x:f>
        <x:v>24</x:v>
      </x:c>
      <x:c r="H732" s="20" t="n">
        <x:f>'Controls'!$B$12-'Controls'!$B$13</x:f>
        <x:v>2.98</x:v>
      </x:c>
      <x:c r="I732" s="20" t="n">
        <x:v>1</x:v>
      </x:c>
      <x:c r="J732" s="20" t="n">
        <x:v>1</x:v>
      </x:c>
      <x:c r="K732" s="20" t="n">
        <x:f>F732*G732*H732*I732*J732</x:f>
        <x:v>143.04</x:v>
      </x:c>
      <x:c r="L732" s="7" t="str">
        <x:v>Net perimeter, no repeated corners</x:v>
      </x:c>
      <x:c r="M732" s="2"/>
      <x:c r="N732" s="2"/>
      <x:c r="O732" s="2"/>
      <x:c r="P732" s="2"/>
      <x:c r="Q732" s="2"/>
    </x:row>
    <x:row r="733" ht="22" customHeight="1">
      <x:c r="A733" s="2" t="str">
        <x:v>M0726</x:v>
      </x:c>
      <x:c r="B733" s="2" t="str">
        <x:v>AR01</x:v>
      </x:c>
      <x:c r="C733" s="2" t="str">
        <x:v>T3</x:v>
      </x:c>
      <x:c r="D733" s="2" t="str">
        <x:v>L04</x:v>
      </x:c>
      <x:c r="E733" s="2" t="str">
        <x:v>Partition walls gross</x:v>
      </x:c>
      <x:c r="F733" s="21" t="n">
        <x:v>1</x:v>
      </x:c>
      <x:c r="G733" s="21" t="n">
        <x:f>'Controls'!$B$45</x:f>
        <x:v>220</x:v>
      </x:c>
      <x:c r="H733" s="21" t="n">
        <x:f>'Controls'!$B$12-'Controls'!$B$13</x:f>
        <x:v>2.98</x:v>
      </x:c>
      <x:c r="I733" s="21" t="n">
        <x:f>'Controls'!$B$46</x:f>
        <x:v>0.15</x:v>
      </x:c>
      <x:c r="J733" s="21" t="n">
        <x:v>1</x:v>
      </x:c>
      <x:c r="K733" s="21" t="n">
        <x:f>F733*G733*H733*I733*J733</x:f>
        <x:v>98.34</x:v>
      </x:c>
      <x:c r="L733" s="2" t="str">
        <x:v>Net openings deducted below</x:v>
      </x:c>
      <x:c r="M733" s="2"/>
      <x:c r="N733" s="2"/>
      <x:c r="O733" s="2"/>
      <x:c r="P733" s="2"/>
      <x:c r="Q733" s="2"/>
    </x:row>
    <x:row r="734" ht="22" customHeight="1">
      <x:c r="A734" s="7" t="str">
        <x:v>M0727</x:v>
      </x:c>
      <x:c r="B734" s="7" t="str">
        <x:v>AR01</x:v>
      </x:c>
      <x:c r="C734" s="7" t="str">
        <x:v>T3</x:v>
      </x:c>
      <x:c r="D734" s="7" t="str">
        <x:v>L04</x:v>
      </x:c>
      <x:c r="E734" s="7" t="str">
        <x:v>Internal doors deduction</x:v>
      </x:c>
      <x:c r="F734" s="20" t="n">
        <x:f>'Controls'!$B$48</x:f>
        <x:v>28</x:v>
      </x:c>
      <x:c r="G734" s="20" t="n">
        <x:f>'Controls'!$B$49</x:f>
        <x:v>0.9</x:v>
      </x:c>
      <x:c r="H734" s="20" t="n">
        <x:f>'Controls'!$B$50</x:f>
        <x:v>2.1</x:v>
      </x:c>
      <x:c r="I734" s="20" t="n">
        <x:f>'Controls'!$B$46</x:f>
        <x:v>0.15</x:v>
      </x:c>
      <x:c r="J734" s="20" t="n">
        <x:v>-1</x:v>
      </x:c>
      <x:c r="K734" s="20" t="n">
        <x:f>F734*G734*H734*I734*J734</x:f>
        <x:v>-7.938</x:v>
      </x:c>
      <x:c r="L734" s="7" t="str">
        <x:v>28 doors per floor, OP-02</x:v>
      </x:c>
      <x:c r="M734" s="2"/>
      <x:c r="N734" s="2"/>
      <x:c r="O734" s="2"/>
      <x:c r="P734" s="2"/>
      <x:c r="Q734" s="2"/>
    </x:row>
    <x:row r="735" ht="22" customHeight="1">
      <x:c r="A735" s="2" t="str">
        <x:v>M0728</x:v>
      </x:c>
      <x:c r="B735" s="2" t="str">
        <x:v>AR02</x:v>
      </x:c>
      <x:c r="C735" s="2" t="str">
        <x:v>T3</x:v>
      </x:c>
      <x:c r="D735" s="2" t="str">
        <x:v>L04</x:v>
      </x:c>
      <x:c r="E735" s="2" t="str">
        <x:v>Internal plaster gross</x:v>
      </x:c>
      <x:c r="F735" s="21" t="n">
        <x:v>2</x:v>
      </x:c>
      <x:c r="G735" s="21" t="n">
        <x:f>'Controls'!$B$45</x:f>
        <x:v>220</x:v>
      </x:c>
      <x:c r="H735" s="21" t="n">
        <x:f>'Controls'!$B$12-'Controls'!$B$13</x:f>
        <x:v>2.98</x:v>
      </x:c>
      <x:c r="I735" s="21" t="n">
        <x:v>1</x:v>
      </x:c>
      <x:c r="J735" s="21" t="n">
        <x:v>1</x:v>
      </x:c>
      <x:c r="K735" s="21" t="n">
        <x:f>F735*G735*H735*I735*J735</x:f>
        <x:v>1311.2</x:v>
      </x:c>
      <x:c r="L735" s="2" t="str">
        <x:v>Both faces of partition walls</x:v>
      </x:c>
      <x:c r="M735" s="2"/>
      <x:c r="N735" s="2"/>
      <x:c r="O735" s="2"/>
      <x:c r="P735" s="2"/>
      <x:c r="Q735" s="2"/>
    </x:row>
    <x:row r="736" ht="22" customHeight="1">
      <x:c r="A736" s="7" t="str">
        <x:v>M0729</x:v>
      </x:c>
      <x:c r="B736" s="7" t="str">
        <x:v>AR02</x:v>
      </x:c>
      <x:c r="C736" s="7" t="str">
        <x:v>T3</x:v>
      </x:c>
      <x:c r="D736" s="7" t="str">
        <x:v>L04</x:v>
      </x:c>
      <x:c r="E736" s="7" t="str">
        <x:v>Door area deduction both faces</x:v>
      </x:c>
      <x:c r="F736" s="20" t="n">
        <x:f>2*'Controls'!$B$48</x:f>
        <x:v>56</x:v>
      </x:c>
      <x:c r="G736" s="20" t="n">
        <x:f>'Controls'!$B$49</x:f>
        <x:v>0.9</x:v>
      </x:c>
      <x:c r="H736" s="20" t="n">
        <x:f>'Controls'!$B$50</x:f>
        <x:v>2.1</x:v>
      </x:c>
      <x:c r="I736" s="20" t="n">
        <x:v>1</x:v>
      </x:c>
      <x:c r="J736" s="20" t="n">
        <x:v>-1</x:v>
      </x:c>
      <x:c r="K736" s="20" t="n">
        <x:f>F736*G736*H736*I736*J736</x:f>
        <x:v>-105.84</x:v>
      </x:c>
      <x:c r="L736" s="7" t="str">
        <x:v>No plaster over openings</x:v>
      </x:c>
      <x:c r="M736" s="2"/>
      <x:c r="N736" s="2"/>
      <x:c r="O736" s="2"/>
      <x:c r="P736" s="2"/>
      <x:c r="Q736" s="2"/>
    </x:row>
    <x:row r="737" ht="22" customHeight="1">
      <x:c r="A737" s="2" t="str">
        <x:v>M0730</x:v>
      </x:c>
      <x:c r="B737" s="2" t="str">
        <x:v>AR03</x:v>
      </x:c>
      <x:c r="C737" s="2" t="str">
        <x:v>T3</x:v>
      </x:c>
      <x:c r="D737" s="2" t="str">
        <x:v>L04</x:v>
      </x:c>
      <x:c r="E737" s="2" t="str">
        <x:v>Floor screed net</x:v>
      </x:c>
      <x:c r="F737" s="21" t="n">
        <x:v>1</x:v>
      </x:c>
      <x:c r="G737" s="21" t="n">
        <x:f>'Controls'!$B$10*'Controls'!$B$11-'Controls'!$B$20*'Controls'!$B$21</x:f>
        <x:v>696</x:v>
      </x:c>
      <x:c r="H737" s="21" t="n">
        <x:v>1</x:v>
      </x:c>
      <x:c r="I737" s="21" t="n">
        <x:v>1</x:v>
      </x:c>
      <x:c r="J737" s="21" t="n">
        <x:v>1</x:v>
      </x:c>
      <x:c r="K737" s="21" t="n">
        <x:f>F737*G737*H737*I737*J737</x:f>
        <x:v>696</x:v>
      </x:c>
      <x:c r="L737" s="2" t="str">
        <x:v>Net structural floor area</x:v>
      </x:c>
      <x:c r="M737" s="2"/>
      <x:c r="N737" s="2"/>
      <x:c r="O737" s="2"/>
      <x:c r="P737" s="2"/>
      <x:c r="Q737" s="2"/>
    </x:row>
    <x:row r="738" ht="22" customHeight="1">
      <x:c r="A738" s="7" t="str">
        <x:v>M0731</x:v>
      </x:c>
      <x:c r="B738" s="7" t="str">
        <x:v>AR04</x:v>
      </x:c>
      <x:c r="C738" s="7" t="str">
        <x:v>T3</x:v>
      </x:c>
      <x:c r="D738" s="7" t="str">
        <x:v>L04</x:v>
      </x:c>
      <x:c r="E738" s="7" t="str">
        <x:v>Floor finish net</x:v>
      </x:c>
      <x:c r="F738" s="20" t="n">
        <x:v>1</x:v>
      </x:c>
      <x:c r="G738" s="20" t="n">
        <x:f>'Controls'!$B$10*'Controls'!$B$11-'Controls'!$B$20*'Controls'!$B$21</x:f>
        <x:v>696</x:v>
      </x:c>
      <x:c r="H738" s="20" t="n">
        <x:v>1</x:v>
      </x:c>
      <x:c r="I738" s="20" t="n">
        <x:v>1</x:v>
      </x:c>
      <x:c r="J738" s="20" t="n">
        <x:v>1</x:v>
      </x:c>
      <x:c r="K738" s="20" t="n">
        <x:f>F738*G738*H738*I738*J738</x:f>
        <x:v>696</x:v>
      </x:c>
      <x:c r="L738" s="7" t="str">
        <x:v>Waste excluded from BOQ</x:v>
      </x:c>
      <x:c r="M738" s="2"/>
      <x:c r="N738" s="2"/>
      <x:c r="O738" s="2"/>
      <x:c r="P738" s="2"/>
      <x:c r="Q738" s="2"/>
    </x:row>
    <x:row r="739" ht="22" customHeight="1">
      <x:c r="A739" s="2" t="str">
        <x:v>M0732</x:v>
      </x:c>
      <x:c r="B739" s="2" t="str">
        <x:v>AR05</x:v>
      </x:c>
      <x:c r="C739" s="2" t="str">
        <x:v>T3</x:v>
      </x:c>
      <x:c r="D739" s="2" t="str">
        <x:v>L04</x:v>
      </x:c>
      <x:c r="E739" s="2" t="str">
        <x:v>Internal wall paint net</x:v>
      </x:c>
      <x:c r="F739" s="21" t="n">
        <x:v>2</x:v>
      </x:c>
      <x:c r="G739" s="21" t="n">
        <x:f>'Controls'!$B$45*('Controls'!$B$12-'Controls'!$B$13)-'Controls'!$B$48*'Controls'!$B$49*'Controls'!$B$50</x:f>
        <x:v>602.6800000000001</x:v>
      </x:c>
      <x:c r="H739" s="21" t="n">
        <x:v>1</x:v>
      </x:c>
      <x:c r="I739" s="21" t="n">
        <x:v>1</x:v>
      </x:c>
      <x:c r="J739" s="21" t="n">
        <x:v>1</x:v>
      </x:c>
      <x:c r="K739" s="21" t="n">
        <x:f>F739*G739*H739*I739*J739</x:f>
        <x:v>1205.3600000000001</x:v>
      </x:c>
      <x:c r="L739" s="2" t="str">
        <x:v>Finished area; two coats priced in rate</x:v>
      </x:c>
      <x:c r="M739" s="2"/>
      <x:c r="N739" s="2"/>
      <x:c r="O739" s="2"/>
      <x:c r="P739" s="2"/>
      <x:c r="Q739" s="2"/>
    </x:row>
    <x:row r="740" ht="22" customHeight="1">
      <x:c r="A740" s="7" t="str">
        <x:v>M0733</x:v>
      </x:c>
      <x:c r="B740" s="7" t="str">
        <x:v>AR06</x:v>
      </x:c>
      <x:c r="C740" s="7" t="str">
        <x:v>T3</x:v>
      </x:c>
      <x:c r="D740" s="7" t="str">
        <x:v>L04</x:v>
      </x:c>
      <x:c r="E740" s="7" t="str">
        <x:v>Door sets</x:v>
      </x:c>
      <x:c r="F740" s="20" t="n">
        <x:f>'Controls'!$B$48</x:f>
        <x:v>28</x:v>
      </x:c>
      <x:c r="G740" s="20" t="n">
        <x:v>1</x:v>
      </x:c>
      <x:c r="H740" s="20" t="n">
        <x:v>1</x:v>
      </x:c>
      <x:c r="I740" s="20" t="n">
        <x:v>1</x:v>
      </x:c>
      <x:c r="J740" s="20" t="n">
        <x:v>1</x:v>
      </x:c>
      <x:c r="K740" s="20" t="n">
        <x:f>F740*G740*H740*I740*J740</x:f>
        <x:v>28</x:v>
      </x:c>
      <x:c r="L740" s="7" t="str">
        <x:v>Door count, not double face</x:v>
      </x:c>
      <x:c r="M740" s="2"/>
      <x:c r="N740" s="2"/>
      <x:c r="O740" s="2"/>
      <x:c r="P740" s="2"/>
      <x:c r="Q740" s="2"/>
    </x:row>
    <x:row r="741" ht="22" customHeight="1">
      <x:c r="A741" s="2" t="str">
        <x:v>M0734</x:v>
      </x:c>
      <x:c r="B741" s="2" t="str">
        <x:v>RC03</x:v>
      </x:c>
      <x:c r="C741" s="2" t="str">
        <x:v>T3</x:v>
      </x:c>
      <x:c r="D741" s="2" t="str">
        <x:v>L05</x:v>
      </x:c>
      <x:c r="E741" s="2" t="str">
        <x:v>Floor slab gross</x:v>
      </x:c>
      <x:c r="F741" s="21" t="n">
        <x:v>1</x:v>
      </x:c>
      <x:c r="G741" s="21" t="n">
        <x:f>'Controls'!$B$10</x:f>
        <x:v>30</x:v>
      </x:c>
      <x:c r="H741" s="21" t="n">
        <x:f>'Controls'!$B$11</x:f>
        <x:v>24</x:v>
      </x:c>
      <x:c r="I741" s="21" t="n">
        <x:f>'Controls'!$B$13</x:f>
        <x:v>0.22</x:v>
      </x:c>
      <x:c r="J741" s="21" t="n">
        <x:v>1</x:v>
      </x:c>
      <x:c r="K741" s="21" t="n">
        <x:f>F741*G741*H741*I741*J741</x:f>
        <x:v>158.4</x:v>
      </x:c>
      <x:c r="L741" s="2" t="str">
        <x:v>Slab includes beam top flange; downstand separate</x:v>
      </x:c>
      <x:c r="M741" s="2"/>
      <x:c r="N741" s="2"/>
      <x:c r="O741" s="2"/>
      <x:c r="P741" s="2"/>
      <x:c r="Q741" s="2"/>
    </x:row>
    <x:row r="742" ht="22" customHeight="1">
      <x:c r="A742" s="7" t="str">
        <x:v>M0735</x:v>
      </x:c>
      <x:c r="B742" s="7" t="str">
        <x:v>RC03</x:v>
      </x:c>
      <x:c r="C742" s="7" t="str">
        <x:v>T3</x:v>
      </x:c>
      <x:c r="D742" s="7" t="str">
        <x:v>L05</x:v>
      </x:c>
      <x:c r="E742" s="7" t="str">
        <x:v>Stair opening deduction</x:v>
      </x:c>
      <x:c r="F742" s="20" t="n">
        <x:v>1</x:v>
      </x:c>
      <x:c r="G742" s="20" t="n">
        <x:f>'Controls'!$B$20</x:f>
        <x:v>4</x:v>
      </x:c>
      <x:c r="H742" s="20" t="n">
        <x:f>'Controls'!$B$21</x:f>
        <x:v>6</x:v>
      </x:c>
      <x:c r="I742" s="20" t="n">
        <x:f>'Controls'!$B$13</x:f>
        <x:v>0.22</x:v>
      </x:c>
      <x:c r="J742" s="20" t="n">
        <x:v>-1</x:v>
      </x:c>
      <x:c r="K742" s="20" t="n">
        <x:f>F742*G742*H742*I742*J742</x:f>
        <x:v>-5.28</x:v>
      </x:c>
      <x:c r="L742" s="7" t="str">
        <x:v>Opening OP-01</x:v>
      </x:c>
      <x:c r="M742" s="2"/>
      <x:c r="N742" s="2"/>
      <x:c r="O742" s="2"/>
      <x:c r="P742" s="2"/>
      <x:c r="Q742" s="2"/>
    </x:row>
    <x:row r="743" ht="22" customHeight="1">
      <x:c r="A743" s="2" t="str">
        <x:v>M0736</x:v>
      </x:c>
      <x:c r="B743" s="2" t="str">
        <x:v>RC04</x:v>
      </x:c>
      <x:c r="C743" s="2" t="str">
        <x:v>T3</x:v>
      </x:c>
      <x:c r="D743" s="2" t="str">
        <x:v>L05</x:v>
      </x:c>
      <x:c r="E743" s="2" t="str">
        <x:v>Beam downstands X</x:v>
      </x:c>
      <x:c r="F743" s="21" t="n">
        <x:v>1</x:v>
      </x:c>
      <x:c r="G743" s="21" t="n">
        <x:f>5*5*('Controls'!$B$10/5-'Controls'!$B$14)</x:f>
        <x:v>137.5</x:v>
      </x:c>
      <x:c r="H743" s="21" t="n">
        <x:f>'Controls'!$B$16</x:f>
        <x:v>0.3</x:v>
      </x:c>
      <x:c r="I743" s="21" t="n">
        <x:f>'Controls'!$B$17-'Controls'!$B$13</x:f>
        <x:v>0.38</x:v>
      </x:c>
      <x:c r="J743" s="21" t="n">
        <x:v>1</x:v>
      </x:c>
      <x:c r="K743" s="21" t="n">
        <x:f>F743*G743*H743*I743*J743</x:f>
        <x:v>15.675</x:v>
      </x:c>
      <x:c r="L743" s="2" t="str">
        <x:v>Clear spans between column faces; no joint overlap</x:v>
      </x:c>
      <x:c r="M743" s="2"/>
      <x:c r="N743" s="2"/>
      <x:c r="O743" s="2"/>
      <x:c r="P743" s="2"/>
      <x:c r="Q743" s="2"/>
    </x:row>
    <x:row r="744" ht="22" customHeight="1">
      <x:c r="A744" s="7" t="str">
        <x:v>M0737</x:v>
      </x:c>
      <x:c r="B744" s="7" t="str">
        <x:v>FW02</x:v>
      </x:c>
      <x:c r="C744" s="7" t="str">
        <x:v>T3</x:v>
      </x:c>
      <x:c r="D744" s="7" t="str">
        <x:v>L05</x:v>
      </x:c>
      <x:c r="E744" s="7" t="str">
        <x:v>Beam forms X</x:v>
      </x:c>
      <x:c r="F744" s="20" t="n">
        <x:v>1</x:v>
      </x:c>
      <x:c r="G744" s="20" t="n">
        <x:f>5*5*('Controls'!$B$10/5-'Controls'!$B$14)</x:f>
        <x:v>137.5</x:v>
      </x:c>
      <x:c r="H744" s="20" t="n">
        <x:f>'Controls'!$B$16+2*('Controls'!$B$17-'Controls'!$B$13)</x:f>
        <x:v>1.06</x:v>
      </x:c>
      <x:c r="I744" s="20" t="n">
        <x:v>1</x:v>
      </x:c>
      <x:c r="J744" s="20" t="n">
        <x:v>1</x:v>
      </x:c>
      <x:c r="K744" s="20" t="n">
        <x:f>F744*G744*H744*I744*J744</x:f>
        <x:v>145.75</x:v>
      </x:c>
      <x:c r="L744" s="7" t="str">
        <x:v>Soffit plus two downstand sides</x:v>
      </x:c>
      <x:c r="M744" s="2"/>
      <x:c r="N744" s="2"/>
      <x:c r="O744" s="2"/>
      <x:c r="P744" s="2"/>
      <x:c r="Q744" s="2"/>
    </x:row>
    <x:row r="745" ht="22" customHeight="1">
      <x:c r="A745" s="2" t="str">
        <x:v>M0738</x:v>
      </x:c>
      <x:c r="B745" s="2" t="str">
        <x:v>RC04</x:v>
      </x:c>
      <x:c r="C745" s="2" t="str">
        <x:v>T3</x:v>
      </x:c>
      <x:c r="D745" s="2" t="str">
        <x:v>L05</x:v>
      </x:c>
      <x:c r="E745" s="2" t="str">
        <x:v>Beam downstands Y</x:v>
      </x:c>
      <x:c r="F745" s="21" t="n">
        <x:v>1</x:v>
      </x:c>
      <x:c r="G745" s="21" t="n">
        <x:f>6*4*('Controls'!$B$11/4-'Controls'!$B$15)</x:f>
        <x:v>132</x:v>
      </x:c>
      <x:c r="H745" s="21" t="n">
        <x:f>'Controls'!$B$16</x:f>
        <x:v>0.3</x:v>
      </x:c>
      <x:c r="I745" s="21" t="n">
        <x:f>'Controls'!$B$17-'Controls'!$B$13</x:f>
        <x:v>0.38</x:v>
      </x:c>
      <x:c r="J745" s="21" t="n">
        <x:v>1</x:v>
      </x:c>
      <x:c r="K745" s="21" t="n">
        <x:f>F745*G745*H745*I745*J745</x:f>
        <x:v>15.048</x:v>
      </x:c>
      <x:c r="L745" s="2" t="str">
        <x:v>Clear spans between column faces; no joint overlap</x:v>
      </x:c>
      <x:c r="M745" s="2"/>
      <x:c r="N745" s="2"/>
      <x:c r="O745" s="2"/>
      <x:c r="P745" s="2"/>
      <x:c r="Q745" s="2"/>
    </x:row>
    <x:row r="746" ht="22" customHeight="1">
      <x:c r="A746" s="7" t="str">
        <x:v>M0739</x:v>
      </x:c>
      <x:c r="B746" s="7" t="str">
        <x:v>FW02</x:v>
      </x:c>
      <x:c r="C746" s="7" t="str">
        <x:v>T3</x:v>
      </x:c>
      <x:c r="D746" s="7" t="str">
        <x:v>L05</x:v>
      </x:c>
      <x:c r="E746" s="7" t="str">
        <x:v>Beam forms Y</x:v>
      </x:c>
      <x:c r="F746" s="20" t="n">
        <x:v>1</x:v>
      </x:c>
      <x:c r="G746" s="20" t="n">
        <x:f>6*4*('Controls'!$B$11/4-'Controls'!$B$15)</x:f>
        <x:v>132</x:v>
      </x:c>
      <x:c r="H746" s="20" t="n">
        <x:f>'Controls'!$B$16+2*('Controls'!$B$17-'Controls'!$B$13)</x:f>
        <x:v>1.06</x:v>
      </x:c>
      <x:c r="I746" s="20" t="n">
        <x:v>1</x:v>
      </x:c>
      <x:c r="J746" s="20" t="n">
        <x:v>1</x:v>
      </x:c>
      <x:c r="K746" s="20" t="n">
        <x:f>F746*G746*H746*I746*J746</x:f>
        <x:v>139.92000000000002</x:v>
      </x:c>
      <x:c r="L746" s="7" t="str">
        <x:v>Soffit plus two downstand sides</x:v>
      </x:c>
      <x:c r="M746" s="2"/>
      <x:c r="N746" s="2"/>
      <x:c r="O746" s="2"/>
      <x:c r="P746" s="2"/>
      <x:c r="Q746" s="2"/>
    </x:row>
    <x:row r="747" ht="22" customHeight="1">
      <x:c r="A747" s="2" t="str">
        <x:v>M0740</x:v>
      </x:c>
      <x:c r="B747" s="2" t="str">
        <x:v>RC05</x:v>
      </x:c>
      <x:c r="C747" s="2" t="str">
        <x:v>T3</x:v>
      </x:c>
      <x:c r="D747" s="2" t="str">
        <x:v>L05</x:v>
      </x:c>
      <x:c r="E747" s="2" t="str">
        <x:v>Thirty columns, clear storey</x:v>
      </x:c>
      <x:c r="F747" s="21" t="n">
        <x:v>30</x:v>
      </x:c>
      <x:c r="G747" s="21" t="n">
        <x:f>'Controls'!$B$14</x:f>
        <x:v>0.5</x:v>
      </x:c>
      <x:c r="H747" s="21" t="n">
        <x:f>'Controls'!$B$15</x:f>
        <x:v>0.5</x:v>
      </x:c>
      <x:c r="I747" s="21" t="n">
        <x:f>'Controls'!$B$12-'Controls'!$B$13</x:f>
        <x:v>2.98</x:v>
      </x:c>
      <x:c r="J747" s="21" t="n">
        <x:v>1</x:v>
      </x:c>
      <x:c r="K747" s="21" t="n">
        <x:f>F747*G747*H747*I747*J747</x:f>
        <x:v>22.35</x:v>
      </x:c>
      <x:c r="L747" s="2" t="str">
        <x:v>Slab volume excluded from columns</x:v>
      </x:c>
      <x:c r="M747" s="2"/>
      <x:c r="N747" s="2"/>
      <x:c r="O747" s="2"/>
      <x:c r="P747" s="2"/>
      <x:c r="Q747" s="2"/>
    </x:row>
    <x:row r="748" ht="22" customHeight="1">
      <x:c r="A748" s="7" t="str">
        <x:v>M0741</x:v>
      </x:c>
      <x:c r="B748" s="7" t="str">
        <x:v>RC06</x:v>
      </x:c>
      <x:c r="C748" s="7" t="str">
        <x:v>T3</x:v>
      </x:c>
      <x:c r="D748" s="7" t="str">
        <x:v>L05</x:v>
      </x:c>
      <x:c r="E748" s="7" t="str">
        <x:v>Core walls clear storey</x:v>
      </x:c>
      <x:c r="F748" s="20" t="n">
        <x:v>1</x:v>
      </x:c>
      <x:c r="G748" s="20" t="n">
        <x:f>'Controls'!$B$19</x:f>
        <x:v>24</x:v>
      </x:c>
      <x:c r="H748" s="20" t="n">
        <x:f>'Controls'!$B$18</x:f>
        <x:v>0.25</x:v>
      </x:c>
      <x:c r="I748" s="20" t="n">
        <x:f>'Controls'!$B$12-'Controls'!$B$13</x:f>
        <x:v>2.98</x:v>
      </x:c>
      <x:c r="J748" s="20" t="n">
        <x:v>1</x:v>
      </x:c>
      <x:c r="K748" s="20" t="n">
        <x:f>F748*G748*H748*I748*J748</x:f>
        <x:v>17.88</x:v>
      </x:c>
      <x:c r="L748" s="7" t="str">
        <x:v>Net clear wall length excludes corners</x:v>
      </x:c>
      <x:c r="M748" s="2"/>
      <x:c r="N748" s="2"/>
      <x:c r="O748" s="2"/>
      <x:c r="P748" s="2"/>
      <x:c r="Q748" s="2"/>
    </x:row>
    <x:row r="749" ht="22" customHeight="1">
      <x:c r="A749" s="2" t="str">
        <x:v>M0742</x:v>
      </x:c>
      <x:c r="B749" s="2" t="str">
        <x:v>RC07</x:v>
      </x:c>
      <x:c r="C749" s="2" t="str">
        <x:v>T3</x:v>
      </x:c>
      <x:c r="D749" s="2" t="str">
        <x:v>L05</x:v>
      </x:c>
      <x:c r="E749" s="2" t="str">
        <x:v>Stair flights waist</x:v>
      </x:c>
      <x:c r="F749" s="21" t="n">
        <x:v>2</x:v>
      </x:c>
      <x:c r="G749" s="21" t="n">
        <x:v>4.1</x:v>
      </x:c>
      <x:c r="H749" s="21" t="n">
        <x:v>1.2</x:v>
      </x:c>
      <x:c r="I749" s="21" t="n">
        <x:v>0.18</x:v>
      </x:c>
      <x:c r="J749" s="21" t="n">
        <x:v>1</x:v>
      </x:c>
      <x:c r="K749" s="21" t="n">
        <x:f>F749*G749*H749*I749*J749</x:f>
        <x:v>1.7711999999999997</x:v>
      </x:c>
      <x:c r="L749" s="2" t="str">
        <x:v>Two flights; geometry separate from floor slab</x:v>
      </x:c>
      <x:c r="M749" s="2"/>
      <x:c r="N749" s="2"/>
      <x:c r="O749" s="2"/>
      <x:c r="P749" s="2"/>
      <x:c r="Q749" s="2"/>
    </x:row>
    <x:row r="750" ht="22" customHeight="1">
      <x:c r="A750" s="7" t="str">
        <x:v>M0743</x:v>
      </x:c>
      <x:c r="B750" s="7" t="str">
        <x:v>RC07</x:v>
      </x:c>
      <x:c r="C750" s="7" t="str">
        <x:v>T3</x:v>
      </x:c>
      <x:c r="D750" s="7" t="str">
        <x:v>L05</x:v>
      </x:c>
      <x:c r="E750" s="7" t="str">
        <x:v>Stair landings</x:v>
      </x:c>
      <x:c r="F750" s="20" t="n">
        <x:v>2</x:v>
      </x:c>
      <x:c r="G750" s="20" t="n">
        <x:v>2</x:v>
      </x:c>
      <x:c r="H750" s="20" t="n">
        <x:v>1.2</x:v>
      </x:c>
      <x:c r="I750" s="20" t="n">
        <x:v>0.18</x:v>
      </x:c>
      <x:c r="J750" s="20" t="n">
        <x:v>1</x:v>
      </x:c>
      <x:c r="K750" s="20" t="n">
        <x:f>F750*G750*H750*I750*J750</x:f>
        <x:v>0.864</x:v>
      </x:c>
      <x:c r="L750" s="7" t="str">
        <x:v>Within stair opening</x:v>
      </x:c>
      <x:c r="M750" s="2"/>
      <x:c r="N750" s="2"/>
      <x:c r="O750" s="2"/>
      <x:c r="P750" s="2"/>
      <x:c r="Q750" s="2"/>
    </x:row>
    <x:row r="751" ht="22" customHeight="1">
      <x:c r="A751" s="2" t="str">
        <x:v>M0744</x:v>
      </x:c>
      <x:c r="B751" s="2" t="str">
        <x:v>FW01</x:v>
      </x:c>
      <x:c r="C751" s="2" t="str">
        <x:v>T3</x:v>
      </x:c>
      <x:c r="D751" s="2" t="str">
        <x:v>L05</x:v>
      </x:c>
      <x:c r="E751" s="2" t="str">
        <x:v>Slab soffit gross</x:v>
      </x:c>
      <x:c r="F751" s="21" t="n">
        <x:v>1</x:v>
      </x:c>
      <x:c r="G751" s="21" t="n">
        <x:f>'Controls'!$B$10</x:f>
        <x:v>30</x:v>
      </x:c>
      <x:c r="H751" s="21" t="n">
        <x:f>'Controls'!$B$11</x:f>
        <x:v>24</x:v>
      </x:c>
      <x:c r="I751" s="21" t="n">
        <x:v>1</x:v>
      </x:c>
      <x:c r="J751" s="21" t="n">
        <x:v>1</x:v>
      </x:c>
      <x:c r="K751" s="21" t="n">
        <x:f>F751*G751*H751*I751*J751</x:f>
        <x:v>720</x:v>
      </x:c>
      <x:c r="L751" s="2" t="str">
        <x:v>Beam soffit deducted below</x:v>
      </x:c>
      <x:c r="M751" s="2"/>
      <x:c r="N751" s="2"/>
      <x:c r="O751" s="2"/>
      <x:c r="P751" s="2"/>
      <x:c r="Q751" s="2"/>
    </x:row>
    <x:row r="752" ht="22" customHeight="1">
      <x:c r="A752" s="7" t="str">
        <x:v>M0745</x:v>
      </x:c>
      <x:c r="B752" s="7" t="str">
        <x:v>FW01</x:v>
      </x:c>
      <x:c r="C752" s="7" t="str">
        <x:v>T3</x:v>
      </x:c>
      <x:c r="D752" s="7" t="str">
        <x:v>L05</x:v>
      </x:c>
      <x:c r="E752" s="7" t="str">
        <x:v>Stair opening deduction</x:v>
      </x:c>
      <x:c r="F752" s="20" t="n">
        <x:v>1</x:v>
      </x:c>
      <x:c r="G752" s="20" t="n">
        <x:f>'Controls'!$B$20</x:f>
        <x:v>4</x:v>
      </x:c>
      <x:c r="H752" s="20" t="n">
        <x:f>'Controls'!$B$21</x:f>
        <x:v>6</x:v>
      </x:c>
      <x:c r="I752" s="20" t="n">
        <x:v>1</x:v>
      </x:c>
      <x:c r="J752" s="20" t="n">
        <x:v>-1</x:v>
      </x:c>
      <x:c r="K752" s="20" t="n">
        <x:f>F752*G752*H752*I752*J752</x:f>
        <x:v>-24</x:v>
      </x:c>
      <x:c r="L752" s="7" t="str">
        <x:v>OP-01</x:v>
      </x:c>
      <x:c r="M752" s="2"/>
      <x:c r="N752" s="2"/>
      <x:c r="O752" s="2"/>
      <x:c r="P752" s="2"/>
      <x:c r="Q752" s="2"/>
    </x:row>
    <x:row r="753" ht="22" customHeight="1">
      <x:c r="A753" s="2" t="str">
        <x:v>M0746</x:v>
      </x:c>
      <x:c r="B753" s="2" t="str">
        <x:v>FW01</x:v>
      </x:c>
      <x:c r="C753" s="2" t="str">
        <x:v>T3</x:v>
      </x:c>
      <x:c r="D753" s="2" t="str">
        <x:v>L05</x:v>
      </x:c>
      <x:c r="E753" s="2" t="str">
        <x:v>Beam soffit deduction</x:v>
      </x:c>
      <x:c r="F753" s="21" t="n">
        <x:v>1</x:v>
      </x:c>
      <x:c r="G753" s="21" t="n">
        <x:f>5*5*('Controls'!$B$10/5-'Controls'!$B$14)+6*4*('Controls'!$B$11/4-'Controls'!$B$15)</x:f>
        <x:v>269.5</x:v>
      </x:c>
      <x:c r="H753" s="21" t="n">
        <x:f>'Controls'!$B$16</x:f>
        <x:v>0.3</x:v>
      </x:c>
      <x:c r="I753" s="21" t="n">
        <x:v>1</x:v>
      </x:c>
      <x:c r="J753" s="21" t="n">
        <x:v>-1</x:v>
      </x:c>
      <x:c r="K753" s="21" t="n">
        <x:f>F753*G753*H753*I753*J753</x:f>
        <x:v>-80.85</x:v>
      </x:c>
      <x:c r="L753" s="2" t="str">
        <x:v>Beam forms measured in FW02</x:v>
      </x:c>
      <x:c r="M753" s="2"/>
      <x:c r="N753" s="2"/>
      <x:c r="O753" s="2"/>
      <x:c r="P753" s="2"/>
      <x:c r="Q753" s="2"/>
    </x:row>
    <x:row r="754" ht="22" customHeight="1">
      <x:c r="A754" s="7" t="str">
        <x:v>M0747</x:v>
      </x:c>
      <x:c r="B754" s="7" t="str">
        <x:v>FW03</x:v>
      </x:c>
      <x:c r="C754" s="7" t="str">
        <x:v>T3</x:v>
      </x:c>
      <x:c r="D754" s="7" t="str">
        <x:v>L05</x:v>
      </x:c>
      <x:c r="E754" s="7" t="str">
        <x:v>Column four faces</x:v>
      </x:c>
      <x:c r="F754" s="20" t="n">
        <x:v>30</x:v>
      </x:c>
      <x:c r="G754" s="20" t="n">
        <x:f>2*('Controls'!$B$14+'Controls'!$B$15)</x:f>
        <x:v>2</x:v>
      </x:c>
      <x:c r="H754" s="20" t="n">
        <x:f>'Controls'!$B$12-'Controls'!$B$13</x:f>
        <x:v>2.98</x:v>
      </x:c>
      <x:c r="I754" s="20" t="n">
        <x:v>1</x:v>
      </x:c>
      <x:c r="J754" s="20" t="n">
        <x:v>1</x:v>
      </x:c>
      <x:c r="K754" s="20" t="n">
        <x:f>F754*G754*H754*I754*J754</x:f>
        <x:v>178.8</x:v>
      </x:c>
      <x:c r="L754" s="7" t="str">
        <x:v>Clear floor-to-soffit</x:v>
      </x:c>
      <x:c r="M754" s="2"/>
      <x:c r="N754" s="2"/>
      <x:c r="O754" s="2"/>
      <x:c r="P754" s="2"/>
      <x:c r="Q754" s="2"/>
    </x:row>
    <x:row r="755" ht="22" customHeight="1">
      <x:c r="A755" s="2" t="str">
        <x:v>M0748</x:v>
      </x:c>
      <x:c r="B755" s="2" t="str">
        <x:v>FW04</x:v>
      </x:c>
      <x:c r="C755" s="2" t="str">
        <x:v>T3</x:v>
      </x:c>
      <x:c r="D755" s="2" t="str">
        <x:v>L05</x:v>
      </x:c>
      <x:c r="E755" s="2" t="str">
        <x:v>Core wall two faces</x:v>
      </x:c>
      <x:c r="F755" s="21" t="n">
        <x:v>2</x:v>
      </x:c>
      <x:c r="G755" s="21" t="n">
        <x:f>'Controls'!$B$19</x:f>
        <x:v>24</x:v>
      </x:c>
      <x:c r="H755" s="21" t="n">
        <x:f>'Controls'!$B$12-'Controls'!$B$13</x:f>
        <x:v>2.98</x:v>
      </x:c>
      <x:c r="I755" s="21" t="n">
        <x:v>1</x:v>
      </x:c>
      <x:c r="J755" s="21" t="n">
        <x:v>1</x:v>
      </x:c>
      <x:c r="K755" s="21" t="n">
        <x:f>F755*G755*H755*I755*J755</x:f>
        <x:v>143.04</x:v>
      </x:c>
      <x:c r="L755" s="2" t="str">
        <x:v>Net perimeter, no repeated corners</x:v>
      </x:c>
      <x:c r="M755" s="2"/>
      <x:c r="N755" s="2"/>
      <x:c r="O755" s="2"/>
      <x:c r="P755" s="2"/>
      <x:c r="Q755" s="2"/>
    </x:row>
    <x:row r="756" ht="22" customHeight="1">
      <x:c r="A756" s="7" t="str">
        <x:v>M0749</x:v>
      </x:c>
      <x:c r="B756" s="7" t="str">
        <x:v>AR01</x:v>
      </x:c>
      <x:c r="C756" s="7" t="str">
        <x:v>T3</x:v>
      </x:c>
      <x:c r="D756" s="7" t="str">
        <x:v>L05</x:v>
      </x:c>
      <x:c r="E756" s="7" t="str">
        <x:v>Partition walls gross</x:v>
      </x:c>
      <x:c r="F756" s="20" t="n">
        <x:v>1</x:v>
      </x:c>
      <x:c r="G756" s="20" t="n">
        <x:f>'Controls'!$B$45</x:f>
        <x:v>220</x:v>
      </x:c>
      <x:c r="H756" s="20" t="n">
        <x:f>'Controls'!$B$12-'Controls'!$B$13</x:f>
        <x:v>2.98</x:v>
      </x:c>
      <x:c r="I756" s="20" t="n">
        <x:f>'Controls'!$B$46</x:f>
        <x:v>0.15</x:v>
      </x:c>
      <x:c r="J756" s="20" t="n">
        <x:v>1</x:v>
      </x:c>
      <x:c r="K756" s="20" t="n">
        <x:f>F756*G756*H756*I756*J756</x:f>
        <x:v>98.34</x:v>
      </x:c>
      <x:c r="L756" s="7" t="str">
        <x:v>Net openings deducted below</x:v>
      </x:c>
      <x:c r="M756" s="2"/>
      <x:c r="N756" s="2"/>
      <x:c r="O756" s="2"/>
      <x:c r="P756" s="2"/>
      <x:c r="Q756" s="2"/>
    </x:row>
    <x:row r="757" ht="22" customHeight="1">
      <x:c r="A757" s="2" t="str">
        <x:v>M0750</x:v>
      </x:c>
      <x:c r="B757" s="2" t="str">
        <x:v>AR01</x:v>
      </x:c>
      <x:c r="C757" s="2" t="str">
        <x:v>T3</x:v>
      </x:c>
      <x:c r="D757" s="2" t="str">
        <x:v>L05</x:v>
      </x:c>
      <x:c r="E757" s="2" t="str">
        <x:v>Internal doors deduction</x:v>
      </x:c>
      <x:c r="F757" s="21" t="n">
        <x:f>'Controls'!$B$48</x:f>
        <x:v>28</x:v>
      </x:c>
      <x:c r="G757" s="21" t="n">
        <x:f>'Controls'!$B$49</x:f>
        <x:v>0.9</x:v>
      </x:c>
      <x:c r="H757" s="21" t="n">
        <x:f>'Controls'!$B$50</x:f>
        <x:v>2.1</x:v>
      </x:c>
      <x:c r="I757" s="21" t="n">
        <x:f>'Controls'!$B$46</x:f>
        <x:v>0.15</x:v>
      </x:c>
      <x:c r="J757" s="21" t="n">
        <x:v>-1</x:v>
      </x:c>
      <x:c r="K757" s="21" t="n">
        <x:f>F757*G757*H757*I757*J757</x:f>
        <x:v>-7.938</x:v>
      </x:c>
      <x:c r="L757" s="2" t="str">
        <x:v>28 doors per floor, OP-02</x:v>
      </x:c>
      <x:c r="M757" s="2"/>
      <x:c r="N757" s="2"/>
      <x:c r="O757" s="2"/>
      <x:c r="P757" s="2"/>
      <x:c r="Q757" s="2"/>
    </x:row>
    <x:row r="758" ht="22" customHeight="1">
      <x:c r="A758" s="7" t="str">
        <x:v>M0751</x:v>
      </x:c>
      <x:c r="B758" s="7" t="str">
        <x:v>AR02</x:v>
      </x:c>
      <x:c r="C758" s="7" t="str">
        <x:v>T3</x:v>
      </x:c>
      <x:c r="D758" s="7" t="str">
        <x:v>L05</x:v>
      </x:c>
      <x:c r="E758" s="7" t="str">
        <x:v>Internal plaster gross</x:v>
      </x:c>
      <x:c r="F758" s="20" t="n">
        <x:v>2</x:v>
      </x:c>
      <x:c r="G758" s="20" t="n">
        <x:f>'Controls'!$B$45</x:f>
        <x:v>220</x:v>
      </x:c>
      <x:c r="H758" s="20" t="n">
        <x:f>'Controls'!$B$12-'Controls'!$B$13</x:f>
        <x:v>2.98</x:v>
      </x:c>
      <x:c r="I758" s="20" t="n">
        <x:v>1</x:v>
      </x:c>
      <x:c r="J758" s="20" t="n">
        <x:v>1</x:v>
      </x:c>
      <x:c r="K758" s="20" t="n">
        <x:f>F758*G758*H758*I758*J758</x:f>
        <x:v>1311.2</x:v>
      </x:c>
      <x:c r="L758" s="7" t="str">
        <x:v>Both faces of partition walls</x:v>
      </x:c>
      <x:c r="M758" s="2"/>
      <x:c r="N758" s="2"/>
      <x:c r="O758" s="2"/>
      <x:c r="P758" s="2"/>
      <x:c r="Q758" s="2"/>
    </x:row>
    <x:row r="759" ht="22" customHeight="1">
      <x:c r="A759" s="2" t="str">
        <x:v>M0752</x:v>
      </x:c>
      <x:c r="B759" s="2" t="str">
        <x:v>AR02</x:v>
      </x:c>
      <x:c r="C759" s="2" t="str">
        <x:v>T3</x:v>
      </x:c>
      <x:c r="D759" s="2" t="str">
        <x:v>L05</x:v>
      </x:c>
      <x:c r="E759" s="2" t="str">
        <x:v>Door area deduction both faces</x:v>
      </x:c>
      <x:c r="F759" s="21" t="n">
        <x:f>2*'Controls'!$B$48</x:f>
        <x:v>56</x:v>
      </x:c>
      <x:c r="G759" s="21" t="n">
        <x:f>'Controls'!$B$49</x:f>
        <x:v>0.9</x:v>
      </x:c>
      <x:c r="H759" s="21" t="n">
        <x:f>'Controls'!$B$50</x:f>
        <x:v>2.1</x:v>
      </x:c>
      <x:c r="I759" s="21" t="n">
        <x:v>1</x:v>
      </x:c>
      <x:c r="J759" s="21" t="n">
        <x:v>-1</x:v>
      </x:c>
      <x:c r="K759" s="21" t="n">
        <x:f>F759*G759*H759*I759*J759</x:f>
        <x:v>-105.84</x:v>
      </x:c>
      <x:c r="L759" s="2" t="str">
        <x:v>No plaster over openings</x:v>
      </x:c>
      <x:c r="M759" s="2"/>
      <x:c r="N759" s="2"/>
      <x:c r="O759" s="2"/>
      <x:c r="P759" s="2"/>
      <x:c r="Q759" s="2"/>
    </x:row>
    <x:row r="760" ht="22" customHeight="1">
      <x:c r="A760" s="7" t="str">
        <x:v>M0753</x:v>
      </x:c>
      <x:c r="B760" s="7" t="str">
        <x:v>AR03</x:v>
      </x:c>
      <x:c r="C760" s="7" t="str">
        <x:v>T3</x:v>
      </x:c>
      <x:c r="D760" s="7" t="str">
        <x:v>L05</x:v>
      </x:c>
      <x:c r="E760" s="7" t="str">
        <x:v>Floor screed net</x:v>
      </x:c>
      <x:c r="F760" s="20" t="n">
        <x:v>1</x:v>
      </x:c>
      <x:c r="G760" s="20" t="n">
        <x:f>'Controls'!$B$10*'Controls'!$B$11-'Controls'!$B$20*'Controls'!$B$21</x:f>
        <x:v>696</x:v>
      </x:c>
      <x:c r="H760" s="20" t="n">
        <x:v>1</x:v>
      </x:c>
      <x:c r="I760" s="20" t="n">
        <x:v>1</x:v>
      </x:c>
      <x:c r="J760" s="20" t="n">
        <x:v>1</x:v>
      </x:c>
      <x:c r="K760" s="20" t="n">
        <x:f>F760*G760*H760*I760*J760</x:f>
        <x:v>696</x:v>
      </x:c>
      <x:c r="L760" s="7" t="str">
        <x:v>Net structural floor area</x:v>
      </x:c>
      <x:c r="M760" s="2"/>
      <x:c r="N760" s="2"/>
      <x:c r="O760" s="2"/>
      <x:c r="P760" s="2"/>
      <x:c r="Q760" s="2"/>
    </x:row>
    <x:row r="761" ht="22" customHeight="1">
      <x:c r="A761" s="2" t="str">
        <x:v>M0754</x:v>
      </x:c>
      <x:c r="B761" s="2" t="str">
        <x:v>AR04</x:v>
      </x:c>
      <x:c r="C761" s="2" t="str">
        <x:v>T3</x:v>
      </x:c>
      <x:c r="D761" s="2" t="str">
        <x:v>L05</x:v>
      </x:c>
      <x:c r="E761" s="2" t="str">
        <x:v>Floor finish net</x:v>
      </x:c>
      <x:c r="F761" s="21" t="n">
        <x:v>1</x:v>
      </x:c>
      <x:c r="G761" s="21" t="n">
        <x:f>'Controls'!$B$10*'Controls'!$B$11-'Controls'!$B$20*'Controls'!$B$21</x:f>
        <x:v>696</x:v>
      </x:c>
      <x:c r="H761" s="21" t="n">
        <x:v>1</x:v>
      </x:c>
      <x:c r="I761" s="21" t="n">
        <x:v>1</x:v>
      </x:c>
      <x:c r="J761" s="21" t="n">
        <x:v>1</x:v>
      </x:c>
      <x:c r="K761" s="21" t="n">
        <x:f>F761*G761*H761*I761*J761</x:f>
        <x:v>696</x:v>
      </x:c>
      <x:c r="L761" s="2" t="str">
        <x:v>Waste excluded from BOQ</x:v>
      </x:c>
      <x:c r="M761" s="2"/>
      <x:c r="N761" s="2"/>
      <x:c r="O761" s="2"/>
      <x:c r="P761" s="2"/>
      <x:c r="Q761" s="2"/>
    </x:row>
    <x:row r="762" ht="22" customHeight="1">
      <x:c r="A762" s="7" t="str">
        <x:v>M0755</x:v>
      </x:c>
      <x:c r="B762" s="7" t="str">
        <x:v>AR05</x:v>
      </x:c>
      <x:c r="C762" s="7" t="str">
        <x:v>T3</x:v>
      </x:c>
      <x:c r="D762" s="7" t="str">
        <x:v>L05</x:v>
      </x:c>
      <x:c r="E762" s="7" t="str">
        <x:v>Internal wall paint net</x:v>
      </x:c>
      <x:c r="F762" s="20" t="n">
        <x:v>2</x:v>
      </x:c>
      <x:c r="G762" s="20" t="n">
        <x:f>'Controls'!$B$45*('Controls'!$B$12-'Controls'!$B$13)-'Controls'!$B$48*'Controls'!$B$49*'Controls'!$B$50</x:f>
        <x:v>602.6800000000001</x:v>
      </x:c>
      <x:c r="H762" s="20" t="n">
        <x:v>1</x:v>
      </x:c>
      <x:c r="I762" s="20" t="n">
        <x:v>1</x:v>
      </x:c>
      <x:c r="J762" s="20" t="n">
        <x:v>1</x:v>
      </x:c>
      <x:c r="K762" s="20" t="n">
        <x:f>F762*G762*H762*I762*J762</x:f>
        <x:v>1205.3600000000001</x:v>
      </x:c>
      <x:c r="L762" s="7" t="str">
        <x:v>Finished area; two coats priced in rate</x:v>
      </x:c>
      <x:c r="M762" s="2"/>
      <x:c r="N762" s="2"/>
      <x:c r="O762" s="2"/>
      <x:c r="P762" s="2"/>
      <x:c r="Q762" s="2"/>
    </x:row>
    <x:row r="763" ht="22" customHeight="1">
      <x:c r="A763" s="2" t="str">
        <x:v>M0756</x:v>
      </x:c>
      <x:c r="B763" s="2" t="str">
        <x:v>AR06</x:v>
      </x:c>
      <x:c r="C763" s="2" t="str">
        <x:v>T3</x:v>
      </x:c>
      <x:c r="D763" s="2" t="str">
        <x:v>L05</x:v>
      </x:c>
      <x:c r="E763" s="2" t="str">
        <x:v>Door sets</x:v>
      </x:c>
      <x:c r="F763" s="21" t="n">
        <x:f>'Controls'!$B$48</x:f>
        <x:v>28</x:v>
      </x:c>
      <x:c r="G763" s="21" t="n">
        <x:v>1</x:v>
      </x:c>
      <x:c r="H763" s="21" t="n">
        <x:v>1</x:v>
      </x:c>
      <x:c r="I763" s="21" t="n">
        <x:v>1</x:v>
      </x:c>
      <x:c r="J763" s="21" t="n">
        <x:v>1</x:v>
      </x:c>
      <x:c r="K763" s="21" t="n">
        <x:f>F763*G763*H763*I763*J763</x:f>
        <x:v>28</x:v>
      </x:c>
      <x:c r="L763" s="2" t="str">
        <x:v>Door count, not double face</x:v>
      </x:c>
      <x:c r="M763" s="2"/>
      <x:c r="N763" s="2"/>
      <x:c r="O763" s="2"/>
      <x:c r="P763" s="2"/>
      <x:c r="Q763" s="2"/>
    </x:row>
    <x:row r="764" ht="22" customHeight="1">
      <x:c r="A764" s="7" t="str">
        <x:v>M0757</x:v>
      </x:c>
      <x:c r="B764" s="7" t="str">
        <x:v>RC03</x:v>
      </x:c>
      <x:c r="C764" s="7" t="str">
        <x:v>T3</x:v>
      </x:c>
      <x:c r="D764" s="7" t="str">
        <x:v>L06</x:v>
      </x:c>
      <x:c r="E764" s="7" t="str">
        <x:v>Floor slab gross</x:v>
      </x:c>
      <x:c r="F764" s="20" t="n">
        <x:v>1</x:v>
      </x:c>
      <x:c r="G764" s="20" t="n">
        <x:f>'Controls'!$B$10</x:f>
        <x:v>30</x:v>
      </x:c>
      <x:c r="H764" s="20" t="n">
        <x:f>'Controls'!$B$11</x:f>
        <x:v>24</x:v>
      </x:c>
      <x:c r="I764" s="20" t="n">
        <x:f>'Controls'!$B$13</x:f>
        <x:v>0.22</x:v>
      </x:c>
      <x:c r="J764" s="20" t="n">
        <x:v>1</x:v>
      </x:c>
      <x:c r="K764" s="20" t="n">
        <x:f>F764*G764*H764*I764*J764</x:f>
        <x:v>158.4</x:v>
      </x:c>
      <x:c r="L764" s="7" t="str">
        <x:v>Slab includes beam top flange; downstand separate</x:v>
      </x:c>
      <x:c r="M764" s="2"/>
      <x:c r="N764" s="2"/>
      <x:c r="O764" s="2"/>
      <x:c r="P764" s="2"/>
      <x:c r="Q764" s="2"/>
    </x:row>
    <x:row r="765" ht="22" customHeight="1">
      <x:c r="A765" s="2" t="str">
        <x:v>M0758</x:v>
      </x:c>
      <x:c r="B765" s="2" t="str">
        <x:v>RC03</x:v>
      </x:c>
      <x:c r="C765" s="2" t="str">
        <x:v>T3</x:v>
      </x:c>
      <x:c r="D765" s="2" t="str">
        <x:v>L06</x:v>
      </x:c>
      <x:c r="E765" s="2" t="str">
        <x:v>Stair opening deduction</x:v>
      </x:c>
      <x:c r="F765" s="21" t="n">
        <x:v>1</x:v>
      </x:c>
      <x:c r="G765" s="21" t="n">
        <x:f>'Controls'!$B$20</x:f>
        <x:v>4</x:v>
      </x:c>
      <x:c r="H765" s="21" t="n">
        <x:f>'Controls'!$B$21</x:f>
        <x:v>6</x:v>
      </x:c>
      <x:c r="I765" s="21" t="n">
        <x:f>'Controls'!$B$13</x:f>
        <x:v>0.22</x:v>
      </x:c>
      <x:c r="J765" s="21" t="n">
        <x:v>-1</x:v>
      </x:c>
      <x:c r="K765" s="21" t="n">
        <x:f>F765*G765*H765*I765*J765</x:f>
        <x:v>-5.28</x:v>
      </x:c>
      <x:c r="L765" s="2" t="str">
        <x:v>Opening OP-01</x:v>
      </x:c>
      <x:c r="M765" s="2"/>
      <x:c r="N765" s="2"/>
      <x:c r="O765" s="2"/>
      <x:c r="P765" s="2"/>
      <x:c r="Q765" s="2"/>
    </x:row>
    <x:row r="766" ht="22" customHeight="1">
      <x:c r="A766" s="7" t="str">
        <x:v>M0759</x:v>
      </x:c>
      <x:c r="B766" s="7" t="str">
        <x:v>RC04</x:v>
      </x:c>
      <x:c r="C766" s="7" t="str">
        <x:v>T3</x:v>
      </x:c>
      <x:c r="D766" s="7" t="str">
        <x:v>L06</x:v>
      </x:c>
      <x:c r="E766" s="7" t="str">
        <x:v>Beam downstands X</x:v>
      </x:c>
      <x:c r="F766" s="20" t="n">
        <x:v>1</x:v>
      </x:c>
      <x:c r="G766" s="20" t="n">
        <x:f>5*5*('Controls'!$B$10/5-'Controls'!$B$14)</x:f>
        <x:v>137.5</x:v>
      </x:c>
      <x:c r="H766" s="20" t="n">
        <x:f>'Controls'!$B$16</x:f>
        <x:v>0.3</x:v>
      </x:c>
      <x:c r="I766" s="20" t="n">
        <x:f>'Controls'!$B$17-'Controls'!$B$13</x:f>
        <x:v>0.38</x:v>
      </x:c>
      <x:c r="J766" s="20" t="n">
        <x:v>1</x:v>
      </x:c>
      <x:c r="K766" s="20" t="n">
        <x:f>F766*G766*H766*I766*J766</x:f>
        <x:v>15.675</x:v>
      </x:c>
      <x:c r="L766" s="7" t="str">
        <x:v>Clear spans between column faces; no joint overlap</x:v>
      </x:c>
      <x:c r="M766" s="2"/>
      <x:c r="N766" s="2"/>
      <x:c r="O766" s="2"/>
      <x:c r="P766" s="2"/>
      <x:c r="Q766" s="2"/>
    </x:row>
    <x:row r="767" ht="22" customHeight="1">
      <x:c r="A767" s="2" t="str">
        <x:v>M0760</x:v>
      </x:c>
      <x:c r="B767" s="2" t="str">
        <x:v>FW02</x:v>
      </x:c>
      <x:c r="C767" s="2" t="str">
        <x:v>T3</x:v>
      </x:c>
      <x:c r="D767" s="2" t="str">
        <x:v>L06</x:v>
      </x:c>
      <x:c r="E767" s="2" t="str">
        <x:v>Beam forms X</x:v>
      </x:c>
      <x:c r="F767" s="21" t="n">
        <x:v>1</x:v>
      </x:c>
      <x:c r="G767" s="21" t="n">
        <x:f>5*5*('Controls'!$B$10/5-'Controls'!$B$14)</x:f>
        <x:v>137.5</x:v>
      </x:c>
      <x:c r="H767" s="21" t="n">
        <x:f>'Controls'!$B$16+2*('Controls'!$B$17-'Controls'!$B$13)</x:f>
        <x:v>1.06</x:v>
      </x:c>
      <x:c r="I767" s="21" t="n">
        <x:v>1</x:v>
      </x:c>
      <x:c r="J767" s="21" t="n">
        <x:v>1</x:v>
      </x:c>
      <x:c r="K767" s="21" t="n">
        <x:f>F767*G767*H767*I767*J767</x:f>
        <x:v>145.75</x:v>
      </x:c>
      <x:c r="L767" s="2" t="str">
        <x:v>Soffit plus two downstand sides</x:v>
      </x:c>
      <x:c r="M767" s="2"/>
      <x:c r="N767" s="2"/>
      <x:c r="O767" s="2"/>
      <x:c r="P767" s="2"/>
      <x:c r="Q767" s="2"/>
    </x:row>
    <x:row r="768" ht="22" customHeight="1">
      <x:c r="A768" s="7" t="str">
        <x:v>M0761</x:v>
      </x:c>
      <x:c r="B768" s="7" t="str">
        <x:v>RC04</x:v>
      </x:c>
      <x:c r="C768" s="7" t="str">
        <x:v>T3</x:v>
      </x:c>
      <x:c r="D768" s="7" t="str">
        <x:v>L06</x:v>
      </x:c>
      <x:c r="E768" s="7" t="str">
        <x:v>Beam downstands Y</x:v>
      </x:c>
      <x:c r="F768" s="20" t="n">
        <x:v>1</x:v>
      </x:c>
      <x:c r="G768" s="20" t="n">
        <x:f>6*4*('Controls'!$B$11/4-'Controls'!$B$15)</x:f>
        <x:v>132</x:v>
      </x:c>
      <x:c r="H768" s="20" t="n">
        <x:f>'Controls'!$B$16</x:f>
        <x:v>0.3</x:v>
      </x:c>
      <x:c r="I768" s="20" t="n">
        <x:f>'Controls'!$B$17-'Controls'!$B$13</x:f>
        <x:v>0.38</x:v>
      </x:c>
      <x:c r="J768" s="20" t="n">
        <x:v>1</x:v>
      </x:c>
      <x:c r="K768" s="20" t="n">
        <x:f>F768*G768*H768*I768*J768</x:f>
        <x:v>15.048</x:v>
      </x:c>
      <x:c r="L768" s="7" t="str">
        <x:v>Clear spans between column faces; no joint overlap</x:v>
      </x:c>
      <x:c r="M768" s="2"/>
      <x:c r="N768" s="2"/>
      <x:c r="O768" s="2"/>
      <x:c r="P768" s="2"/>
      <x:c r="Q768" s="2"/>
    </x:row>
    <x:row r="769" ht="22" customHeight="1">
      <x:c r="A769" s="2" t="str">
        <x:v>M0762</x:v>
      </x:c>
      <x:c r="B769" s="2" t="str">
        <x:v>FW02</x:v>
      </x:c>
      <x:c r="C769" s="2" t="str">
        <x:v>T3</x:v>
      </x:c>
      <x:c r="D769" s="2" t="str">
        <x:v>L06</x:v>
      </x:c>
      <x:c r="E769" s="2" t="str">
        <x:v>Beam forms Y</x:v>
      </x:c>
      <x:c r="F769" s="21" t="n">
        <x:v>1</x:v>
      </x:c>
      <x:c r="G769" s="21" t="n">
        <x:f>6*4*('Controls'!$B$11/4-'Controls'!$B$15)</x:f>
        <x:v>132</x:v>
      </x:c>
      <x:c r="H769" s="21" t="n">
        <x:f>'Controls'!$B$16+2*('Controls'!$B$17-'Controls'!$B$13)</x:f>
        <x:v>1.06</x:v>
      </x:c>
      <x:c r="I769" s="21" t="n">
        <x:v>1</x:v>
      </x:c>
      <x:c r="J769" s="21" t="n">
        <x:v>1</x:v>
      </x:c>
      <x:c r="K769" s="21" t="n">
        <x:f>F769*G769*H769*I769*J769</x:f>
        <x:v>139.92000000000002</x:v>
      </x:c>
      <x:c r="L769" s="2" t="str">
        <x:v>Soffit plus two downstand sides</x:v>
      </x:c>
      <x:c r="M769" s="2"/>
      <x:c r="N769" s="2"/>
      <x:c r="O769" s="2"/>
      <x:c r="P769" s="2"/>
      <x:c r="Q769" s="2"/>
    </x:row>
    <x:row r="770" ht="22" customHeight="1">
      <x:c r="A770" s="7" t="str">
        <x:v>M0763</x:v>
      </x:c>
      <x:c r="B770" s="7" t="str">
        <x:v>RC05</x:v>
      </x:c>
      <x:c r="C770" s="7" t="str">
        <x:v>T3</x:v>
      </x:c>
      <x:c r="D770" s="7" t="str">
        <x:v>L06</x:v>
      </x:c>
      <x:c r="E770" s="7" t="str">
        <x:v>Thirty columns, clear storey</x:v>
      </x:c>
      <x:c r="F770" s="20" t="n">
        <x:v>30</x:v>
      </x:c>
      <x:c r="G770" s="20" t="n">
        <x:f>'Controls'!$B$14</x:f>
        <x:v>0.5</x:v>
      </x:c>
      <x:c r="H770" s="20" t="n">
        <x:f>'Controls'!$B$15</x:f>
        <x:v>0.5</x:v>
      </x:c>
      <x:c r="I770" s="20" t="n">
        <x:f>'Controls'!$B$12-'Controls'!$B$13</x:f>
        <x:v>2.98</x:v>
      </x:c>
      <x:c r="J770" s="20" t="n">
        <x:v>1</x:v>
      </x:c>
      <x:c r="K770" s="20" t="n">
        <x:f>F770*G770*H770*I770*J770</x:f>
        <x:v>22.35</x:v>
      </x:c>
      <x:c r="L770" s="7" t="str">
        <x:v>Slab volume excluded from columns</x:v>
      </x:c>
      <x:c r="M770" s="2"/>
      <x:c r="N770" s="2"/>
      <x:c r="O770" s="2"/>
      <x:c r="P770" s="2"/>
      <x:c r="Q770" s="2"/>
    </x:row>
    <x:row r="771" ht="22" customHeight="1">
      <x:c r="A771" s="2" t="str">
        <x:v>M0764</x:v>
      </x:c>
      <x:c r="B771" s="2" t="str">
        <x:v>RC06</x:v>
      </x:c>
      <x:c r="C771" s="2" t="str">
        <x:v>T3</x:v>
      </x:c>
      <x:c r="D771" s="2" t="str">
        <x:v>L06</x:v>
      </x:c>
      <x:c r="E771" s="2" t="str">
        <x:v>Core walls clear storey</x:v>
      </x:c>
      <x:c r="F771" s="21" t="n">
        <x:v>1</x:v>
      </x:c>
      <x:c r="G771" s="21" t="n">
        <x:f>'Controls'!$B$19</x:f>
        <x:v>24</x:v>
      </x:c>
      <x:c r="H771" s="21" t="n">
        <x:f>'Controls'!$B$18</x:f>
        <x:v>0.25</x:v>
      </x:c>
      <x:c r="I771" s="21" t="n">
        <x:f>'Controls'!$B$12-'Controls'!$B$13</x:f>
        <x:v>2.98</x:v>
      </x:c>
      <x:c r="J771" s="21" t="n">
        <x:v>1</x:v>
      </x:c>
      <x:c r="K771" s="21" t="n">
        <x:f>F771*G771*H771*I771*J771</x:f>
        <x:v>17.88</x:v>
      </x:c>
      <x:c r="L771" s="2" t="str">
        <x:v>Net clear wall length excludes corners</x:v>
      </x:c>
      <x:c r="M771" s="2"/>
      <x:c r="N771" s="2"/>
      <x:c r="O771" s="2"/>
      <x:c r="P771" s="2"/>
      <x:c r="Q771" s="2"/>
    </x:row>
    <x:row r="772" ht="22" customHeight="1">
      <x:c r="A772" s="7" t="str">
        <x:v>M0765</x:v>
      </x:c>
      <x:c r="B772" s="7" t="str">
        <x:v>RC07</x:v>
      </x:c>
      <x:c r="C772" s="7" t="str">
        <x:v>T3</x:v>
      </x:c>
      <x:c r="D772" s="7" t="str">
        <x:v>L06</x:v>
      </x:c>
      <x:c r="E772" s="7" t="str">
        <x:v>Stair flights waist</x:v>
      </x:c>
      <x:c r="F772" s="20" t="n">
        <x:v>2</x:v>
      </x:c>
      <x:c r="G772" s="20" t="n">
        <x:v>4.1</x:v>
      </x:c>
      <x:c r="H772" s="20" t="n">
        <x:v>1.2</x:v>
      </x:c>
      <x:c r="I772" s="20" t="n">
        <x:v>0.18</x:v>
      </x:c>
      <x:c r="J772" s="20" t="n">
        <x:v>1</x:v>
      </x:c>
      <x:c r="K772" s="20" t="n">
        <x:f>F772*G772*H772*I772*J772</x:f>
        <x:v>1.7711999999999997</x:v>
      </x:c>
      <x:c r="L772" s="7" t="str">
        <x:v>Two flights; geometry separate from floor slab</x:v>
      </x:c>
      <x:c r="M772" s="2"/>
      <x:c r="N772" s="2"/>
      <x:c r="O772" s="2"/>
      <x:c r="P772" s="2"/>
      <x:c r="Q772" s="2"/>
    </x:row>
    <x:row r="773" ht="22" customHeight="1">
      <x:c r="A773" s="2" t="str">
        <x:v>M0766</x:v>
      </x:c>
      <x:c r="B773" s="2" t="str">
        <x:v>RC07</x:v>
      </x:c>
      <x:c r="C773" s="2" t="str">
        <x:v>T3</x:v>
      </x:c>
      <x:c r="D773" s="2" t="str">
        <x:v>L06</x:v>
      </x:c>
      <x:c r="E773" s="2" t="str">
        <x:v>Stair landings</x:v>
      </x:c>
      <x:c r="F773" s="21" t="n">
        <x:v>2</x:v>
      </x:c>
      <x:c r="G773" s="21" t="n">
        <x:v>2</x:v>
      </x:c>
      <x:c r="H773" s="21" t="n">
        <x:v>1.2</x:v>
      </x:c>
      <x:c r="I773" s="21" t="n">
        <x:v>0.18</x:v>
      </x:c>
      <x:c r="J773" s="21" t="n">
        <x:v>1</x:v>
      </x:c>
      <x:c r="K773" s="21" t="n">
        <x:f>F773*G773*H773*I773*J773</x:f>
        <x:v>0.864</x:v>
      </x:c>
      <x:c r="L773" s="2" t="str">
        <x:v>Within stair opening</x:v>
      </x:c>
      <x:c r="M773" s="2"/>
      <x:c r="N773" s="2"/>
      <x:c r="O773" s="2"/>
      <x:c r="P773" s="2"/>
      <x:c r="Q773" s="2"/>
    </x:row>
    <x:row r="774" ht="22" customHeight="1">
      <x:c r="A774" s="7" t="str">
        <x:v>M0767</x:v>
      </x:c>
      <x:c r="B774" s="7" t="str">
        <x:v>FW01</x:v>
      </x:c>
      <x:c r="C774" s="7" t="str">
        <x:v>T3</x:v>
      </x:c>
      <x:c r="D774" s="7" t="str">
        <x:v>L06</x:v>
      </x:c>
      <x:c r="E774" s="7" t="str">
        <x:v>Slab soffit gross</x:v>
      </x:c>
      <x:c r="F774" s="20" t="n">
        <x:v>1</x:v>
      </x:c>
      <x:c r="G774" s="20" t="n">
        <x:f>'Controls'!$B$10</x:f>
        <x:v>30</x:v>
      </x:c>
      <x:c r="H774" s="20" t="n">
        <x:f>'Controls'!$B$11</x:f>
        <x:v>24</x:v>
      </x:c>
      <x:c r="I774" s="20" t="n">
        <x:v>1</x:v>
      </x:c>
      <x:c r="J774" s="20" t="n">
        <x:v>1</x:v>
      </x:c>
      <x:c r="K774" s="20" t="n">
        <x:f>F774*G774*H774*I774*J774</x:f>
        <x:v>720</x:v>
      </x:c>
      <x:c r="L774" s="7" t="str">
        <x:v>Beam soffit deducted below</x:v>
      </x:c>
      <x:c r="M774" s="2"/>
      <x:c r="N774" s="2"/>
      <x:c r="O774" s="2"/>
      <x:c r="P774" s="2"/>
      <x:c r="Q774" s="2"/>
    </x:row>
    <x:row r="775" ht="22" customHeight="1">
      <x:c r="A775" s="2" t="str">
        <x:v>M0768</x:v>
      </x:c>
      <x:c r="B775" s="2" t="str">
        <x:v>FW01</x:v>
      </x:c>
      <x:c r="C775" s="2" t="str">
        <x:v>T3</x:v>
      </x:c>
      <x:c r="D775" s="2" t="str">
        <x:v>L06</x:v>
      </x:c>
      <x:c r="E775" s="2" t="str">
        <x:v>Stair opening deduction</x:v>
      </x:c>
      <x:c r="F775" s="21" t="n">
        <x:v>1</x:v>
      </x:c>
      <x:c r="G775" s="21" t="n">
        <x:f>'Controls'!$B$20</x:f>
        <x:v>4</x:v>
      </x:c>
      <x:c r="H775" s="21" t="n">
        <x:f>'Controls'!$B$21</x:f>
        <x:v>6</x:v>
      </x:c>
      <x:c r="I775" s="21" t="n">
        <x:v>1</x:v>
      </x:c>
      <x:c r="J775" s="21" t="n">
        <x:v>-1</x:v>
      </x:c>
      <x:c r="K775" s="21" t="n">
        <x:f>F775*G775*H775*I775*J775</x:f>
        <x:v>-24</x:v>
      </x:c>
      <x:c r="L775" s="2" t="str">
        <x:v>OP-01</x:v>
      </x:c>
      <x:c r="M775" s="2"/>
      <x:c r="N775" s="2"/>
      <x:c r="O775" s="2"/>
      <x:c r="P775" s="2"/>
      <x:c r="Q775" s="2"/>
    </x:row>
    <x:row r="776" ht="22" customHeight="1">
      <x:c r="A776" s="7" t="str">
        <x:v>M0769</x:v>
      </x:c>
      <x:c r="B776" s="7" t="str">
        <x:v>FW01</x:v>
      </x:c>
      <x:c r="C776" s="7" t="str">
        <x:v>T3</x:v>
      </x:c>
      <x:c r="D776" s="7" t="str">
        <x:v>L06</x:v>
      </x:c>
      <x:c r="E776" s="7" t="str">
        <x:v>Beam soffit deduction</x:v>
      </x:c>
      <x:c r="F776" s="20" t="n">
        <x:v>1</x:v>
      </x:c>
      <x:c r="G776" s="20" t="n">
        <x:f>5*5*('Controls'!$B$10/5-'Controls'!$B$14)+6*4*('Controls'!$B$11/4-'Controls'!$B$15)</x:f>
        <x:v>269.5</x:v>
      </x:c>
      <x:c r="H776" s="20" t="n">
        <x:f>'Controls'!$B$16</x:f>
        <x:v>0.3</x:v>
      </x:c>
      <x:c r="I776" s="20" t="n">
        <x:v>1</x:v>
      </x:c>
      <x:c r="J776" s="20" t="n">
        <x:v>-1</x:v>
      </x:c>
      <x:c r="K776" s="20" t="n">
        <x:f>F776*G776*H776*I776*J776</x:f>
        <x:v>-80.85</x:v>
      </x:c>
      <x:c r="L776" s="7" t="str">
        <x:v>Beam forms measured in FW02</x:v>
      </x:c>
      <x:c r="M776" s="2"/>
      <x:c r="N776" s="2"/>
      <x:c r="O776" s="2"/>
      <x:c r="P776" s="2"/>
      <x:c r="Q776" s="2"/>
    </x:row>
    <x:row r="777" ht="22" customHeight="1">
      <x:c r="A777" s="2" t="str">
        <x:v>M0770</x:v>
      </x:c>
      <x:c r="B777" s="2" t="str">
        <x:v>FW03</x:v>
      </x:c>
      <x:c r="C777" s="2" t="str">
        <x:v>T3</x:v>
      </x:c>
      <x:c r="D777" s="2" t="str">
        <x:v>L06</x:v>
      </x:c>
      <x:c r="E777" s="2" t="str">
        <x:v>Column four faces</x:v>
      </x:c>
      <x:c r="F777" s="21" t="n">
        <x:v>30</x:v>
      </x:c>
      <x:c r="G777" s="21" t="n">
        <x:f>2*('Controls'!$B$14+'Controls'!$B$15)</x:f>
        <x:v>2</x:v>
      </x:c>
      <x:c r="H777" s="21" t="n">
        <x:f>'Controls'!$B$12-'Controls'!$B$13</x:f>
        <x:v>2.98</x:v>
      </x:c>
      <x:c r="I777" s="21" t="n">
        <x:v>1</x:v>
      </x:c>
      <x:c r="J777" s="21" t="n">
        <x:v>1</x:v>
      </x:c>
      <x:c r="K777" s="21" t="n">
        <x:f>F777*G777*H777*I777*J777</x:f>
        <x:v>178.8</x:v>
      </x:c>
      <x:c r="L777" s="2" t="str">
        <x:v>Clear floor-to-soffit</x:v>
      </x:c>
      <x:c r="M777" s="2"/>
      <x:c r="N777" s="2"/>
      <x:c r="O777" s="2"/>
      <x:c r="P777" s="2"/>
      <x:c r="Q777" s="2"/>
    </x:row>
    <x:row r="778" ht="22" customHeight="1">
      <x:c r="A778" s="7" t="str">
        <x:v>M0771</x:v>
      </x:c>
      <x:c r="B778" s="7" t="str">
        <x:v>FW04</x:v>
      </x:c>
      <x:c r="C778" s="7" t="str">
        <x:v>T3</x:v>
      </x:c>
      <x:c r="D778" s="7" t="str">
        <x:v>L06</x:v>
      </x:c>
      <x:c r="E778" s="7" t="str">
        <x:v>Core wall two faces</x:v>
      </x:c>
      <x:c r="F778" s="20" t="n">
        <x:v>2</x:v>
      </x:c>
      <x:c r="G778" s="20" t="n">
        <x:f>'Controls'!$B$19</x:f>
        <x:v>24</x:v>
      </x:c>
      <x:c r="H778" s="20" t="n">
        <x:f>'Controls'!$B$12-'Controls'!$B$13</x:f>
        <x:v>2.98</x:v>
      </x:c>
      <x:c r="I778" s="20" t="n">
        <x:v>1</x:v>
      </x:c>
      <x:c r="J778" s="20" t="n">
        <x:v>1</x:v>
      </x:c>
      <x:c r="K778" s="20" t="n">
        <x:f>F778*G778*H778*I778*J778</x:f>
        <x:v>143.04</x:v>
      </x:c>
      <x:c r="L778" s="7" t="str">
        <x:v>Net perimeter, no repeated corners</x:v>
      </x:c>
      <x:c r="M778" s="2"/>
      <x:c r="N778" s="2"/>
      <x:c r="O778" s="2"/>
      <x:c r="P778" s="2"/>
      <x:c r="Q778" s="2"/>
    </x:row>
    <x:row r="779" ht="22" customHeight="1">
      <x:c r="A779" s="2" t="str">
        <x:v>M0772</x:v>
      </x:c>
      <x:c r="B779" s="2" t="str">
        <x:v>AR01</x:v>
      </x:c>
      <x:c r="C779" s="2" t="str">
        <x:v>T3</x:v>
      </x:c>
      <x:c r="D779" s="2" t="str">
        <x:v>L06</x:v>
      </x:c>
      <x:c r="E779" s="2" t="str">
        <x:v>Partition walls gross</x:v>
      </x:c>
      <x:c r="F779" s="21" t="n">
        <x:v>1</x:v>
      </x:c>
      <x:c r="G779" s="21" t="n">
        <x:f>'Controls'!$B$45</x:f>
        <x:v>220</x:v>
      </x:c>
      <x:c r="H779" s="21" t="n">
        <x:f>'Controls'!$B$12-'Controls'!$B$13</x:f>
        <x:v>2.98</x:v>
      </x:c>
      <x:c r="I779" s="21" t="n">
        <x:f>'Controls'!$B$46</x:f>
        <x:v>0.15</x:v>
      </x:c>
      <x:c r="J779" s="21" t="n">
        <x:v>1</x:v>
      </x:c>
      <x:c r="K779" s="21" t="n">
        <x:f>F779*G779*H779*I779*J779</x:f>
        <x:v>98.34</x:v>
      </x:c>
      <x:c r="L779" s="2" t="str">
        <x:v>Net openings deducted below</x:v>
      </x:c>
      <x:c r="M779" s="2"/>
      <x:c r="N779" s="2"/>
      <x:c r="O779" s="2"/>
      <x:c r="P779" s="2"/>
      <x:c r="Q779" s="2"/>
    </x:row>
    <x:row r="780" ht="22" customHeight="1">
      <x:c r="A780" s="7" t="str">
        <x:v>M0773</x:v>
      </x:c>
      <x:c r="B780" s="7" t="str">
        <x:v>AR01</x:v>
      </x:c>
      <x:c r="C780" s="7" t="str">
        <x:v>T3</x:v>
      </x:c>
      <x:c r="D780" s="7" t="str">
        <x:v>L06</x:v>
      </x:c>
      <x:c r="E780" s="7" t="str">
        <x:v>Internal doors deduction</x:v>
      </x:c>
      <x:c r="F780" s="20" t="n">
        <x:f>'Controls'!$B$48</x:f>
        <x:v>28</x:v>
      </x:c>
      <x:c r="G780" s="20" t="n">
        <x:f>'Controls'!$B$49</x:f>
        <x:v>0.9</x:v>
      </x:c>
      <x:c r="H780" s="20" t="n">
        <x:f>'Controls'!$B$50</x:f>
        <x:v>2.1</x:v>
      </x:c>
      <x:c r="I780" s="20" t="n">
        <x:f>'Controls'!$B$46</x:f>
        <x:v>0.15</x:v>
      </x:c>
      <x:c r="J780" s="20" t="n">
        <x:v>-1</x:v>
      </x:c>
      <x:c r="K780" s="20" t="n">
        <x:f>F780*G780*H780*I780*J780</x:f>
        <x:v>-7.938</x:v>
      </x:c>
      <x:c r="L780" s="7" t="str">
        <x:v>28 doors per floor, OP-02</x:v>
      </x:c>
      <x:c r="M780" s="2"/>
      <x:c r="N780" s="2"/>
      <x:c r="O780" s="2"/>
      <x:c r="P780" s="2"/>
      <x:c r="Q780" s="2"/>
    </x:row>
    <x:row r="781" ht="22" customHeight="1">
      <x:c r="A781" s="2" t="str">
        <x:v>M0774</x:v>
      </x:c>
      <x:c r="B781" s="2" t="str">
        <x:v>AR02</x:v>
      </x:c>
      <x:c r="C781" s="2" t="str">
        <x:v>T3</x:v>
      </x:c>
      <x:c r="D781" s="2" t="str">
        <x:v>L06</x:v>
      </x:c>
      <x:c r="E781" s="2" t="str">
        <x:v>Internal plaster gross</x:v>
      </x:c>
      <x:c r="F781" s="21" t="n">
        <x:v>2</x:v>
      </x:c>
      <x:c r="G781" s="21" t="n">
        <x:f>'Controls'!$B$45</x:f>
        <x:v>220</x:v>
      </x:c>
      <x:c r="H781" s="21" t="n">
        <x:f>'Controls'!$B$12-'Controls'!$B$13</x:f>
        <x:v>2.98</x:v>
      </x:c>
      <x:c r="I781" s="21" t="n">
        <x:v>1</x:v>
      </x:c>
      <x:c r="J781" s="21" t="n">
        <x:v>1</x:v>
      </x:c>
      <x:c r="K781" s="21" t="n">
        <x:f>F781*G781*H781*I781*J781</x:f>
        <x:v>1311.2</x:v>
      </x:c>
      <x:c r="L781" s="2" t="str">
        <x:v>Both faces of partition walls</x:v>
      </x:c>
      <x:c r="M781" s="2"/>
      <x:c r="N781" s="2"/>
      <x:c r="O781" s="2"/>
      <x:c r="P781" s="2"/>
      <x:c r="Q781" s="2"/>
    </x:row>
    <x:row r="782" ht="22" customHeight="1">
      <x:c r="A782" s="7" t="str">
        <x:v>M0775</x:v>
      </x:c>
      <x:c r="B782" s="7" t="str">
        <x:v>AR02</x:v>
      </x:c>
      <x:c r="C782" s="7" t="str">
        <x:v>T3</x:v>
      </x:c>
      <x:c r="D782" s="7" t="str">
        <x:v>L06</x:v>
      </x:c>
      <x:c r="E782" s="7" t="str">
        <x:v>Door area deduction both faces</x:v>
      </x:c>
      <x:c r="F782" s="20" t="n">
        <x:f>2*'Controls'!$B$48</x:f>
        <x:v>56</x:v>
      </x:c>
      <x:c r="G782" s="20" t="n">
        <x:f>'Controls'!$B$49</x:f>
        <x:v>0.9</x:v>
      </x:c>
      <x:c r="H782" s="20" t="n">
        <x:f>'Controls'!$B$50</x:f>
        <x:v>2.1</x:v>
      </x:c>
      <x:c r="I782" s="20" t="n">
        <x:v>1</x:v>
      </x:c>
      <x:c r="J782" s="20" t="n">
        <x:v>-1</x:v>
      </x:c>
      <x:c r="K782" s="20" t="n">
        <x:f>F782*G782*H782*I782*J782</x:f>
        <x:v>-105.84</x:v>
      </x:c>
      <x:c r="L782" s="7" t="str">
        <x:v>No plaster over openings</x:v>
      </x:c>
      <x:c r="M782" s="2"/>
      <x:c r="N782" s="2"/>
      <x:c r="O782" s="2"/>
      <x:c r="P782" s="2"/>
      <x:c r="Q782" s="2"/>
    </x:row>
    <x:row r="783" ht="22" customHeight="1">
      <x:c r="A783" s="2" t="str">
        <x:v>M0776</x:v>
      </x:c>
      <x:c r="B783" s="2" t="str">
        <x:v>AR03</x:v>
      </x:c>
      <x:c r="C783" s="2" t="str">
        <x:v>T3</x:v>
      </x:c>
      <x:c r="D783" s="2" t="str">
        <x:v>L06</x:v>
      </x:c>
      <x:c r="E783" s="2" t="str">
        <x:v>Floor screed net</x:v>
      </x:c>
      <x:c r="F783" s="21" t="n">
        <x:v>1</x:v>
      </x:c>
      <x:c r="G783" s="21" t="n">
        <x:f>'Controls'!$B$10*'Controls'!$B$11-'Controls'!$B$20*'Controls'!$B$21</x:f>
        <x:v>696</x:v>
      </x:c>
      <x:c r="H783" s="21" t="n">
        <x:v>1</x:v>
      </x:c>
      <x:c r="I783" s="21" t="n">
        <x:v>1</x:v>
      </x:c>
      <x:c r="J783" s="21" t="n">
        <x:v>1</x:v>
      </x:c>
      <x:c r="K783" s="21" t="n">
        <x:f>F783*G783*H783*I783*J783</x:f>
        <x:v>696</x:v>
      </x:c>
      <x:c r="L783" s="2" t="str">
        <x:v>Net structural floor area</x:v>
      </x:c>
      <x:c r="M783" s="2"/>
      <x:c r="N783" s="2"/>
      <x:c r="O783" s="2"/>
      <x:c r="P783" s="2"/>
      <x:c r="Q783" s="2"/>
    </x:row>
    <x:row r="784" ht="22" customHeight="1">
      <x:c r="A784" s="7" t="str">
        <x:v>M0777</x:v>
      </x:c>
      <x:c r="B784" s="7" t="str">
        <x:v>AR04</x:v>
      </x:c>
      <x:c r="C784" s="7" t="str">
        <x:v>T3</x:v>
      </x:c>
      <x:c r="D784" s="7" t="str">
        <x:v>L06</x:v>
      </x:c>
      <x:c r="E784" s="7" t="str">
        <x:v>Floor finish net</x:v>
      </x:c>
      <x:c r="F784" s="20" t="n">
        <x:v>1</x:v>
      </x:c>
      <x:c r="G784" s="20" t="n">
        <x:f>'Controls'!$B$10*'Controls'!$B$11-'Controls'!$B$20*'Controls'!$B$21</x:f>
        <x:v>696</x:v>
      </x:c>
      <x:c r="H784" s="20" t="n">
        <x:v>1</x:v>
      </x:c>
      <x:c r="I784" s="20" t="n">
        <x:v>1</x:v>
      </x:c>
      <x:c r="J784" s="20" t="n">
        <x:v>1</x:v>
      </x:c>
      <x:c r="K784" s="20" t="n">
        <x:f>F784*G784*H784*I784*J784</x:f>
        <x:v>696</x:v>
      </x:c>
      <x:c r="L784" s="7" t="str">
        <x:v>Waste excluded from BOQ</x:v>
      </x:c>
      <x:c r="M784" s="2"/>
      <x:c r="N784" s="2"/>
      <x:c r="O784" s="2"/>
      <x:c r="P784" s="2"/>
      <x:c r="Q784" s="2"/>
    </x:row>
    <x:row r="785" ht="22" customHeight="1">
      <x:c r="A785" s="2" t="str">
        <x:v>M0778</x:v>
      </x:c>
      <x:c r="B785" s="2" t="str">
        <x:v>AR05</x:v>
      </x:c>
      <x:c r="C785" s="2" t="str">
        <x:v>T3</x:v>
      </x:c>
      <x:c r="D785" s="2" t="str">
        <x:v>L06</x:v>
      </x:c>
      <x:c r="E785" s="2" t="str">
        <x:v>Internal wall paint net</x:v>
      </x:c>
      <x:c r="F785" s="21" t="n">
        <x:v>2</x:v>
      </x:c>
      <x:c r="G785" s="21" t="n">
        <x:f>'Controls'!$B$45*('Controls'!$B$12-'Controls'!$B$13)-'Controls'!$B$48*'Controls'!$B$49*'Controls'!$B$50</x:f>
        <x:v>602.6800000000001</x:v>
      </x:c>
      <x:c r="H785" s="21" t="n">
        <x:v>1</x:v>
      </x:c>
      <x:c r="I785" s="21" t="n">
        <x:v>1</x:v>
      </x:c>
      <x:c r="J785" s="21" t="n">
        <x:v>1</x:v>
      </x:c>
      <x:c r="K785" s="21" t="n">
        <x:f>F785*G785*H785*I785*J785</x:f>
        <x:v>1205.3600000000001</x:v>
      </x:c>
      <x:c r="L785" s="2" t="str">
        <x:v>Finished area; two coats priced in rate</x:v>
      </x:c>
      <x:c r="M785" s="2"/>
      <x:c r="N785" s="2"/>
      <x:c r="O785" s="2"/>
      <x:c r="P785" s="2"/>
      <x:c r="Q785" s="2"/>
    </x:row>
    <x:row r="786" ht="22" customHeight="1">
      <x:c r="A786" s="7" t="str">
        <x:v>M0779</x:v>
      </x:c>
      <x:c r="B786" s="7" t="str">
        <x:v>AR06</x:v>
      </x:c>
      <x:c r="C786" s="7" t="str">
        <x:v>T3</x:v>
      </x:c>
      <x:c r="D786" s="7" t="str">
        <x:v>L06</x:v>
      </x:c>
      <x:c r="E786" s="7" t="str">
        <x:v>Door sets</x:v>
      </x:c>
      <x:c r="F786" s="20" t="n">
        <x:f>'Controls'!$B$48</x:f>
        <x:v>28</x:v>
      </x:c>
      <x:c r="G786" s="20" t="n">
        <x:v>1</x:v>
      </x:c>
      <x:c r="H786" s="20" t="n">
        <x:v>1</x:v>
      </x:c>
      <x:c r="I786" s="20" t="n">
        <x:v>1</x:v>
      </x:c>
      <x:c r="J786" s="20" t="n">
        <x:v>1</x:v>
      </x:c>
      <x:c r="K786" s="20" t="n">
        <x:f>F786*G786*H786*I786*J786</x:f>
        <x:v>28</x:v>
      </x:c>
      <x:c r="L786" s="7" t="str">
        <x:v>Door count, not double face</x:v>
      </x:c>
      <x:c r="M786" s="2"/>
      <x:c r="N786" s="2"/>
      <x:c r="O786" s="2"/>
      <x:c r="P786" s="2"/>
      <x:c r="Q786" s="2"/>
    </x:row>
    <x:row r="787" ht="22" customHeight="1">
      <x:c r="A787" s="2" t="str">
        <x:v>M0780</x:v>
      </x:c>
      <x:c r="B787" s="2" t="str">
        <x:v>RC03</x:v>
      </x:c>
      <x:c r="C787" s="2" t="str">
        <x:v>T3</x:v>
      </x:c>
      <x:c r="D787" s="2" t="str">
        <x:v>L07</x:v>
      </x:c>
      <x:c r="E787" s="2" t="str">
        <x:v>Floor slab gross</x:v>
      </x:c>
      <x:c r="F787" s="21" t="n">
        <x:v>1</x:v>
      </x:c>
      <x:c r="G787" s="21" t="n">
        <x:f>'Controls'!$B$10</x:f>
        <x:v>30</x:v>
      </x:c>
      <x:c r="H787" s="21" t="n">
        <x:f>'Controls'!$B$11</x:f>
        <x:v>24</x:v>
      </x:c>
      <x:c r="I787" s="21" t="n">
        <x:f>'Controls'!$B$13</x:f>
        <x:v>0.22</x:v>
      </x:c>
      <x:c r="J787" s="21" t="n">
        <x:v>1</x:v>
      </x:c>
      <x:c r="K787" s="21" t="n">
        <x:f>F787*G787*H787*I787*J787</x:f>
        <x:v>158.4</x:v>
      </x:c>
      <x:c r="L787" s="2" t="str">
        <x:v>Slab includes beam top flange; downstand separate</x:v>
      </x:c>
      <x:c r="M787" s="2"/>
      <x:c r="N787" s="2"/>
      <x:c r="O787" s="2"/>
      <x:c r="P787" s="2"/>
      <x:c r="Q787" s="2"/>
    </x:row>
    <x:row r="788" ht="22" customHeight="1">
      <x:c r="A788" s="7" t="str">
        <x:v>M0781</x:v>
      </x:c>
      <x:c r="B788" s="7" t="str">
        <x:v>RC03</x:v>
      </x:c>
      <x:c r="C788" s="7" t="str">
        <x:v>T3</x:v>
      </x:c>
      <x:c r="D788" s="7" t="str">
        <x:v>L07</x:v>
      </x:c>
      <x:c r="E788" s="7" t="str">
        <x:v>Stair opening deduction</x:v>
      </x:c>
      <x:c r="F788" s="20" t="n">
        <x:v>1</x:v>
      </x:c>
      <x:c r="G788" s="20" t="n">
        <x:f>'Controls'!$B$20</x:f>
        <x:v>4</x:v>
      </x:c>
      <x:c r="H788" s="20" t="n">
        <x:f>'Controls'!$B$21</x:f>
        <x:v>6</x:v>
      </x:c>
      <x:c r="I788" s="20" t="n">
        <x:f>'Controls'!$B$13</x:f>
        <x:v>0.22</x:v>
      </x:c>
      <x:c r="J788" s="20" t="n">
        <x:v>-1</x:v>
      </x:c>
      <x:c r="K788" s="20" t="n">
        <x:f>F788*G788*H788*I788*J788</x:f>
        <x:v>-5.28</x:v>
      </x:c>
      <x:c r="L788" s="7" t="str">
        <x:v>Opening OP-01</x:v>
      </x:c>
      <x:c r="M788" s="2"/>
      <x:c r="N788" s="2"/>
      <x:c r="O788" s="2"/>
      <x:c r="P788" s="2"/>
      <x:c r="Q788" s="2"/>
    </x:row>
    <x:row r="789" ht="22" customHeight="1">
      <x:c r="A789" s="2" t="str">
        <x:v>M0782</x:v>
      </x:c>
      <x:c r="B789" s="2" t="str">
        <x:v>RC04</x:v>
      </x:c>
      <x:c r="C789" s="2" t="str">
        <x:v>T3</x:v>
      </x:c>
      <x:c r="D789" s="2" t="str">
        <x:v>L07</x:v>
      </x:c>
      <x:c r="E789" s="2" t="str">
        <x:v>Beam downstands X</x:v>
      </x:c>
      <x:c r="F789" s="21" t="n">
        <x:v>1</x:v>
      </x:c>
      <x:c r="G789" s="21" t="n">
        <x:f>5*5*('Controls'!$B$10/5-'Controls'!$B$14)</x:f>
        <x:v>137.5</x:v>
      </x:c>
      <x:c r="H789" s="21" t="n">
        <x:f>'Controls'!$B$16</x:f>
        <x:v>0.3</x:v>
      </x:c>
      <x:c r="I789" s="21" t="n">
        <x:f>'Controls'!$B$17-'Controls'!$B$13</x:f>
        <x:v>0.38</x:v>
      </x:c>
      <x:c r="J789" s="21" t="n">
        <x:v>1</x:v>
      </x:c>
      <x:c r="K789" s="21" t="n">
        <x:f>F789*G789*H789*I789*J789</x:f>
        <x:v>15.675</x:v>
      </x:c>
      <x:c r="L789" s="2" t="str">
        <x:v>Clear spans between column faces; no joint overlap</x:v>
      </x:c>
      <x:c r="M789" s="2"/>
      <x:c r="N789" s="2"/>
      <x:c r="O789" s="2"/>
      <x:c r="P789" s="2"/>
      <x:c r="Q789" s="2"/>
    </x:row>
    <x:row r="790" ht="22" customHeight="1">
      <x:c r="A790" s="7" t="str">
        <x:v>M0783</x:v>
      </x:c>
      <x:c r="B790" s="7" t="str">
        <x:v>FW02</x:v>
      </x:c>
      <x:c r="C790" s="7" t="str">
        <x:v>T3</x:v>
      </x:c>
      <x:c r="D790" s="7" t="str">
        <x:v>L07</x:v>
      </x:c>
      <x:c r="E790" s="7" t="str">
        <x:v>Beam forms X</x:v>
      </x:c>
      <x:c r="F790" s="20" t="n">
        <x:v>1</x:v>
      </x:c>
      <x:c r="G790" s="20" t="n">
        <x:f>5*5*('Controls'!$B$10/5-'Controls'!$B$14)</x:f>
        <x:v>137.5</x:v>
      </x:c>
      <x:c r="H790" s="20" t="n">
        <x:f>'Controls'!$B$16+2*('Controls'!$B$17-'Controls'!$B$13)</x:f>
        <x:v>1.06</x:v>
      </x:c>
      <x:c r="I790" s="20" t="n">
        <x:v>1</x:v>
      </x:c>
      <x:c r="J790" s="20" t="n">
        <x:v>1</x:v>
      </x:c>
      <x:c r="K790" s="20" t="n">
        <x:f>F790*G790*H790*I790*J790</x:f>
        <x:v>145.75</x:v>
      </x:c>
      <x:c r="L790" s="7" t="str">
        <x:v>Soffit plus two downstand sides</x:v>
      </x:c>
      <x:c r="M790" s="2"/>
      <x:c r="N790" s="2"/>
      <x:c r="O790" s="2"/>
      <x:c r="P790" s="2"/>
      <x:c r="Q790" s="2"/>
    </x:row>
    <x:row r="791" ht="22" customHeight="1">
      <x:c r="A791" s="2" t="str">
        <x:v>M0784</x:v>
      </x:c>
      <x:c r="B791" s="2" t="str">
        <x:v>RC04</x:v>
      </x:c>
      <x:c r="C791" s="2" t="str">
        <x:v>T3</x:v>
      </x:c>
      <x:c r="D791" s="2" t="str">
        <x:v>L07</x:v>
      </x:c>
      <x:c r="E791" s="2" t="str">
        <x:v>Beam downstands Y</x:v>
      </x:c>
      <x:c r="F791" s="21" t="n">
        <x:v>1</x:v>
      </x:c>
      <x:c r="G791" s="21" t="n">
        <x:f>6*4*('Controls'!$B$11/4-'Controls'!$B$15)</x:f>
        <x:v>132</x:v>
      </x:c>
      <x:c r="H791" s="21" t="n">
        <x:f>'Controls'!$B$16</x:f>
        <x:v>0.3</x:v>
      </x:c>
      <x:c r="I791" s="21" t="n">
        <x:f>'Controls'!$B$17-'Controls'!$B$13</x:f>
        <x:v>0.38</x:v>
      </x:c>
      <x:c r="J791" s="21" t="n">
        <x:v>1</x:v>
      </x:c>
      <x:c r="K791" s="21" t="n">
        <x:f>F791*G791*H791*I791*J791</x:f>
        <x:v>15.048</x:v>
      </x:c>
      <x:c r="L791" s="2" t="str">
        <x:v>Clear spans between column faces; no joint overlap</x:v>
      </x:c>
      <x:c r="M791" s="2"/>
      <x:c r="N791" s="2"/>
      <x:c r="O791" s="2"/>
      <x:c r="P791" s="2"/>
      <x:c r="Q791" s="2"/>
    </x:row>
    <x:row r="792" ht="22" customHeight="1">
      <x:c r="A792" s="7" t="str">
        <x:v>M0785</x:v>
      </x:c>
      <x:c r="B792" s="7" t="str">
        <x:v>FW02</x:v>
      </x:c>
      <x:c r="C792" s="7" t="str">
        <x:v>T3</x:v>
      </x:c>
      <x:c r="D792" s="7" t="str">
        <x:v>L07</x:v>
      </x:c>
      <x:c r="E792" s="7" t="str">
        <x:v>Beam forms Y</x:v>
      </x:c>
      <x:c r="F792" s="20" t="n">
        <x:v>1</x:v>
      </x:c>
      <x:c r="G792" s="20" t="n">
        <x:f>6*4*('Controls'!$B$11/4-'Controls'!$B$15)</x:f>
        <x:v>132</x:v>
      </x:c>
      <x:c r="H792" s="20" t="n">
        <x:f>'Controls'!$B$16+2*('Controls'!$B$17-'Controls'!$B$13)</x:f>
        <x:v>1.06</x:v>
      </x:c>
      <x:c r="I792" s="20" t="n">
        <x:v>1</x:v>
      </x:c>
      <x:c r="J792" s="20" t="n">
        <x:v>1</x:v>
      </x:c>
      <x:c r="K792" s="20" t="n">
        <x:f>F792*G792*H792*I792*J792</x:f>
        <x:v>139.92000000000002</x:v>
      </x:c>
      <x:c r="L792" s="7" t="str">
        <x:v>Soffit plus two downstand sides</x:v>
      </x:c>
      <x:c r="M792" s="2"/>
      <x:c r="N792" s="2"/>
      <x:c r="O792" s="2"/>
      <x:c r="P792" s="2"/>
      <x:c r="Q792" s="2"/>
    </x:row>
    <x:row r="793" ht="22" customHeight="1">
      <x:c r="A793" s="2" t="str">
        <x:v>M0786</x:v>
      </x:c>
      <x:c r="B793" s="2" t="str">
        <x:v>RC05</x:v>
      </x:c>
      <x:c r="C793" s="2" t="str">
        <x:v>T3</x:v>
      </x:c>
      <x:c r="D793" s="2" t="str">
        <x:v>L07</x:v>
      </x:c>
      <x:c r="E793" s="2" t="str">
        <x:v>Thirty columns, clear storey</x:v>
      </x:c>
      <x:c r="F793" s="21" t="n">
        <x:v>30</x:v>
      </x:c>
      <x:c r="G793" s="21" t="n">
        <x:f>'Controls'!$B$14</x:f>
        <x:v>0.5</x:v>
      </x:c>
      <x:c r="H793" s="21" t="n">
        <x:f>'Controls'!$B$15</x:f>
        <x:v>0.5</x:v>
      </x:c>
      <x:c r="I793" s="21" t="n">
        <x:f>'Controls'!$B$12-'Controls'!$B$13</x:f>
        <x:v>2.98</x:v>
      </x:c>
      <x:c r="J793" s="21" t="n">
        <x:v>1</x:v>
      </x:c>
      <x:c r="K793" s="21" t="n">
        <x:f>F793*G793*H793*I793*J793</x:f>
        <x:v>22.35</x:v>
      </x:c>
      <x:c r="L793" s="2" t="str">
        <x:v>Slab volume excluded from columns</x:v>
      </x:c>
      <x:c r="M793" s="2"/>
      <x:c r="N793" s="2"/>
      <x:c r="O793" s="2"/>
      <x:c r="P793" s="2"/>
      <x:c r="Q793" s="2"/>
    </x:row>
    <x:row r="794" ht="22" customHeight="1">
      <x:c r="A794" s="7" t="str">
        <x:v>M0787</x:v>
      </x:c>
      <x:c r="B794" s="7" t="str">
        <x:v>RC06</x:v>
      </x:c>
      <x:c r="C794" s="7" t="str">
        <x:v>T3</x:v>
      </x:c>
      <x:c r="D794" s="7" t="str">
        <x:v>L07</x:v>
      </x:c>
      <x:c r="E794" s="7" t="str">
        <x:v>Core walls clear storey</x:v>
      </x:c>
      <x:c r="F794" s="20" t="n">
        <x:v>1</x:v>
      </x:c>
      <x:c r="G794" s="20" t="n">
        <x:f>'Controls'!$B$19</x:f>
        <x:v>24</x:v>
      </x:c>
      <x:c r="H794" s="20" t="n">
        <x:f>'Controls'!$B$18</x:f>
        <x:v>0.25</x:v>
      </x:c>
      <x:c r="I794" s="20" t="n">
        <x:f>'Controls'!$B$12-'Controls'!$B$13</x:f>
        <x:v>2.98</x:v>
      </x:c>
      <x:c r="J794" s="20" t="n">
        <x:v>1</x:v>
      </x:c>
      <x:c r="K794" s="20" t="n">
        <x:f>F794*G794*H794*I794*J794</x:f>
        <x:v>17.88</x:v>
      </x:c>
      <x:c r="L794" s="7" t="str">
        <x:v>Net clear wall length excludes corners</x:v>
      </x:c>
      <x:c r="M794" s="2"/>
      <x:c r="N794" s="2"/>
      <x:c r="O794" s="2"/>
      <x:c r="P794" s="2"/>
      <x:c r="Q794" s="2"/>
    </x:row>
    <x:row r="795" ht="22" customHeight="1">
      <x:c r="A795" s="2" t="str">
        <x:v>M0788</x:v>
      </x:c>
      <x:c r="B795" s="2" t="str">
        <x:v>RC07</x:v>
      </x:c>
      <x:c r="C795" s="2" t="str">
        <x:v>T3</x:v>
      </x:c>
      <x:c r="D795" s="2" t="str">
        <x:v>L07</x:v>
      </x:c>
      <x:c r="E795" s="2" t="str">
        <x:v>Stair flights waist</x:v>
      </x:c>
      <x:c r="F795" s="21" t="n">
        <x:v>2</x:v>
      </x:c>
      <x:c r="G795" s="21" t="n">
        <x:v>4.1</x:v>
      </x:c>
      <x:c r="H795" s="21" t="n">
        <x:v>1.2</x:v>
      </x:c>
      <x:c r="I795" s="21" t="n">
        <x:v>0.18</x:v>
      </x:c>
      <x:c r="J795" s="21" t="n">
        <x:v>1</x:v>
      </x:c>
      <x:c r="K795" s="21" t="n">
        <x:f>F795*G795*H795*I795*J795</x:f>
        <x:v>1.7711999999999997</x:v>
      </x:c>
      <x:c r="L795" s="2" t="str">
        <x:v>Two flights; geometry separate from floor slab</x:v>
      </x:c>
      <x:c r="M795" s="2"/>
      <x:c r="N795" s="2"/>
      <x:c r="O795" s="2"/>
      <x:c r="P795" s="2"/>
      <x:c r="Q795" s="2"/>
    </x:row>
    <x:row r="796" ht="22" customHeight="1">
      <x:c r="A796" s="7" t="str">
        <x:v>M0789</x:v>
      </x:c>
      <x:c r="B796" s="7" t="str">
        <x:v>RC07</x:v>
      </x:c>
      <x:c r="C796" s="7" t="str">
        <x:v>T3</x:v>
      </x:c>
      <x:c r="D796" s="7" t="str">
        <x:v>L07</x:v>
      </x:c>
      <x:c r="E796" s="7" t="str">
        <x:v>Stair landings</x:v>
      </x:c>
      <x:c r="F796" s="20" t="n">
        <x:v>2</x:v>
      </x:c>
      <x:c r="G796" s="20" t="n">
        <x:v>2</x:v>
      </x:c>
      <x:c r="H796" s="20" t="n">
        <x:v>1.2</x:v>
      </x:c>
      <x:c r="I796" s="20" t="n">
        <x:v>0.18</x:v>
      </x:c>
      <x:c r="J796" s="20" t="n">
        <x:v>1</x:v>
      </x:c>
      <x:c r="K796" s="20" t="n">
        <x:f>F796*G796*H796*I796*J796</x:f>
        <x:v>0.864</x:v>
      </x:c>
      <x:c r="L796" s="7" t="str">
        <x:v>Within stair opening</x:v>
      </x:c>
      <x:c r="M796" s="2"/>
      <x:c r="N796" s="2"/>
      <x:c r="O796" s="2"/>
      <x:c r="P796" s="2"/>
      <x:c r="Q796" s="2"/>
    </x:row>
    <x:row r="797" ht="22" customHeight="1">
      <x:c r="A797" s="2" t="str">
        <x:v>M0790</x:v>
      </x:c>
      <x:c r="B797" s="2" t="str">
        <x:v>FW01</x:v>
      </x:c>
      <x:c r="C797" s="2" t="str">
        <x:v>T3</x:v>
      </x:c>
      <x:c r="D797" s="2" t="str">
        <x:v>L07</x:v>
      </x:c>
      <x:c r="E797" s="2" t="str">
        <x:v>Slab soffit gross</x:v>
      </x:c>
      <x:c r="F797" s="21" t="n">
        <x:v>1</x:v>
      </x:c>
      <x:c r="G797" s="21" t="n">
        <x:f>'Controls'!$B$10</x:f>
        <x:v>30</x:v>
      </x:c>
      <x:c r="H797" s="21" t="n">
        <x:f>'Controls'!$B$11</x:f>
        <x:v>24</x:v>
      </x:c>
      <x:c r="I797" s="21" t="n">
        <x:v>1</x:v>
      </x:c>
      <x:c r="J797" s="21" t="n">
        <x:v>1</x:v>
      </x:c>
      <x:c r="K797" s="21" t="n">
        <x:f>F797*G797*H797*I797*J797</x:f>
        <x:v>720</x:v>
      </x:c>
      <x:c r="L797" s="2" t="str">
        <x:v>Beam soffit deducted below</x:v>
      </x:c>
      <x:c r="M797" s="2"/>
      <x:c r="N797" s="2"/>
      <x:c r="O797" s="2"/>
      <x:c r="P797" s="2"/>
      <x:c r="Q797" s="2"/>
    </x:row>
    <x:row r="798" ht="22" customHeight="1">
      <x:c r="A798" s="7" t="str">
        <x:v>M0791</x:v>
      </x:c>
      <x:c r="B798" s="7" t="str">
        <x:v>FW01</x:v>
      </x:c>
      <x:c r="C798" s="7" t="str">
        <x:v>T3</x:v>
      </x:c>
      <x:c r="D798" s="7" t="str">
        <x:v>L07</x:v>
      </x:c>
      <x:c r="E798" s="7" t="str">
        <x:v>Stair opening deduction</x:v>
      </x:c>
      <x:c r="F798" s="20" t="n">
        <x:v>1</x:v>
      </x:c>
      <x:c r="G798" s="20" t="n">
        <x:f>'Controls'!$B$20</x:f>
        <x:v>4</x:v>
      </x:c>
      <x:c r="H798" s="20" t="n">
        <x:f>'Controls'!$B$21</x:f>
        <x:v>6</x:v>
      </x:c>
      <x:c r="I798" s="20" t="n">
        <x:v>1</x:v>
      </x:c>
      <x:c r="J798" s="20" t="n">
        <x:v>-1</x:v>
      </x:c>
      <x:c r="K798" s="20" t="n">
        <x:f>F798*G798*H798*I798*J798</x:f>
        <x:v>-24</x:v>
      </x:c>
      <x:c r="L798" s="7" t="str">
        <x:v>OP-01</x:v>
      </x:c>
      <x:c r="M798" s="2"/>
      <x:c r="N798" s="2"/>
      <x:c r="O798" s="2"/>
      <x:c r="P798" s="2"/>
      <x:c r="Q798" s="2"/>
    </x:row>
    <x:row r="799" ht="22" customHeight="1">
      <x:c r="A799" s="2" t="str">
        <x:v>M0792</x:v>
      </x:c>
      <x:c r="B799" s="2" t="str">
        <x:v>FW01</x:v>
      </x:c>
      <x:c r="C799" s="2" t="str">
        <x:v>T3</x:v>
      </x:c>
      <x:c r="D799" s="2" t="str">
        <x:v>L07</x:v>
      </x:c>
      <x:c r="E799" s="2" t="str">
        <x:v>Beam soffit deduction</x:v>
      </x:c>
      <x:c r="F799" s="21" t="n">
        <x:v>1</x:v>
      </x:c>
      <x:c r="G799" s="21" t="n">
        <x:f>5*5*('Controls'!$B$10/5-'Controls'!$B$14)+6*4*('Controls'!$B$11/4-'Controls'!$B$15)</x:f>
        <x:v>269.5</x:v>
      </x:c>
      <x:c r="H799" s="21" t="n">
        <x:f>'Controls'!$B$16</x:f>
        <x:v>0.3</x:v>
      </x:c>
      <x:c r="I799" s="21" t="n">
        <x:v>1</x:v>
      </x:c>
      <x:c r="J799" s="21" t="n">
        <x:v>-1</x:v>
      </x:c>
      <x:c r="K799" s="21" t="n">
        <x:f>F799*G799*H799*I799*J799</x:f>
        <x:v>-80.85</x:v>
      </x:c>
      <x:c r="L799" s="2" t="str">
        <x:v>Beam forms measured in FW02</x:v>
      </x:c>
      <x:c r="M799" s="2"/>
      <x:c r="N799" s="2"/>
      <x:c r="O799" s="2"/>
      <x:c r="P799" s="2"/>
      <x:c r="Q799" s="2"/>
    </x:row>
    <x:row r="800" ht="22" customHeight="1">
      <x:c r="A800" s="7" t="str">
        <x:v>M0793</x:v>
      </x:c>
      <x:c r="B800" s="7" t="str">
        <x:v>FW03</x:v>
      </x:c>
      <x:c r="C800" s="7" t="str">
        <x:v>T3</x:v>
      </x:c>
      <x:c r="D800" s="7" t="str">
        <x:v>L07</x:v>
      </x:c>
      <x:c r="E800" s="7" t="str">
        <x:v>Column four faces</x:v>
      </x:c>
      <x:c r="F800" s="20" t="n">
        <x:v>30</x:v>
      </x:c>
      <x:c r="G800" s="20" t="n">
        <x:f>2*('Controls'!$B$14+'Controls'!$B$15)</x:f>
        <x:v>2</x:v>
      </x:c>
      <x:c r="H800" s="20" t="n">
        <x:f>'Controls'!$B$12-'Controls'!$B$13</x:f>
        <x:v>2.98</x:v>
      </x:c>
      <x:c r="I800" s="20" t="n">
        <x:v>1</x:v>
      </x:c>
      <x:c r="J800" s="20" t="n">
        <x:v>1</x:v>
      </x:c>
      <x:c r="K800" s="20" t="n">
        <x:f>F800*G800*H800*I800*J800</x:f>
        <x:v>178.8</x:v>
      </x:c>
      <x:c r="L800" s="7" t="str">
        <x:v>Clear floor-to-soffit</x:v>
      </x:c>
      <x:c r="M800" s="2"/>
      <x:c r="N800" s="2"/>
      <x:c r="O800" s="2"/>
      <x:c r="P800" s="2"/>
      <x:c r="Q800" s="2"/>
    </x:row>
    <x:row r="801" ht="22" customHeight="1">
      <x:c r="A801" s="2" t="str">
        <x:v>M0794</x:v>
      </x:c>
      <x:c r="B801" s="2" t="str">
        <x:v>FW04</x:v>
      </x:c>
      <x:c r="C801" s="2" t="str">
        <x:v>T3</x:v>
      </x:c>
      <x:c r="D801" s="2" t="str">
        <x:v>L07</x:v>
      </x:c>
      <x:c r="E801" s="2" t="str">
        <x:v>Core wall two faces</x:v>
      </x:c>
      <x:c r="F801" s="21" t="n">
        <x:v>2</x:v>
      </x:c>
      <x:c r="G801" s="21" t="n">
        <x:f>'Controls'!$B$19</x:f>
        <x:v>24</x:v>
      </x:c>
      <x:c r="H801" s="21" t="n">
        <x:f>'Controls'!$B$12-'Controls'!$B$13</x:f>
        <x:v>2.98</x:v>
      </x:c>
      <x:c r="I801" s="21" t="n">
        <x:v>1</x:v>
      </x:c>
      <x:c r="J801" s="21" t="n">
        <x:v>1</x:v>
      </x:c>
      <x:c r="K801" s="21" t="n">
        <x:f>F801*G801*H801*I801*J801</x:f>
        <x:v>143.04</x:v>
      </x:c>
      <x:c r="L801" s="2" t="str">
        <x:v>Net perimeter, no repeated corners</x:v>
      </x:c>
      <x:c r="M801" s="2"/>
      <x:c r="N801" s="2"/>
      <x:c r="O801" s="2"/>
      <x:c r="P801" s="2"/>
      <x:c r="Q801" s="2"/>
    </x:row>
    <x:row r="802" ht="22" customHeight="1">
      <x:c r="A802" s="7" t="str">
        <x:v>M0795</x:v>
      </x:c>
      <x:c r="B802" s="7" t="str">
        <x:v>AR01</x:v>
      </x:c>
      <x:c r="C802" s="7" t="str">
        <x:v>T3</x:v>
      </x:c>
      <x:c r="D802" s="7" t="str">
        <x:v>L07</x:v>
      </x:c>
      <x:c r="E802" s="7" t="str">
        <x:v>Partition walls gross</x:v>
      </x:c>
      <x:c r="F802" s="20" t="n">
        <x:v>1</x:v>
      </x:c>
      <x:c r="G802" s="20" t="n">
        <x:f>'Controls'!$B$45</x:f>
        <x:v>220</x:v>
      </x:c>
      <x:c r="H802" s="20" t="n">
        <x:f>'Controls'!$B$12-'Controls'!$B$13</x:f>
        <x:v>2.98</x:v>
      </x:c>
      <x:c r="I802" s="20" t="n">
        <x:f>'Controls'!$B$46</x:f>
        <x:v>0.15</x:v>
      </x:c>
      <x:c r="J802" s="20" t="n">
        <x:v>1</x:v>
      </x:c>
      <x:c r="K802" s="20" t="n">
        <x:f>F802*G802*H802*I802*J802</x:f>
        <x:v>98.34</x:v>
      </x:c>
      <x:c r="L802" s="7" t="str">
        <x:v>Net openings deducted below</x:v>
      </x:c>
      <x:c r="M802" s="2"/>
      <x:c r="N802" s="2"/>
      <x:c r="O802" s="2"/>
      <x:c r="P802" s="2"/>
      <x:c r="Q802" s="2"/>
    </x:row>
    <x:row r="803" ht="22" customHeight="1">
      <x:c r="A803" s="2" t="str">
        <x:v>M0796</x:v>
      </x:c>
      <x:c r="B803" s="2" t="str">
        <x:v>AR01</x:v>
      </x:c>
      <x:c r="C803" s="2" t="str">
        <x:v>T3</x:v>
      </x:c>
      <x:c r="D803" s="2" t="str">
        <x:v>L07</x:v>
      </x:c>
      <x:c r="E803" s="2" t="str">
        <x:v>Internal doors deduction</x:v>
      </x:c>
      <x:c r="F803" s="21" t="n">
        <x:f>'Controls'!$B$48</x:f>
        <x:v>28</x:v>
      </x:c>
      <x:c r="G803" s="21" t="n">
        <x:f>'Controls'!$B$49</x:f>
        <x:v>0.9</x:v>
      </x:c>
      <x:c r="H803" s="21" t="n">
        <x:f>'Controls'!$B$50</x:f>
        <x:v>2.1</x:v>
      </x:c>
      <x:c r="I803" s="21" t="n">
        <x:f>'Controls'!$B$46</x:f>
        <x:v>0.15</x:v>
      </x:c>
      <x:c r="J803" s="21" t="n">
        <x:v>-1</x:v>
      </x:c>
      <x:c r="K803" s="21" t="n">
        <x:f>F803*G803*H803*I803*J803</x:f>
        <x:v>-7.938</x:v>
      </x:c>
      <x:c r="L803" s="2" t="str">
        <x:v>28 doors per floor, OP-02</x:v>
      </x:c>
      <x:c r="M803" s="2"/>
      <x:c r="N803" s="2"/>
      <x:c r="O803" s="2"/>
      <x:c r="P803" s="2"/>
      <x:c r="Q803" s="2"/>
    </x:row>
    <x:row r="804" ht="22" customHeight="1">
      <x:c r="A804" s="7" t="str">
        <x:v>M0797</x:v>
      </x:c>
      <x:c r="B804" s="7" t="str">
        <x:v>AR02</x:v>
      </x:c>
      <x:c r="C804" s="7" t="str">
        <x:v>T3</x:v>
      </x:c>
      <x:c r="D804" s="7" t="str">
        <x:v>L07</x:v>
      </x:c>
      <x:c r="E804" s="7" t="str">
        <x:v>Internal plaster gross</x:v>
      </x:c>
      <x:c r="F804" s="20" t="n">
        <x:v>2</x:v>
      </x:c>
      <x:c r="G804" s="20" t="n">
        <x:f>'Controls'!$B$45</x:f>
        <x:v>220</x:v>
      </x:c>
      <x:c r="H804" s="20" t="n">
        <x:f>'Controls'!$B$12-'Controls'!$B$13</x:f>
        <x:v>2.98</x:v>
      </x:c>
      <x:c r="I804" s="20" t="n">
        <x:v>1</x:v>
      </x:c>
      <x:c r="J804" s="20" t="n">
        <x:v>1</x:v>
      </x:c>
      <x:c r="K804" s="20" t="n">
        <x:f>F804*G804*H804*I804*J804</x:f>
        <x:v>1311.2</x:v>
      </x:c>
      <x:c r="L804" s="7" t="str">
        <x:v>Both faces of partition walls</x:v>
      </x:c>
      <x:c r="M804" s="2"/>
      <x:c r="N804" s="2"/>
      <x:c r="O804" s="2"/>
      <x:c r="P804" s="2"/>
      <x:c r="Q804" s="2"/>
    </x:row>
    <x:row r="805" ht="22" customHeight="1">
      <x:c r="A805" s="2" t="str">
        <x:v>M0798</x:v>
      </x:c>
      <x:c r="B805" s="2" t="str">
        <x:v>AR02</x:v>
      </x:c>
      <x:c r="C805" s="2" t="str">
        <x:v>T3</x:v>
      </x:c>
      <x:c r="D805" s="2" t="str">
        <x:v>L07</x:v>
      </x:c>
      <x:c r="E805" s="2" t="str">
        <x:v>Door area deduction both faces</x:v>
      </x:c>
      <x:c r="F805" s="21" t="n">
        <x:f>2*'Controls'!$B$48</x:f>
        <x:v>56</x:v>
      </x:c>
      <x:c r="G805" s="21" t="n">
        <x:f>'Controls'!$B$49</x:f>
        <x:v>0.9</x:v>
      </x:c>
      <x:c r="H805" s="21" t="n">
        <x:f>'Controls'!$B$50</x:f>
        <x:v>2.1</x:v>
      </x:c>
      <x:c r="I805" s="21" t="n">
        <x:v>1</x:v>
      </x:c>
      <x:c r="J805" s="21" t="n">
        <x:v>-1</x:v>
      </x:c>
      <x:c r="K805" s="21" t="n">
        <x:f>F805*G805*H805*I805*J805</x:f>
        <x:v>-105.84</x:v>
      </x:c>
      <x:c r="L805" s="2" t="str">
        <x:v>No plaster over openings</x:v>
      </x:c>
      <x:c r="M805" s="2"/>
      <x:c r="N805" s="2"/>
      <x:c r="O805" s="2"/>
      <x:c r="P805" s="2"/>
      <x:c r="Q805" s="2"/>
    </x:row>
    <x:row r="806" ht="22" customHeight="1">
      <x:c r="A806" s="7" t="str">
        <x:v>M0799</x:v>
      </x:c>
      <x:c r="B806" s="7" t="str">
        <x:v>AR03</x:v>
      </x:c>
      <x:c r="C806" s="7" t="str">
        <x:v>T3</x:v>
      </x:c>
      <x:c r="D806" s="7" t="str">
        <x:v>L07</x:v>
      </x:c>
      <x:c r="E806" s="7" t="str">
        <x:v>Floor screed net</x:v>
      </x:c>
      <x:c r="F806" s="20" t="n">
        <x:v>1</x:v>
      </x:c>
      <x:c r="G806" s="20" t="n">
        <x:f>'Controls'!$B$10*'Controls'!$B$11-'Controls'!$B$20*'Controls'!$B$21</x:f>
        <x:v>696</x:v>
      </x:c>
      <x:c r="H806" s="20" t="n">
        <x:v>1</x:v>
      </x:c>
      <x:c r="I806" s="20" t="n">
        <x:v>1</x:v>
      </x:c>
      <x:c r="J806" s="20" t="n">
        <x:v>1</x:v>
      </x:c>
      <x:c r="K806" s="20" t="n">
        <x:f>F806*G806*H806*I806*J806</x:f>
        <x:v>696</x:v>
      </x:c>
      <x:c r="L806" s="7" t="str">
        <x:v>Net structural floor area</x:v>
      </x:c>
      <x:c r="M806" s="2"/>
      <x:c r="N806" s="2"/>
      <x:c r="O806" s="2"/>
      <x:c r="P806" s="2"/>
      <x:c r="Q806" s="2"/>
    </x:row>
    <x:row r="807" ht="22" customHeight="1">
      <x:c r="A807" s="2" t="str">
        <x:v>M0800</x:v>
      </x:c>
      <x:c r="B807" s="2" t="str">
        <x:v>AR04</x:v>
      </x:c>
      <x:c r="C807" s="2" t="str">
        <x:v>T3</x:v>
      </x:c>
      <x:c r="D807" s="2" t="str">
        <x:v>L07</x:v>
      </x:c>
      <x:c r="E807" s="2" t="str">
        <x:v>Floor finish net</x:v>
      </x:c>
      <x:c r="F807" s="21" t="n">
        <x:v>1</x:v>
      </x:c>
      <x:c r="G807" s="21" t="n">
        <x:f>'Controls'!$B$10*'Controls'!$B$11-'Controls'!$B$20*'Controls'!$B$21</x:f>
        <x:v>696</x:v>
      </x:c>
      <x:c r="H807" s="21" t="n">
        <x:v>1</x:v>
      </x:c>
      <x:c r="I807" s="21" t="n">
        <x:v>1</x:v>
      </x:c>
      <x:c r="J807" s="21" t="n">
        <x:v>1</x:v>
      </x:c>
      <x:c r="K807" s="21" t="n">
        <x:f>F807*G807*H807*I807*J807</x:f>
        <x:v>696</x:v>
      </x:c>
      <x:c r="L807" s="2" t="str">
        <x:v>Waste excluded from BOQ</x:v>
      </x:c>
      <x:c r="M807" s="2"/>
      <x:c r="N807" s="2"/>
      <x:c r="O807" s="2"/>
      <x:c r="P807" s="2"/>
      <x:c r="Q807" s="2"/>
    </x:row>
    <x:row r="808" ht="22" customHeight="1">
      <x:c r="A808" s="7" t="str">
        <x:v>M0801</x:v>
      </x:c>
      <x:c r="B808" s="7" t="str">
        <x:v>AR05</x:v>
      </x:c>
      <x:c r="C808" s="7" t="str">
        <x:v>T3</x:v>
      </x:c>
      <x:c r="D808" s="7" t="str">
        <x:v>L07</x:v>
      </x:c>
      <x:c r="E808" s="7" t="str">
        <x:v>Internal wall paint net</x:v>
      </x:c>
      <x:c r="F808" s="20" t="n">
        <x:v>2</x:v>
      </x:c>
      <x:c r="G808" s="20" t="n">
        <x:f>'Controls'!$B$45*('Controls'!$B$12-'Controls'!$B$13)-'Controls'!$B$48*'Controls'!$B$49*'Controls'!$B$50</x:f>
        <x:v>602.6800000000001</x:v>
      </x:c>
      <x:c r="H808" s="20" t="n">
        <x:v>1</x:v>
      </x:c>
      <x:c r="I808" s="20" t="n">
        <x:v>1</x:v>
      </x:c>
      <x:c r="J808" s="20" t="n">
        <x:v>1</x:v>
      </x:c>
      <x:c r="K808" s="20" t="n">
        <x:f>F808*G808*H808*I808*J808</x:f>
        <x:v>1205.3600000000001</x:v>
      </x:c>
      <x:c r="L808" s="7" t="str">
        <x:v>Finished area; two coats priced in rate</x:v>
      </x:c>
      <x:c r="M808" s="2"/>
      <x:c r="N808" s="2"/>
      <x:c r="O808" s="2"/>
      <x:c r="P808" s="2"/>
      <x:c r="Q808" s="2"/>
    </x:row>
    <x:row r="809" ht="22" customHeight="1">
      <x:c r="A809" s="2" t="str">
        <x:v>M0802</x:v>
      </x:c>
      <x:c r="B809" s="2" t="str">
        <x:v>AR06</x:v>
      </x:c>
      <x:c r="C809" s="2" t="str">
        <x:v>T3</x:v>
      </x:c>
      <x:c r="D809" s="2" t="str">
        <x:v>L07</x:v>
      </x:c>
      <x:c r="E809" s="2" t="str">
        <x:v>Door sets</x:v>
      </x:c>
      <x:c r="F809" s="21" t="n">
        <x:f>'Controls'!$B$48</x:f>
        <x:v>28</x:v>
      </x:c>
      <x:c r="G809" s="21" t="n">
        <x:v>1</x:v>
      </x:c>
      <x:c r="H809" s="21" t="n">
        <x:v>1</x:v>
      </x:c>
      <x:c r="I809" s="21" t="n">
        <x:v>1</x:v>
      </x:c>
      <x:c r="J809" s="21" t="n">
        <x:v>1</x:v>
      </x:c>
      <x:c r="K809" s="21" t="n">
        <x:f>F809*G809*H809*I809*J809</x:f>
        <x:v>28</x:v>
      </x:c>
      <x:c r="L809" s="2" t="str">
        <x:v>Door count, not double face</x:v>
      </x:c>
      <x:c r="M809" s="2"/>
      <x:c r="N809" s="2"/>
      <x:c r="O809" s="2"/>
      <x:c r="P809" s="2"/>
      <x:c r="Q809" s="2"/>
    </x:row>
    <x:row r="810" ht="22" customHeight="1">
      <x:c r="A810" s="7" t="str">
        <x:v>M0803</x:v>
      </x:c>
      <x:c r="B810" s="7" t="str">
        <x:v>RC03</x:v>
      </x:c>
      <x:c r="C810" s="7" t="str">
        <x:v>T3</x:v>
      </x:c>
      <x:c r="D810" s="7" t="str">
        <x:v>L08</x:v>
      </x:c>
      <x:c r="E810" s="7" t="str">
        <x:v>Floor slab gross</x:v>
      </x:c>
      <x:c r="F810" s="20" t="n">
        <x:v>1</x:v>
      </x:c>
      <x:c r="G810" s="20" t="n">
        <x:f>'Controls'!$B$10</x:f>
        <x:v>30</x:v>
      </x:c>
      <x:c r="H810" s="20" t="n">
        <x:f>'Controls'!$B$11</x:f>
        <x:v>24</x:v>
      </x:c>
      <x:c r="I810" s="20" t="n">
        <x:f>'Controls'!$B$13</x:f>
        <x:v>0.22</x:v>
      </x:c>
      <x:c r="J810" s="20" t="n">
        <x:v>1</x:v>
      </x:c>
      <x:c r="K810" s="20" t="n">
        <x:f>F810*G810*H810*I810*J810</x:f>
        <x:v>158.4</x:v>
      </x:c>
      <x:c r="L810" s="7" t="str">
        <x:v>Slab includes beam top flange; downstand separate</x:v>
      </x:c>
      <x:c r="M810" s="2"/>
      <x:c r="N810" s="2"/>
      <x:c r="O810" s="2"/>
      <x:c r="P810" s="2"/>
      <x:c r="Q810" s="2"/>
    </x:row>
    <x:row r="811" ht="22" customHeight="1">
      <x:c r="A811" s="2" t="str">
        <x:v>M0804</x:v>
      </x:c>
      <x:c r="B811" s="2" t="str">
        <x:v>RC03</x:v>
      </x:c>
      <x:c r="C811" s="2" t="str">
        <x:v>T3</x:v>
      </x:c>
      <x:c r="D811" s="2" t="str">
        <x:v>L08</x:v>
      </x:c>
      <x:c r="E811" s="2" t="str">
        <x:v>Stair opening deduction</x:v>
      </x:c>
      <x:c r="F811" s="21" t="n">
        <x:v>1</x:v>
      </x:c>
      <x:c r="G811" s="21" t="n">
        <x:f>'Controls'!$B$20</x:f>
        <x:v>4</x:v>
      </x:c>
      <x:c r="H811" s="21" t="n">
        <x:f>'Controls'!$B$21</x:f>
        <x:v>6</x:v>
      </x:c>
      <x:c r="I811" s="21" t="n">
        <x:f>'Controls'!$B$13</x:f>
        <x:v>0.22</x:v>
      </x:c>
      <x:c r="J811" s="21" t="n">
        <x:v>-1</x:v>
      </x:c>
      <x:c r="K811" s="21" t="n">
        <x:f>F811*G811*H811*I811*J811</x:f>
        <x:v>-5.28</x:v>
      </x:c>
      <x:c r="L811" s="2" t="str">
        <x:v>Opening OP-01</x:v>
      </x:c>
      <x:c r="M811" s="2"/>
      <x:c r="N811" s="2"/>
      <x:c r="O811" s="2"/>
      <x:c r="P811" s="2"/>
      <x:c r="Q811" s="2"/>
    </x:row>
    <x:row r="812" ht="22" customHeight="1">
      <x:c r="A812" s="7" t="str">
        <x:v>M0805</x:v>
      </x:c>
      <x:c r="B812" s="7" t="str">
        <x:v>RC04</x:v>
      </x:c>
      <x:c r="C812" s="7" t="str">
        <x:v>T3</x:v>
      </x:c>
      <x:c r="D812" s="7" t="str">
        <x:v>L08</x:v>
      </x:c>
      <x:c r="E812" s="7" t="str">
        <x:v>Beam downstands X</x:v>
      </x:c>
      <x:c r="F812" s="20" t="n">
        <x:v>1</x:v>
      </x:c>
      <x:c r="G812" s="20" t="n">
        <x:f>5*5*('Controls'!$B$10/5-'Controls'!$B$14)</x:f>
        <x:v>137.5</x:v>
      </x:c>
      <x:c r="H812" s="20" t="n">
        <x:f>'Controls'!$B$16</x:f>
        <x:v>0.3</x:v>
      </x:c>
      <x:c r="I812" s="20" t="n">
        <x:f>'Controls'!$B$17-'Controls'!$B$13</x:f>
        <x:v>0.38</x:v>
      </x:c>
      <x:c r="J812" s="20" t="n">
        <x:v>1</x:v>
      </x:c>
      <x:c r="K812" s="20" t="n">
        <x:f>F812*G812*H812*I812*J812</x:f>
        <x:v>15.675</x:v>
      </x:c>
      <x:c r="L812" s="7" t="str">
        <x:v>Clear spans between column faces; no joint overlap</x:v>
      </x:c>
      <x:c r="M812" s="2"/>
      <x:c r="N812" s="2"/>
      <x:c r="O812" s="2"/>
      <x:c r="P812" s="2"/>
      <x:c r="Q812" s="2"/>
    </x:row>
    <x:row r="813" ht="22" customHeight="1">
      <x:c r="A813" s="2" t="str">
        <x:v>M0806</x:v>
      </x:c>
      <x:c r="B813" s="2" t="str">
        <x:v>FW02</x:v>
      </x:c>
      <x:c r="C813" s="2" t="str">
        <x:v>T3</x:v>
      </x:c>
      <x:c r="D813" s="2" t="str">
        <x:v>L08</x:v>
      </x:c>
      <x:c r="E813" s="2" t="str">
        <x:v>Beam forms X</x:v>
      </x:c>
      <x:c r="F813" s="21" t="n">
        <x:v>1</x:v>
      </x:c>
      <x:c r="G813" s="21" t="n">
        <x:f>5*5*('Controls'!$B$10/5-'Controls'!$B$14)</x:f>
        <x:v>137.5</x:v>
      </x:c>
      <x:c r="H813" s="21" t="n">
        <x:f>'Controls'!$B$16+2*('Controls'!$B$17-'Controls'!$B$13)</x:f>
        <x:v>1.06</x:v>
      </x:c>
      <x:c r="I813" s="21" t="n">
        <x:v>1</x:v>
      </x:c>
      <x:c r="J813" s="21" t="n">
        <x:v>1</x:v>
      </x:c>
      <x:c r="K813" s="21" t="n">
        <x:f>F813*G813*H813*I813*J813</x:f>
        <x:v>145.75</x:v>
      </x:c>
      <x:c r="L813" s="2" t="str">
        <x:v>Soffit plus two downstand sides</x:v>
      </x:c>
      <x:c r="M813" s="2"/>
      <x:c r="N813" s="2"/>
      <x:c r="O813" s="2"/>
      <x:c r="P813" s="2"/>
      <x:c r="Q813" s="2"/>
    </x:row>
    <x:row r="814" ht="22" customHeight="1">
      <x:c r="A814" s="7" t="str">
        <x:v>M0807</x:v>
      </x:c>
      <x:c r="B814" s="7" t="str">
        <x:v>RC04</x:v>
      </x:c>
      <x:c r="C814" s="7" t="str">
        <x:v>T3</x:v>
      </x:c>
      <x:c r="D814" s="7" t="str">
        <x:v>L08</x:v>
      </x:c>
      <x:c r="E814" s="7" t="str">
        <x:v>Beam downstands Y</x:v>
      </x:c>
      <x:c r="F814" s="20" t="n">
        <x:v>1</x:v>
      </x:c>
      <x:c r="G814" s="20" t="n">
        <x:f>6*4*('Controls'!$B$11/4-'Controls'!$B$15)</x:f>
        <x:v>132</x:v>
      </x:c>
      <x:c r="H814" s="20" t="n">
        <x:f>'Controls'!$B$16</x:f>
        <x:v>0.3</x:v>
      </x:c>
      <x:c r="I814" s="20" t="n">
        <x:f>'Controls'!$B$17-'Controls'!$B$13</x:f>
        <x:v>0.38</x:v>
      </x:c>
      <x:c r="J814" s="20" t="n">
        <x:v>1</x:v>
      </x:c>
      <x:c r="K814" s="20" t="n">
        <x:f>F814*G814*H814*I814*J814</x:f>
        <x:v>15.048</x:v>
      </x:c>
      <x:c r="L814" s="7" t="str">
        <x:v>Clear spans between column faces; no joint overlap</x:v>
      </x:c>
      <x:c r="M814" s="2"/>
      <x:c r="N814" s="2"/>
      <x:c r="O814" s="2"/>
      <x:c r="P814" s="2"/>
      <x:c r="Q814" s="2"/>
    </x:row>
    <x:row r="815" ht="22" customHeight="1">
      <x:c r="A815" s="2" t="str">
        <x:v>M0808</x:v>
      </x:c>
      <x:c r="B815" s="2" t="str">
        <x:v>FW02</x:v>
      </x:c>
      <x:c r="C815" s="2" t="str">
        <x:v>T3</x:v>
      </x:c>
      <x:c r="D815" s="2" t="str">
        <x:v>L08</x:v>
      </x:c>
      <x:c r="E815" s="2" t="str">
        <x:v>Beam forms Y</x:v>
      </x:c>
      <x:c r="F815" s="21" t="n">
        <x:v>1</x:v>
      </x:c>
      <x:c r="G815" s="21" t="n">
        <x:f>6*4*('Controls'!$B$11/4-'Controls'!$B$15)</x:f>
        <x:v>132</x:v>
      </x:c>
      <x:c r="H815" s="21" t="n">
        <x:f>'Controls'!$B$16+2*('Controls'!$B$17-'Controls'!$B$13)</x:f>
        <x:v>1.06</x:v>
      </x:c>
      <x:c r="I815" s="21" t="n">
        <x:v>1</x:v>
      </x:c>
      <x:c r="J815" s="21" t="n">
        <x:v>1</x:v>
      </x:c>
      <x:c r="K815" s="21" t="n">
        <x:f>F815*G815*H815*I815*J815</x:f>
        <x:v>139.92000000000002</x:v>
      </x:c>
      <x:c r="L815" s="2" t="str">
        <x:v>Soffit plus two downstand sides</x:v>
      </x:c>
      <x:c r="M815" s="2"/>
      <x:c r="N815" s="2"/>
      <x:c r="O815" s="2"/>
      <x:c r="P815" s="2"/>
      <x:c r="Q815" s="2"/>
    </x:row>
    <x:row r="816" ht="22" customHeight="1">
      <x:c r="A816" s="7" t="str">
        <x:v>M0809</x:v>
      </x:c>
      <x:c r="B816" s="7" t="str">
        <x:v>RC05</x:v>
      </x:c>
      <x:c r="C816" s="7" t="str">
        <x:v>T3</x:v>
      </x:c>
      <x:c r="D816" s="7" t="str">
        <x:v>L08</x:v>
      </x:c>
      <x:c r="E816" s="7" t="str">
        <x:v>Thirty columns, clear storey</x:v>
      </x:c>
      <x:c r="F816" s="20" t="n">
        <x:v>30</x:v>
      </x:c>
      <x:c r="G816" s="20" t="n">
        <x:f>'Controls'!$B$14</x:f>
        <x:v>0.5</x:v>
      </x:c>
      <x:c r="H816" s="20" t="n">
        <x:f>'Controls'!$B$15</x:f>
        <x:v>0.5</x:v>
      </x:c>
      <x:c r="I816" s="20" t="n">
        <x:f>'Controls'!$B$12-'Controls'!$B$13</x:f>
        <x:v>2.98</x:v>
      </x:c>
      <x:c r="J816" s="20" t="n">
        <x:v>1</x:v>
      </x:c>
      <x:c r="K816" s="20" t="n">
        <x:f>F816*G816*H816*I816*J816</x:f>
        <x:v>22.35</x:v>
      </x:c>
      <x:c r="L816" s="7" t="str">
        <x:v>Slab volume excluded from columns</x:v>
      </x:c>
      <x:c r="M816" s="2"/>
      <x:c r="N816" s="2"/>
      <x:c r="O816" s="2"/>
      <x:c r="P816" s="2"/>
      <x:c r="Q816" s="2"/>
    </x:row>
    <x:row r="817" ht="22" customHeight="1">
      <x:c r="A817" s="2" t="str">
        <x:v>M0810</x:v>
      </x:c>
      <x:c r="B817" s="2" t="str">
        <x:v>RC06</x:v>
      </x:c>
      <x:c r="C817" s="2" t="str">
        <x:v>T3</x:v>
      </x:c>
      <x:c r="D817" s="2" t="str">
        <x:v>L08</x:v>
      </x:c>
      <x:c r="E817" s="2" t="str">
        <x:v>Core walls clear storey</x:v>
      </x:c>
      <x:c r="F817" s="21" t="n">
        <x:v>1</x:v>
      </x:c>
      <x:c r="G817" s="21" t="n">
        <x:f>'Controls'!$B$19</x:f>
        <x:v>24</x:v>
      </x:c>
      <x:c r="H817" s="21" t="n">
        <x:f>'Controls'!$B$18</x:f>
        <x:v>0.25</x:v>
      </x:c>
      <x:c r="I817" s="21" t="n">
        <x:f>'Controls'!$B$12-'Controls'!$B$13</x:f>
        <x:v>2.98</x:v>
      </x:c>
      <x:c r="J817" s="21" t="n">
        <x:v>1</x:v>
      </x:c>
      <x:c r="K817" s="21" t="n">
        <x:f>F817*G817*H817*I817*J817</x:f>
        <x:v>17.88</x:v>
      </x:c>
      <x:c r="L817" s="2" t="str">
        <x:v>Net clear wall length excludes corners</x:v>
      </x:c>
      <x:c r="M817" s="2"/>
      <x:c r="N817" s="2"/>
      <x:c r="O817" s="2"/>
      <x:c r="P817" s="2"/>
      <x:c r="Q817" s="2"/>
    </x:row>
    <x:row r="818" ht="22" customHeight="1">
      <x:c r="A818" s="7" t="str">
        <x:v>M0811</x:v>
      </x:c>
      <x:c r="B818" s="7" t="str">
        <x:v>RC07</x:v>
      </x:c>
      <x:c r="C818" s="7" t="str">
        <x:v>T3</x:v>
      </x:c>
      <x:c r="D818" s="7" t="str">
        <x:v>L08</x:v>
      </x:c>
      <x:c r="E818" s="7" t="str">
        <x:v>Stair flights waist</x:v>
      </x:c>
      <x:c r="F818" s="20" t="n">
        <x:v>2</x:v>
      </x:c>
      <x:c r="G818" s="20" t="n">
        <x:v>4.1</x:v>
      </x:c>
      <x:c r="H818" s="20" t="n">
        <x:v>1.2</x:v>
      </x:c>
      <x:c r="I818" s="20" t="n">
        <x:v>0.18</x:v>
      </x:c>
      <x:c r="J818" s="20" t="n">
        <x:v>1</x:v>
      </x:c>
      <x:c r="K818" s="20" t="n">
        <x:f>F818*G818*H818*I818*J818</x:f>
        <x:v>1.7711999999999997</x:v>
      </x:c>
      <x:c r="L818" s="7" t="str">
        <x:v>Two flights; geometry separate from floor slab</x:v>
      </x:c>
      <x:c r="M818" s="2"/>
      <x:c r="N818" s="2"/>
      <x:c r="O818" s="2"/>
      <x:c r="P818" s="2"/>
      <x:c r="Q818" s="2"/>
    </x:row>
    <x:row r="819" ht="22" customHeight="1">
      <x:c r="A819" s="2" t="str">
        <x:v>M0812</x:v>
      </x:c>
      <x:c r="B819" s="2" t="str">
        <x:v>RC07</x:v>
      </x:c>
      <x:c r="C819" s="2" t="str">
        <x:v>T3</x:v>
      </x:c>
      <x:c r="D819" s="2" t="str">
        <x:v>L08</x:v>
      </x:c>
      <x:c r="E819" s="2" t="str">
        <x:v>Stair landings</x:v>
      </x:c>
      <x:c r="F819" s="21" t="n">
        <x:v>2</x:v>
      </x:c>
      <x:c r="G819" s="21" t="n">
        <x:v>2</x:v>
      </x:c>
      <x:c r="H819" s="21" t="n">
        <x:v>1.2</x:v>
      </x:c>
      <x:c r="I819" s="21" t="n">
        <x:v>0.18</x:v>
      </x:c>
      <x:c r="J819" s="21" t="n">
        <x:v>1</x:v>
      </x:c>
      <x:c r="K819" s="21" t="n">
        <x:f>F819*G819*H819*I819*J819</x:f>
        <x:v>0.864</x:v>
      </x:c>
      <x:c r="L819" s="2" t="str">
        <x:v>Within stair opening</x:v>
      </x:c>
      <x:c r="M819" s="2"/>
      <x:c r="N819" s="2"/>
      <x:c r="O819" s="2"/>
      <x:c r="P819" s="2"/>
      <x:c r="Q819" s="2"/>
    </x:row>
    <x:row r="820" ht="22" customHeight="1">
      <x:c r="A820" s="7" t="str">
        <x:v>M0813</x:v>
      </x:c>
      <x:c r="B820" s="7" t="str">
        <x:v>FW01</x:v>
      </x:c>
      <x:c r="C820" s="7" t="str">
        <x:v>T3</x:v>
      </x:c>
      <x:c r="D820" s="7" t="str">
        <x:v>L08</x:v>
      </x:c>
      <x:c r="E820" s="7" t="str">
        <x:v>Slab soffit gross</x:v>
      </x:c>
      <x:c r="F820" s="20" t="n">
        <x:v>1</x:v>
      </x:c>
      <x:c r="G820" s="20" t="n">
        <x:f>'Controls'!$B$10</x:f>
        <x:v>30</x:v>
      </x:c>
      <x:c r="H820" s="20" t="n">
        <x:f>'Controls'!$B$11</x:f>
        <x:v>24</x:v>
      </x:c>
      <x:c r="I820" s="20" t="n">
        <x:v>1</x:v>
      </x:c>
      <x:c r="J820" s="20" t="n">
        <x:v>1</x:v>
      </x:c>
      <x:c r="K820" s="20" t="n">
        <x:f>F820*G820*H820*I820*J820</x:f>
        <x:v>720</x:v>
      </x:c>
      <x:c r="L820" s="7" t="str">
        <x:v>Beam soffit deducted below</x:v>
      </x:c>
      <x:c r="M820" s="2"/>
      <x:c r="N820" s="2"/>
      <x:c r="O820" s="2"/>
      <x:c r="P820" s="2"/>
      <x:c r="Q820" s="2"/>
    </x:row>
    <x:row r="821" ht="22" customHeight="1">
      <x:c r="A821" s="2" t="str">
        <x:v>M0814</x:v>
      </x:c>
      <x:c r="B821" s="2" t="str">
        <x:v>FW01</x:v>
      </x:c>
      <x:c r="C821" s="2" t="str">
        <x:v>T3</x:v>
      </x:c>
      <x:c r="D821" s="2" t="str">
        <x:v>L08</x:v>
      </x:c>
      <x:c r="E821" s="2" t="str">
        <x:v>Stair opening deduction</x:v>
      </x:c>
      <x:c r="F821" s="21" t="n">
        <x:v>1</x:v>
      </x:c>
      <x:c r="G821" s="21" t="n">
        <x:f>'Controls'!$B$20</x:f>
        <x:v>4</x:v>
      </x:c>
      <x:c r="H821" s="21" t="n">
        <x:f>'Controls'!$B$21</x:f>
        <x:v>6</x:v>
      </x:c>
      <x:c r="I821" s="21" t="n">
        <x:v>1</x:v>
      </x:c>
      <x:c r="J821" s="21" t="n">
        <x:v>-1</x:v>
      </x:c>
      <x:c r="K821" s="21" t="n">
        <x:f>F821*G821*H821*I821*J821</x:f>
        <x:v>-24</x:v>
      </x:c>
      <x:c r="L821" s="2" t="str">
        <x:v>OP-01</x:v>
      </x:c>
      <x:c r="M821" s="2"/>
      <x:c r="N821" s="2"/>
      <x:c r="O821" s="2"/>
      <x:c r="P821" s="2"/>
      <x:c r="Q821" s="2"/>
    </x:row>
    <x:row r="822" ht="22" customHeight="1">
      <x:c r="A822" s="7" t="str">
        <x:v>M0815</x:v>
      </x:c>
      <x:c r="B822" s="7" t="str">
        <x:v>FW01</x:v>
      </x:c>
      <x:c r="C822" s="7" t="str">
        <x:v>T3</x:v>
      </x:c>
      <x:c r="D822" s="7" t="str">
        <x:v>L08</x:v>
      </x:c>
      <x:c r="E822" s="7" t="str">
        <x:v>Beam soffit deduction</x:v>
      </x:c>
      <x:c r="F822" s="20" t="n">
        <x:v>1</x:v>
      </x:c>
      <x:c r="G822" s="20" t="n">
        <x:f>5*5*('Controls'!$B$10/5-'Controls'!$B$14)+6*4*('Controls'!$B$11/4-'Controls'!$B$15)</x:f>
        <x:v>269.5</x:v>
      </x:c>
      <x:c r="H822" s="20" t="n">
        <x:f>'Controls'!$B$16</x:f>
        <x:v>0.3</x:v>
      </x:c>
      <x:c r="I822" s="20" t="n">
        <x:v>1</x:v>
      </x:c>
      <x:c r="J822" s="20" t="n">
        <x:v>-1</x:v>
      </x:c>
      <x:c r="K822" s="20" t="n">
        <x:f>F822*G822*H822*I822*J822</x:f>
        <x:v>-80.85</x:v>
      </x:c>
      <x:c r="L822" s="7" t="str">
        <x:v>Beam forms measured in FW02</x:v>
      </x:c>
      <x:c r="M822" s="2"/>
      <x:c r="N822" s="2"/>
      <x:c r="O822" s="2"/>
      <x:c r="P822" s="2"/>
      <x:c r="Q822" s="2"/>
    </x:row>
    <x:row r="823" ht="22" customHeight="1">
      <x:c r="A823" s="2" t="str">
        <x:v>M0816</x:v>
      </x:c>
      <x:c r="B823" s="2" t="str">
        <x:v>FW03</x:v>
      </x:c>
      <x:c r="C823" s="2" t="str">
        <x:v>T3</x:v>
      </x:c>
      <x:c r="D823" s="2" t="str">
        <x:v>L08</x:v>
      </x:c>
      <x:c r="E823" s="2" t="str">
        <x:v>Column four faces</x:v>
      </x:c>
      <x:c r="F823" s="21" t="n">
        <x:v>30</x:v>
      </x:c>
      <x:c r="G823" s="21" t="n">
        <x:f>2*('Controls'!$B$14+'Controls'!$B$15)</x:f>
        <x:v>2</x:v>
      </x:c>
      <x:c r="H823" s="21" t="n">
        <x:f>'Controls'!$B$12-'Controls'!$B$13</x:f>
        <x:v>2.98</x:v>
      </x:c>
      <x:c r="I823" s="21" t="n">
        <x:v>1</x:v>
      </x:c>
      <x:c r="J823" s="21" t="n">
        <x:v>1</x:v>
      </x:c>
      <x:c r="K823" s="21" t="n">
        <x:f>F823*G823*H823*I823*J823</x:f>
        <x:v>178.8</x:v>
      </x:c>
      <x:c r="L823" s="2" t="str">
        <x:v>Clear floor-to-soffit</x:v>
      </x:c>
      <x:c r="M823" s="2"/>
      <x:c r="N823" s="2"/>
      <x:c r="O823" s="2"/>
      <x:c r="P823" s="2"/>
      <x:c r="Q823" s="2"/>
    </x:row>
    <x:row r="824" ht="22" customHeight="1">
      <x:c r="A824" s="7" t="str">
        <x:v>M0817</x:v>
      </x:c>
      <x:c r="B824" s="7" t="str">
        <x:v>FW04</x:v>
      </x:c>
      <x:c r="C824" s="7" t="str">
        <x:v>T3</x:v>
      </x:c>
      <x:c r="D824" s="7" t="str">
        <x:v>L08</x:v>
      </x:c>
      <x:c r="E824" s="7" t="str">
        <x:v>Core wall two faces</x:v>
      </x:c>
      <x:c r="F824" s="20" t="n">
        <x:v>2</x:v>
      </x:c>
      <x:c r="G824" s="20" t="n">
        <x:f>'Controls'!$B$19</x:f>
        <x:v>24</x:v>
      </x:c>
      <x:c r="H824" s="20" t="n">
        <x:f>'Controls'!$B$12-'Controls'!$B$13</x:f>
        <x:v>2.98</x:v>
      </x:c>
      <x:c r="I824" s="20" t="n">
        <x:v>1</x:v>
      </x:c>
      <x:c r="J824" s="20" t="n">
        <x:v>1</x:v>
      </x:c>
      <x:c r="K824" s="20" t="n">
        <x:f>F824*G824*H824*I824*J824</x:f>
        <x:v>143.04</x:v>
      </x:c>
      <x:c r="L824" s="7" t="str">
        <x:v>Net perimeter, no repeated corners</x:v>
      </x:c>
      <x:c r="M824" s="2"/>
      <x:c r="N824" s="2"/>
      <x:c r="O824" s="2"/>
      <x:c r="P824" s="2"/>
      <x:c r="Q824" s="2"/>
    </x:row>
    <x:row r="825" ht="22" customHeight="1">
      <x:c r="A825" s="2" t="str">
        <x:v>M0818</x:v>
      </x:c>
      <x:c r="B825" s="2" t="str">
        <x:v>AR01</x:v>
      </x:c>
      <x:c r="C825" s="2" t="str">
        <x:v>T3</x:v>
      </x:c>
      <x:c r="D825" s="2" t="str">
        <x:v>L08</x:v>
      </x:c>
      <x:c r="E825" s="2" t="str">
        <x:v>Partition walls gross</x:v>
      </x:c>
      <x:c r="F825" s="21" t="n">
        <x:v>1</x:v>
      </x:c>
      <x:c r="G825" s="21" t="n">
        <x:f>'Controls'!$B$45</x:f>
        <x:v>220</x:v>
      </x:c>
      <x:c r="H825" s="21" t="n">
        <x:f>'Controls'!$B$12-'Controls'!$B$13</x:f>
        <x:v>2.98</x:v>
      </x:c>
      <x:c r="I825" s="21" t="n">
        <x:f>'Controls'!$B$46</x:f>
        <x:v>0.15</x:v>
      </x:c>
      <x:c r="J825" s="21" t="n">
        <x:v>1</x:v>
      </x:c>
      <x:c r="K825" s="21" t="n">
        <x:f>F825*G825*H825*I825*J825</x:f>
        <x:v>98.34</x:v>
      </x:c>
      <x:c r="L825" s="2" t="str">
        <x:v>Net openings deducted below</x:v>
      </x:c>
      <x:c r="M825" s="2"/>
      <x:c r="N825" s="2"/>
      <x:c r="O825" s="2"/>
      <x:c r="P825" s="2"/>
      <x:c r="Q825" s="2"/>
    </x:row>
    <x:row r="826" ht="22" customHeight="1">
      <x:c r="A826" s="7" t="str">
        <x:v>M0819</x:v>
      </x:c>
      <x:c r="B826" s="7" t="str">
        <x:v>AR01</x:v>
      </x:c>
      <x:c r="C826" s="7" t="str">
        <x:v>T3</x:v>
      </x:c>
      <x:c r="D826" s="7" t="str">
        <x:v>L08</x:v>
      </x:c>
      <x:c r="E826" s="7" t="str">
        <x:v>Internal doors deduction</x:v>
      </x:c>
      <x:c r="F826" s="20" t="n">
        <x:f>'Controls'!$B$48</x:f>
        <x:v>28</x:v>
      </x:c>
      <x:c r="G826" s="20" t="n">
        <x:f>'Controls'!$B$49</x:f>
        <x:v>0.9</x:v>
      </x:c>
      <x:c r="H826" s="20" t="n">
        <x:f>'Controls'!$B$50</x:f>
        <x:v>2.1</x:v>
      </x:c>
      <x:c r="I826" s="20" t="n">
        <x:f>'Controls'!$B$46</x:f>
        <x:v>0.15</x:v>
      </x:c>
      <x:c r="J826" s="20" t="n">
        <x:v>-1</x:v>
      </x:c>
      <x:c r="K826" s="20" t="n">
        <x:f>F826*G826*H826*I826*J826</x:f>
        <x:v>-7.938</x:v>
      </x:c>
      <x:c r="L826" s="7" t="str">
        <x:v>28 doors per floor, OP-02</x:v>
      </x:c>
      <x:c r="M826" s="2"/>
      <x:c r="N826" s="2"/>
      <x:c r="O826" s="2"/>
      <x:c r="P826" s="2"/>
      <x:c r="Q826" s="2"/>
    </x:row>
    <x:row r="827" ht="22" customHeight="1">
      <x:c r="A827" s="2" t="str">
        <x:v>M0820</x:v>
      </x:c>
      <x:c r="B827" s="2" t="str">
        <x:v>AR02</x:v>
      </x:c>
      <x:c r="C827" s="2" t="str">
        <x:v>T3</x:v>
      </x:c>
      <x:c r="D827" s="2" t="str">
        <x:v>L08</x:v>
      </x:c>
      <x:c r="E827" s="2" t="str">
        <x:v>Internal plaster gross</x:v>
      </x:c>
      <x:c r="F827" s="21" t="n">
        <x:v>2</x:v>
      </x:c>
      <x:c r="G827" s="21" t="n">
        <x:f>'Controls'!$B$45</x:f>
        <x:v>220</x:v>
      </x:c>
      <x:c r="H827" s="21" t="n">
        <x:f>'Controls'!$B$12-'Controls'!$B$13</x:f>
        <x:v>2.98</x:v>
      </x:c>
      <x:c r="I827" s="21" t="n">
        <x:v>1</x:v>
      </x:c>
      <x:c r="J827" s="21" t="n">
        <x:v>1</x:v>
      </x:c>
      <x:c r="K827" s="21" t="n">
        <x:f>F827*G827*H827*I827*J827</x:f>
        <x:v>1311.2</x:v>
      </x:c>
      <x:c r="L827" s="2" t="str">
        <x:v>Both faces of partition walls</x:v>
      </x:c>
      <x:c r="M827" s="2"/>
      <x:c r="N827" s="2"/>
      <x:c r="O827" s="2"/>
      <x:c r="P827" s="2"/>
      <x:c r="Q827" s="2"/>
    </x:row>
    <x:row r="828" ht="22" customHeight="1">
      <x:c r="A828" s="7" t="str">
        <x:v>M0821</x:v>
      </x:c>
      <x:c r="B828" s="7" t="str">
        <x:v>AR02</x:v>
      </x:c>
      <x:c r="C828" s="7" t="str">
        <x:v>T3</x:v>
      </x:c>
      <x:c r="D828" s="7" t="str">
        <x:v>L08</x:v>
      </x:c>
      <x:c r="E828" s="7" t="str">
        <x:v>Door area deduction both faces</x:v>
      </x:c>
      <x:c r="F828" s="20" t="n">
        <x:f>2*'Controls'!$B$48</x:f>
        <x:v>56</x:v>
      </x:c>
      <x:c r="G828" s="20" t="n">
        <x:f>'Controls'!$B$49</x:f>
        <x:v>0.9</x:v>
      </x:c>
      <x:c r="H828" s="20" t="n">
        <x:f>'Controls'!$B$50</x:f>
        <x:v>2.1</x:v>
      </x:c>
      <x:c r="I828" s="20" t="n">
        <x:v>1</x:v>
      </x:c>
      <x:c r="J828" s="20" t="n">
        <x:v>-1</x:v>
      </x:c>
      <x:c r="K828" s="20" t="n">
        <x:f>F828*G828*H828*I828*J828</x:f>
        <x:v>-105.84</x:v>
      </x:c>
      <x:c r="L828" s="7" t="str">
        <x:v>No plaster over openings</x:v>
      </x:c>
      <x:c r="M828" s="2"/>
      <x:c r="N828" s="2"/>
      <x:c r="O828" s="2"/>
      <x:c r="P828" s="2"/>
      <x:c r="Q828" s="2"/>
    </x:row>
    <x:row r="829" ht="22" customHeight="1">
      <x:c r="A829" s="2" t="str">
        <x:v>M0822</x:v>
      </x:c>
      <x:c r="B829" s="2" t="str">
        <x:v>AR03</x:v>
      </x:c>
      <x:c r="C829" s="2" t="str">
        <x:v>T3</x:v>
      </x:c>
      <x:c r="D829" s="2" t="str">
        <x:v>L08</x:v>
      </x:c>
      <x:c r="E829" s="2" t="str">
        <x:v>Floor screed net</x:v>
      </x:c>
      <x:c r="F829" s="21" t="n">
        <x:v>1</x:v>
      </x:c>
      <x:c r="G829" s="21" t="n">
        <x:f>'Controls'!$B$10*'Controls'!$B$11-'Controls'!$B$20*'Controls'!$B$21</x:f>
        <x:v>696</x:v>
      </x:c>
      <x:c r="H829" s="21" t="n">
        <x:v>1</x:v>
      </x:c>
      <x:c r="I829" s="21" t="n">
        <x:v>1</x:v>
      </x:c>
      <x:c r="J829" s="21" t="n">
        <x:v>1</x:v>
      </x:c>
      <x:c r="K829" s="21" t="n">
        <x:f>F829*G829*H829*I829*J829</x:f>
        <x:v>696</x:v>
      </x:c>
      <x:c r="L829" s="2" t="str">
        <x:v>Net structural floor area</x:v>
      </x:c>
      <x:c r="M829" s="2"/>
      <x:c r="N829" s="2"/>
      <x:c r="O829" s="2"/>
      <x:c r="P829" s="2"/>
      <x:c r="Q829" s="2"/>
    </x:row>
    <x:row r="830" ht="22" customHeight="1">
      <x:c r="A830" s="7" t="str">
        <x:v>M0823</x:v>
      </x:c>
      <x:c r="B830" s="7" t="str">
        <x:v>AR04</x:v>
      </x:c>
      <x:c r="C830" s="7" t="str">
        <x:v>T3</x:v>
      </x:c>
      <x:c r="D830" s="7" t="str">
        <x:v>L08</x:v>
      </x:c>
      <x:c r="E830" s="7" t="str">
        <x:v>Floor finish net</x:v>
      </x:c>
      <x:c r="F830" s="20" t="n">
        <x:v>1</x:v>
      </x:c>
      <x:c r="G830" s="20" t="n">
        <x:f>'Controls'!$B$10*'Controls'!$B$11-'Controls'!$B$20*'Controls'!$B$21</x:f>
        <x:v>696</x:v>
      </x:c>
      <x:c r="H830" s="20" t="n">
        <x:v>1</x:v>
      </x:c>
      <x:c r="I830" s="20" t="n">
        <x:v>1</x:v>
      </x:c>
      <x:c r="J830" s="20" t="n">
        <x:v>1</x:v>
      </x:c>
      <x:c r="K830" s="20" t="n">
        <x:f>F830*G830*H830*I830*J830</x:f>
        <x:v>696</x:v>
      </x:c>
      <x:c r="L830" s="7" t="str">
        <x:v>Waste excluded from BOQ</x:v>
      </x:c>
      <x:c r="M830" s="2"/>
      <x:c r="N830" s="2"/>
      <x:c r="O830" s="2"/>
      <x:c r="P830" s="2"/>
      <x:c r="Q830" s="2"/>
    </x:row>
    <x:row r="831" ht="22" customHeight="1">
      <x:c r="A831" s="2" t="str">
        <x:v>M0824</x:v>
      </x:c>
      <x:c r="B831" s="2" t="str">
        <x:v>AR05</x:v>
      </x:c>
      <x:c r="C831" s="2" t="str">
        <x:v>T3</x:v>
      </x:c>
      <x:c r="D831" s="2" t="str">
        <x:v>L08</x:v>
      </x:c>
      <x:c r="E831" s="2" t="str">
        <x:v>Internal wall paint net</x:v>
      </x:c>
      <x:c r="F831" s="21" t="n">
        <x:v>2</x:v>
      </x:c>
      <x:c r="G831" s="21" t="n">
        <x:f>'Controls'!$B$45*('Controls'!$B$12-'Controls'!$B$13)-'Controls'!$B$48*'Controls'!$B$49*'Controls'!$B$50</x:f>
        <x:v>602.6800000000001</x:v>
      </x:c>
      <x:c r="H831" s="21" t="n">
        <x:v>1</x:v>
      </x:c>
      <x:c r="I831" s="21" t="n">
        <x:v>1</x:v>
      </x:c>
      <x:c r="J831" s="21" t="n">
        <x:v>1</x:v>
      </x:c>
      <x:c r="K831" s="21" t="n">
        <x:f>F831*G831*H831*I831*J831</x:f>
        <x:v>1205.3600000000001</x:v>
      </x:c>
      <x:c r="L831" s="2" t="str">
        <x:v>Finished area; two coats priced in rate</x:v>
      </x:c>
      <x:c r="M831" s="2"/>
      <x:c r="N831" s="2"/>
      <x:c r="O831" s="2"/>
      <x:c r="P831" s="2"/>
      <x:c r="Q831" s="2"/>
    </x:row>
    <x:row r="832" ht="22" customHeight="1">
      <x:c r="A832" s="7" t="str">
        <x:v>M0825</x:v>
      </x:c>
      <x:c r="B832" s="7" t="str">
        <x:v>AR06</x:v>
      </x:c>
      <x:c r="C832" s="7" t="str">
        <x:v>T3</x:v>
      </x:c>
      <x:c r="D832" s="7" t="str">
        <x:v>L08</x:v>
      </x:c>
      <x:c r="E832" s="7" t="str">
        <x:v>Door sets</x:v>
      </x:c>
      <x:c r="F832" s="20" t="n">
        <x:f>'Controls'!$B$48</x:f>
        <x:v>28</x:v>
      </x:c>
      <x:c r="G832" s="20" t="n">
        <x:v>1</x:v>
      </x:c>
      <x:c r="H832" s="20" t="n">
        <x:v>1</x:v>
      </x:c>
      <x:c r="I832" s="20" t="n">
        <x:v>1</x:v>
      </x:c>
      <x:c r="J832" s="20" t="n">
        <x:v>1</x:v>
      </x:c>
      <x:c r="K832" s="20" t="n">
        <x:f>F832*G832*H832*I832*J832</x:f>
        <x:v>28</x:v>
      </x:c>
      <x:c r="L832" s="7" t="str">
        <x:v>Door count, not double face</x:v>
      </x:c>
      <x:c r="M832" s="2"/>
      <x:c r="N832" s="2"/>
      <x:c r="O832" s="2"/>
      <x:c r="P832" s="2"/>
      <x:c r="Q832" s="2"/>
    </x:row>
    <x:row r="833" ht="22" customHeight="1">
      <x:c r="A833" s="2" t="str">
        <x:v>M0826</x:v>
      </x:c>
      <x:c r="B833" s="2" t="str">
        <x:v>RC03</x:v>
      </x:c>
      <x:c r="C833" s="2" t="str">
        <x:v>T3</x:v>
      </x:c>
      <x:c r="D833" s="2" t="str">
        <x:v>L09</x:v>
      </x:c>
      <x:c r="E833" s="2" t="str">
        <x:v>Floor slab gross</x:v>
      </x:c>
      <x:c r="F833" s="21" t="n">
        <x:v>1</x:v>
      </x:c>
      <x:c r="G833" s="21" t="n">
        <x:f>'Controls'!$B$10</x:f>
        <x:v>30</x:v>
      </x:c>
      <x:c r="H833" s="21" t="n">
        <x:f>'Controls'!$B$11</x:f>
        <x:v>24</x:v>
      </x:c>
      <x:c r="I833" s="21" t="n">
        <x:f>'Controls'!$B$13</x:f>
        <x:v>0.22</x:v>
      </x:c>
      <x:c r="J833" s="21" t="n">
        <x:v>1</x:v>
      </x:c>
      <x:c r="K833" s="21" t="n">
        <x:f>F833*G833*H833*I833*J833</x:f>
        <x:v>158.4</x:v>
      </x:c>
      <x:c r="L833" s="2" t="str">
        <x:v>Slab includes beam top flange; downstand separate</x:v>
      </x:c>
      <x:c r="M833" s="2"/>
      <x:c r="N833" s="2"/>
      <x:c r="O833" s="2"/>
      <x:c r="P833" s="2"/>
      <x:c r="Q833" s="2"/>
    </x:row>
    <x:row r="834" ht="22" customHeight="1">
      <x:c r="A834" s="7" t="str">
        <x:v>M0827</x:v>
      </x:c>
      <x:c r="B834" s="7" t="str">
        <x:v>RC03</x:v>
      </x:c>
      <x:c r="C834" s="7" t="str">
        <x:v>T3</x:v>
      </x:c>
      <x:c r="D834" s="7" t="str">
        <x:v>L09</x:v>
      </x:c>
      <x:c r="E834" s="7" t="str">
        <x:v>Stair opening deduction</x:v>
      </x:c>
      <x:c r="F834" s="20" t="n">
        <x:v>1</x:v>
      </x:c>
      <x:c r="G834" s="20" t="n">
        <x:f>'Controls'!$B$20</x:f>
        <x:v>4</x:v>
      </x:c>
      <x:c r="H834" s="20" t="n">
        <x:f>'Controls'!$B$21</x:f>
        <x:v>6</x:v>
      </x:c>
      <x:c r="I834" s="20" t="n">
        <x:f>'Controls'!$B$13</x:f>
        <x:v>0.22</x:v>
      </x:c>
      <x:c r="J834" s="20" t="n">
        <x:v>-1</x:v>
      </x:c>
      <x:c r="K834" s="20" t="n">
        <x:f>F834*G834*H834*I834*J834</x:f>
        <x:v>-5.28</x:v>
      </x:c>
      <x:c r="L834" s="7" t="str">
        <x:v>Opening OP-01</x:v>
      </x:c>
      <x:c r="M834" s="2"/>
      <x:c r="N834" s="2"/>
      <x:c r="O834" s="2"/>
      <x:c r="P834" s="2"/>
      <x:c r="Q834" s="2"/>
    </x:row>
    <x:row r="835" ht="22" customHeight="1">
      <x:c r="A835" s="2" t="str">
        <x:v>M0828</x:v>
      </x:c>
      <x:c r="B835" s="2" t="str">
        <x:v>RC04</x:v>
      </x:c>
      <x:c r="C835" s="2" t="str">
        <x:v>T3</x:v>
      </x:c>
      <x:c r="D835" s="2" t="str">
        <x:v>L09</x:v>
      </x:c>
      <x:c r="E835" s="2" t="str">
        <x:v>Beam downstands X</x:v>
      </x:c>
      <x:c r="F835" s="21" t="n">
        <x:v>1</x:v>
      </x:c>
      <x:c r="G835" s="21" t="n">
        <x:f>5*5*('Controls'!$B$10/5-'Controls'!$B$14)</x:f>
        <x:v>137.5</x:v>
      </x:c>
      <x:c r="H835" s="21" t="n">
        <x:f>'Controls'!$B$16</x:f>
        <x:v>0.3</x:v>
      </x:c>
      <x:c r="I835" s="21" t="n">
        <x:f>'Controls'!$B$17-'Controls'!$B$13</x:f>
        <x:v>0.38</x:v>
      </x:c>
      <x:c r="J835" s="21" t="n">
        <x:v>1</x:v>
      </x:c>
      <x:c r="K835" s="21" t="n">
        <x:f>F835*G835*H835*I835*J835</x:f>
        <x:v>15.675</x:v>
      </x:c>
      <x:c r="L835" s="2" t="str">
        <x:v>Clear spans between column faces; no joint overlap</x:v>
      </x:c>
      <x:c r="M835" s="2"/>
      <x:c r="N835" s="2"/>
      <x:c r="O835" s="2"/>
      <x:c r="P835" s="2"/>
      <x:c r="Q835" s="2"/>
    </x:row>
    <x:row r="836" ht="22" customHeight="1">
      <x:c r="A836" s="7" t="str">
        <x:v>M0829</x:v>
      </x:c>
      <x:c r="B836" s="7" t="str">
        <x:v>FW02</x:v>
      </x:c>
      <x:c r="C836" s="7" t="str">
        <x:v>T3</x:v>
      </x:c>
      <x:c r="D836" s="7" t="str">
        <x:v>L09</x:v>
      </x:c>
      <x:c r="E836" s="7" t="str">
        <x:v>Beam forms X</x:v>
      </x:c>
      <x:c r="F836" s="20" t="n">
        <x:v>1</x:v>
      </x:c>
      <x:c r="G836" s="20" t="n">
        <x:f>5*5*('Controls'!$B$10/5-'Controls'!$B$14)</x:f>
        <x:v>137.5</x:v>
      </x:c>
      <x:c r="H836" s="20" t="n">
        <x:f>'Controls'!$B$16+2*('Controls'!$B$17-'Controls'!$B$13)</x:f>
        <x:v>1.06</x:v>
      </x:c>
      <x:c r="I836" s="20" t="n">
        <x:v>1</x:v>
      </x:c>
      <x:c r="J836" s="20" t="n">
        <x:v>1</x:v>
      </x:c>
      <x:c r="K836" s="20" t="n">
        <x:f>F836*G836*H836*I836*J836</x:f>
        <x:v>145.75</x:v>
      </x:c>
      <x:c r="L836" s="7" t="str">
        <x:v>Soffit plus two downstand sides</x:v>
      </x:c>
      <x:c r="M836" s="2"/>
      <x:c r="N836" s="2"/>
      <x:c r="O836" s="2"/>
      <x:c r="P836" s="2"/>
      <x:c r="Q836" s="2"/>
    </x:row>
    <x:row r="837" ht="22" customHeight="1">
      <x:c r="A837" s="2" t="str">
        <x:v>M0830</x:v>
      </x:c>
      <x:c r="B837" s="2" t="str">
        <x:v>RC04</x:v>
      </x:c>
      <x:c r="C837" s="2" t="str">
        <x:v>T3</x:v>
      </x:c>
      <x:c r="D837" s="2" t="str">
        <x:v>L09</x:v>
      </x:c>
      <x:c r="E837" s="2" t="str">
        <x:v>Beam downstands Y</x:v>
      </x:c>
      <x:c r="F837" s="21" t="n">
        <x:v>1</x:v>
      </x:c>
      <x:c r="G837" s="21" t="n">
        <x:f>6*4*('Controls'!$B$11/4-'Controls'!$B$15)</x:f>
        <x:v>132</x:v>
      </x:c>
      <x:c r="H837" s="21" t="n">
        <x:f>'Controls'!$B$16</x:f>
        <x:v>0.3</x:v>
      </x:c>
      <x:c r="I837" s="21" t="n">
        <x:f>'Controls'!$B$17-'Controls'!$B$13</x:f>
        <x:v>0.38</x:v>
      </x:c>
      <x:c r="J837" s="21" t="n">
        <x:v>1</x:v>
      </x:c>
      <x:c r="K837" s="21" t="n">
        <x:f>F837*G837*H837*I837*J837</x:f>
        <x:v>15.048</x:v>
      </x:c>
      <x:c r="L837" s="2" t="str">
        <x:v>Clear spans between column faces; no joint overlap</x:v>
      </x:c>
      <x:c r="M837" s="2"/>
      <x:c r="N837" s="2"/>
      <x:c r="O837" s="2"/>
      <x:c r="P837" s="2"/>
      <x:c r="Q837" s="2"/>
    </x:row>
    <x:row r="838" ht="22" customHeight="1">
      <x:c r="A838" s="7" t="str">
        <x:v>M0831</x:v>
      </x:c>
      <x:c r="B838" s="7" t="str">
        <x:v>FW02</x:v>
      </x:c>
      <x:c r="C838" s="7" t="str">
        <x:v>T3</x:v>
      </x:c>
      <x:c r="D838" s="7" t="str">
        <x:v>L09</x:v>
      </x:c>
      <x:c r="E838" s="7" t="str">
        <x:v>Beam forms Y</x:v>
      </x:c>
      <x:c r="F838" s="20" t="n">
        <x:v>1</x:v>
      </x:c>
      <x:c r="G838" s="20" t="n">
        <x:f>6*4*('Controls'!$B$11/4-'Controls'!$B$15)</x:f>
        <x:v>132</x:v>
      </x:c>
      <x:c r="H838" s="20" t="n">
        <x:f>'Controls'!$B$16+2*('Controls'!$B$17-'Controls'!$B$13)</x:f>
        <x:v>1.06</x:v>
      </x:c>
      <x:c r="I838" s="20" t="n">
        <x:v>1</x:v>
      </x:c>
      <x:c r="J838" s="20" t="n">
        <x:v>1</x:v>
      </x:c>
      <x:c r="K838" s="20" t="n">
        <x:f>F838*G838*H838*I838*J838</x:f>
        <x:v>139.92000000000002</x:v>
      </x:c>
      <x:c r="L838" s="7" t="str">
        <x:v>Soffit plus two downstand sides</x:v>
      </x:c>
      <x:c r="M838" s="2"/>
      <x:c r="N838" s="2"/>
      <x:c r="O838" s="2"/>
      <x:c r="P838" s="2"/>
      <x:c r="Q838" s="2"/>
    </x:row>
    <x:row r="839" ht="22" customHeight="1">
      <x:c r="A839" s="2" t="str">
        <x:v>M0832</x:v>
      </x:c>
      <x:c r="B839" s="2" t="str">
        <x:v>RC05</x:v>
      </x:c>
      <x:c r="C839" s="2" t="str">
        <x:v>T3</x:v>
      </x:c>
      <x:c r="D839" s="2" t="str">
        <x:v>L09</x:v>
      </x:c>
      <x:c r="E839" s="2" t="str">
        <x:v>Thirty columns, clear storey</x:v>
      </x:c>
      <x:c r="F839" s="21" t="n">
        <x:v>30</x:v>
      </x:c>
      <x:c r="G839" s="21" t="n">
        <x:f>'Controls'!$B$14</x:f>
        <x:v>0.5</x:v>
      </x:c>
      <x:c r="H839" s="21" t="n">
        <x:f>'Controls'!$B$15</x:f>
        <x:v>0.5</x:v>
      </x:c>
      <x:c r="I839" s="21" t="n">
        <x:f>'Controls'!$B$12-'Controls'!$B$13</x:f>
        <x:v>2.98</x:v>
      </x:c>
      <x:c r="J839" s="21" t="n">
        <x:v>1</x:v>
      </x:c>
      <x:c r="K839" s="21" t="n">
        <x:f>F839*G839*H839*I839*J839</x:f>
        <x:v>22.35</x:v>
      </x:c>
      <x:c r="L839" s="2" t="str">
        <x:v>Slab volume excluded from columns</x:v>
      </x:c>
      <x:c r="M839" s="2"/>
      <x:c r="N839" s="2"/>
      <x:c r="O839" s="2"/>
      <x:c r="P839" s="2"/>
      <x:c r="Q839" s="2"/>
    </x:row>
    <x:row r="840" ht="22" customHeight="1">
      <x:c r="A840" s="7" t="str">
        <x:v>M0833</x:v>
      </x:c>
      <x:c r="B840" s="7" t="str">
        <x:v>RC06</x:v>
      </x:c>
      <x:c r="C840" s="7" t="str">
        <x:v>T3</x:v>
      </x:c>
      <x:c r="D840" s="7" t="str">
        <x:v>L09</x:v>
      </x:c>
      <x:c r="E840" s="7" t="str">
        <x:v>Core walls clear storey</x:v>
      </x:c>
      <x:c r="F840" s="20" t="n">
        <x:v>1</x:v>
      </x:c>
      <x:c r="G840" s="20" t="n">
        <x:f>'Controls'!$B$19</x:f>
        <x:v>24</x:v>
      </x:c>
      <x:c r="H840" s="20" t="n">
        <x:f>'Controls'!$B$18</x:f>
        <x:v>0.25</x:v>
      </x:c>
      <x:c r="I840" s="20" t="n">
        <x:f>'Controls'!$B$12-'Controls'!$B$13</x:f>
        <x:v>2.98</x:v>
      </x:c>
      <x:c r="J840" s="20" t="n">
        <x:v>1</x:v>
      </x:c>
      <x:c r="K840" s="20" t="n">
        <x:f>F840*G840*H840*I840*J840</x:f>
        <x:v>17.88</x:v>
      </x:c>
      <x:c r="L840" s="7" t="str">
        <x:v>Net clear wall length excludes corners</x:v>
      </x:c>
      <x:c r="M840" s="2"/>
      <x:c r="N840" s="2"/>
      <x:c r="O840" s="2"/>
      <x:c r="P840" s="2"/>
      <x:c r="Q840" s="2"/>
    </x:row>
    <x:row r="841" ht="22" customHeight="1">
      <x:c r="A841" s="2" t="str">
        <x:v>M0834</x:v>
      </x:c>
      <x:c r="B841" s="2" t="str">
        <x:v>RC07</x:v>
      </x:c>
      <x:c r="C841" s="2" t="str">
        <x:v>T3</x:v>
      </x:c>
      <x:c r="D841" s="2" t="str">
        <x:v>L09</x:v>
      </x:c>
      <x:c r="E841" s="2" t="str">
        <x:v>Stair flights waist</x:v>
      </x:c>
      <x:c r="F841" s="21" t="n">
        <x:v>2</x:v>
      </x:c>
      <x:c r="G841" s="21" t="n">
        <x:v>4.1</x:v>
      </x:c>
      <x:c r="H841" s="21" t="n">
        <x:v>1.2</x:v>
      </x:c>
      <x:c r="I841" s="21" t="n">
        <x:v>0.18</x:v>
      </x:c>
      <x:c r="J841" s="21" t="n">
        <x:v>1</x:v>
      </x:c>
      <x:c r="K841" s="21" t="n">
        <x:f>F841*G841*H841*I841*J841</x:f>
        <x:v>1.7711999999999997</x:v>
      </x:c>
      <x:c r="L841" s="2" t="str">
        <x:v>Two flights; geometry separate from floor slab</x:v>
      </x:c>
      <x:c r="M841" s="2"/>
      <x:c r="N841" s="2"/>
      <x:c r="O841" s="2"/>
      <x:c r="P841" s="2"/>
      <x:c r="Q841" s="2"/>
    </x:row>
    <x:row r="842" ht="22" customHeight="1">
      <x:c r="A842" s="7" t="str">
        <x:v>M0835</x:v>
      </x:c>
      <x:c r="B842" s="7" t="str">
        <x:v>RC07</x:v>
      </x:c>
      <x:c r="C842" s="7" t="str">
        <x:v>T3</x:v>
      </x:c>
      <x:c r="D842" s="7" t="str">
        <x:v>L09</x:v>
      </x:c>
      <x:c r="E842" s="7" t="str">
        <x:v>Stair landings</x:v>
      </x:c>
      <x:c r="F842" s="20" t="n">
        <x:v>2</x:v>
      </x:c>
      <x:c r="G842" s="20" t="n">
        <x:v>2</x:v>
      </x:c>
      <x:c r="H842" s="20" t="n">
        <x:v>1.2</x:v>
      </x:c>
      <x:c r="I842" s="20" t="n">
        <x:v>0.18</x:v>
      </x:c>
      <x:c r="J842" s="20" t="n">
        <x:v>1</x:v>
      </x:c>
      <x:c r="K842" s="20" t="n">
        <x:f>F842*G842*H842*I842*J842</x:f>
        <x:v>0.864</x:v>
      </x:c>
      <x:c r="L842" s="7" t="str">
        <x:v>Within stair opening</x:v>
      </x:c>
      <x:c r="M842" s="2"/>
      <x:c r="N842" s="2"/>
      <x:c r="O842" s="2"/>
      <x:c r="P842" s="2"/>
      <x:c r="Q842" s="2"/>
    </x:row>
    <x:row r="843" ht="22" customHeight="1">
      <x:c r="A843" s="2" t="str">
        <x:v>M0836</x:v>
      </x:c>
      <x:c r="B843" s="2" t="str">
        <x:v>FW01</x:v>
      </x:c>
      <x:c r="C843" s="2" t="str">
        <x:v>T3</x:v>
      </x:c>
      <x:c r="D843" s="2" t="str">
        <x:v>L09</x:v>
      </x:c>
      <x:c r="E843" s="2" t="str">
        <x:v>Slab soffit gross</x:v>
      </x:c>
      <x:c r="F843" s="21" t="n">
        <x:v>1</x:v>
      </x:c>
      <x:c r="G843" s="21" t="n">
        <x:f>'Controls'!$B$10</x:f>
        <x:v>30</x:v>
      </x:c>
      <x:c r="H843" s="21" t="n">
        <x:f>'Controls'!$B$11</x:f>
        <x:v>24</x:v>
      </x:c>
      <x:c r="I843" s="21" t="n">
        <x:v>1</x:v>
      </x:c>
      <x:c r="J843" s="21" t="n">
        <x:v>1</x:v>
      </x:c>
      <x:c r="K843" s="21" t="n">
        <x:f>F843*G843*H843*I843*J843</x:f>
        <x:v>720</x:v>
      </x:c>
      <x:c r="L843" s="2" t="str">
        <x:v>Beam soffit deducted below</x:v>
      </x:c>
      <x:c r="M843" s="2"/>
      <x:c r="N843" s="2"/>
      <x:c r="O843" s="2"/>
      <x:c r="P843" s="2"/>
      <x:c r="Q843" s="2"/>
    </x:row>
    <x:row r="844" ht="22" customHeight="1">
      <x:c r="A844" s="7" t="str">
        <x:v>M0837</x:v>
      </x:c>
      <x:c r="B844" s="7" t="str">
        <x:v>FW01</x:v>
      </x:c>
      <x:c r="C844" s="7" t="str">
        <x:v>T3</x:v>
      </x:c>
      <x:c r="D844" s="7" t="str">
        <x:v>L09</x:v>
      </x:c>
      <x:c r="E844" s="7" t="str">
        <x:v>Stair opening deduction</x:v>
      </x:c>
      <x:c r="F844" s="20" t="n">
        <x:v>1</x:v>
      </x:c>
      <x:c r="G844" s="20" t="n">
        <x:f>'Controls'!$B$20</x:f>
        <x:v>4</x:v>
      </x:c>
      <x:c r="H844" s="20" t="n">
        <x:f>'Controls'!$B$21</x:f>
        <x:v>6</x:v>
      </x:c>
      <x:c r="I844" s="20" t="n">
        <x:v>1</x:v>
      </x:c>
      <x:c r="J844" s="20" t="n">
        <x:v>-1</x:v>
      </x:c>
      <x:c r="K844" s="20" t="n">
        <x:f>F844*G844*H844*I844*J844</x:f>
        <x:v>-24</x:v>
      </x:c>
      <x:c r="L844" s="7" t="str">
        <x:v>OP-01</x:v>
      </x:c>
      <x:c r="M844" s="2"/>
      <x:c r="N844" s="2"/>
      <x:c r="O844" s="2"/>
      <x:c r="P844" s="2"/>
      <x:c r="Q844" s="2"/>
    </x:row>
    <x:row r="845" ht="22" customHeight="1">
      <x:c r="A845" s="2" t="str">
        <x:v>M0838</x:v>
      </x:c>
      <x:c r="B845" s="2" t="str">
        <x:v>FW01</x:v>
      </x:c>
      <x:c r="C845" s="2" t="str">
        <x:v>T3</x:v>
      </x:c>
      <x:c r="D845" s="2" t="str">
        <x:v>L09</x:v>
      </x:c>
      <x:c r="E845" s="2" t="str">
        <x:v>Beam soffit deduction</x:v>
      </x:c>
      <x:c r="F845" s="21" t="n">
        <x:v>1</x:v>
      </x:c>
      <x:c r="G845" s="21" t="n">
        <x:f>5*5*('Controls'!$B$10/5-'Controls'!$B$14)+6*4*('Controls'!$B$11/4-'Controls'!$B$15)</x:f>
        <x:v>269.5</x:v>
      </x:c>
      <x:c r="H845" s="21" t="n">
        <x:f>'Controls'!$B$16</x:f>
        <x:v>0.3</x:v>
      </x:c>
      <x:c r="I845" s="21" t="n">
        <x:v>1</x:v>
      </x:c>
      <x:c r="J845" s="21" t="n">
        <x:v>-1</x:v>
      </x:c>
      <x:c r="K845" s="21" t="n">
        <x:f>F845*G845*H845*I845*J845</x:f>
        <x:v>-80.85</x:v>
      </x:c>
      <x:c r="L845" s="2" t="str">
        <x:v>Beam forms measured in FW02</x:v>
      </x:c>
      <x:c r="M845" s="2"/>
      <x:c r="N845" s="2"/>
      <x:c r="O845" s="2"/>
      <x:c r="P845" s="2"/>
      <x:c r="Q845" s="2"/>
    </x:row>
    <x:row r="846" ht="22" customHeight="1">
      <x:c r="A846" s="7" t="str">
        <x:v>M0839</x:v>
      </x:c>
      <x:c r="B846" s="7" t="str">
        <x:v>FW03</x:v>
      </x:c>
      <x:c r="C846" s="7" t="str">
        <x:v>T3</x:v>
      </x:c>
      <x:c r="D846" s="7" t="str">
        <x:v>L09</x:v>
      </x:c>
      <x:c r="E846" s="7" t="str">
        <x:v>Column four faces</x:v>
      </x:c>
      <x:c r="F846" s="20" t="n">
        <x:v>30</x:v>
      </x:c>
      <x:c r="G846" s="20" t="n">
        <x:f>2*('Controls'!$B$14+'Controls'!$B$15)</x:f>
        <x:v>2</x:v>
      </x:c>
      <x:c r="H846" s="20" t="n">
        <x:f>'Controls'!$B$12-'Controls'!$B$13</x:f>
        <x:v>2.98</x:v>
      </x:c>
      <x:c r="I846" s="20" t="n">
        <x:v>1</x:v>
      </x:c>
      <x:c r="J846" s="20" t="n">
        <x:v>1</x:v>
      </x:c>
      <x:c r="K846" s="20" t="n">
        <x:f>F846*G846*H846*I846*J846</x:f>
        <x:v>178.8</x:v>
      </x:c>
      <x:c r="L846" s="7" t="str">
        <x:v>Clear floor-to-soffit</x:v>
      </x:c>
      <x:c r="M846" s="2"/>
      <x:c r="N846" s="2"/>
      <x:c r="O846" s="2"/>
      <x:c r="P846" s="2"/>
      <x:c r="Q846" s="2"/>
    </x:row>
    <x:row r="847" ht="22" customHeight="1">
      <x:c r="A847" s="2" t="str">
        <x:v>M0840</x:v>
      </x:c>
      <x:c r="B847" s="2" t="str">
        <x:v>FW04</x:v>
      </x:c>
      <x:c r="C847" s="2" t="str">
        <x:v>T3</x:v>
      </x:c>
      <x:c r="D847" s="2" t="str">
        <x:v>L09</x:v>
      </x:c>
      <x:c r="E847" s="2" t="str">
        <x:v>Core wall two faces</x:v>
      </x:c>
      <x:c r="F847" s="21" t="n">
        <x:v>2</x:v>
      </x:c>
      <x:c r="G847" s="21" t="n">
        <x:f>'Controls'!$B$19</x:f>
        <x:v>24</x:v>
      </x:c>
      <x:c r="H847" s="21" t="n">
        <x:f>'Controls'!$B$12-'Controls'!$B$13</x:f>
        <x:v>2.98</x:v>
      </x:c>
      <x:c r="I847" s="21" t="n">
        <x:v>1</x:v>
      </x:c>
      <x:c r="J847" s="21" t="n">
        <x:v>1</x:v>
      </x:c>
      <x:c r="K847" s="21" t="n">
        <x:f>F847*G847*H847*I847*J847</x:f>
        <x:v>143.04</x:v>
      </x:c>
      <x:c r="L847" s="2" t="str">
        <x:v>Net perimeter, no repeated corners</x:v>
      </x:c>
      <x:c r="M847" s="2"/>
      <x:c r="N847" s="2"/>
      <x:c r="O847" s="2"/>
      <x:c r="P847" s="2"/>
      <x:c r="Q847" s="2"/>
    </x:row>
    <x:row r="848" ht="22" customHeight="1">
      <x:c r="A848" s="7" t="str">
        <x:v>M0841</x:v>
      </x:c>
      <x:c r="B848" s="7" t="str">
        <x:v>AR01</x:v>
      </x:c>
      <x:c r="C848" s="7" t="str">
        <x:v>T3</x:v>
      </x:c>
      <x:c r="D848" s="7" t="str">
        <x:v>L09</x:v>
      </x:c>
      <x:c r="E848" s="7" t="str">
        <x:v>Partition walls gross</x:v>
      </x:c>
      <x:c r="F848" s="20" t="n">
        <x:v>1</x:v>
      </x:c>
      <x:c r="G848" s="20" t="n">
        <x:f>'Controls'!$B$45</x:f>
        <x:v>220</x:v>
      </x:c>
      <x:c r="H848" s="20" t="n">
        <x:f>'Controls'!$B$12-'Controls'!$B$13</x:f>
        <x:v>2.98</x:v>
      </x:c>
      <x:c r="I848" s="20" t="n">
        <x:f>'Controls'!$B$46</x:f>
        <x:v>0.15</x:v>
      </x:c>
      <x:c r="J848" s="20" t="n">
        <x:v>1</x:v>
      </x:c>
      <x:c r="K848" s="20" t="n">
        <x:f>F848*G848*H848*I848*J848</x:f>
        <x:v>98.34</x:v>
      </x:c>
      <x:c r="L848" s="7" t="str">
        <x:v>Net openings deducted below</x:v>
      </x:c>
      <x:c r="M848" s="2"/>
      <x:c r="N848" s="2"/>
      <x:c r="O848" s="2"/>
      <x:c r="P848" s="2"/>
      <x:c r="Q848" s="2"/>
    </x:row>
    <x:row r="849" ht="22" customHeight="1">
      <x:c r="A849" s="2" t="str">
        <x:v>M0842</x:v>
      </x:c>
      <x:c r="B849" s="2" t="str">
        <x:v>AR01</x:v>
      </x:c>
      <x:c r="C849" s="2" t="str">
        <x:v>T3</x:v>
      </x:c>
      <x:c r="D849" s="2" t="str">
        <x:v>L09</x:v>
      </x:c>
      <x:c r="E849" s="2" t="str">
        <x:v>Internal doors deduction</x:v>
      </x:c>
      <x:c r="F849" s="21" t="n">
        <x:f>'Controls'!$B$48</x:f>
        <x:v>28</x:v>
      </x:c>
      <x:c r="G849" s="21" t="n">
        <x:f>'Controls'!$B$49</x:f>
        <x:v>0.9</x:v>
      </x:c>
      <x:c r="H849" s="21" t="n">
        <x:f>'Controls'!$B$50</x:f>
        <x:v>2.1</x:v>
      </x:c>
      <x:c r="I849" s="21" t="n">
        <x:f>'Controls'!$B$46</x:f>
        <x:v>0.15</x:v>
      </x:c>
      <x:c r="J849" s="21" t="n">
        <x:v>-1</x:v>
      </x:c>
      <x:c r="K849" s="21" t="n">
        <x:f>F849*G849*H849*I849*J849</x:f>
        <x:v>-7.938</x:v>
      </x:c>
      <x:c r="L849" s="2" t="str">
        <x:v>28 doors per floor, OP-02</x:v>
      </x:c>
      <x:c r="M849" s="2"/>
      <x:c r="N849" s="2"/>
      <x:c r="O849" s="2"/>
      <x:c r="P849" s="2"/>
      <x:c r="Q849" s="2"/>
    </x:row>
    <x:row r="850" ht="22" customHeight="1">
      <x:c r="A850" s="7" t="str">
        <x:v>M0843</x:v>
      </x:c>
      <x:c r="B850" s="7" t="str">
        <x:v>AR02</x:v>
      </x:c>
      <x:c r="C850" s="7" t="str">
        <x:v>T3</x:v>
      </x:c>
      <x:c r="D850" s="7" t="str">
        <x:v>L09</x:v>
      </x:c>
      <x:c r="E850" s="7" t="str">
        <x:v>Internal plaster gross</x:v>
      </x:c>
      <x:c r="F850" s="20" t="n">
        <x:v>2</x:v>
      </x:c>
      <x:c r="G850" s="20" t="n">
        <x:f>'Controls'!$B$45</x:f>
        <x:v>220</x:v>
      </x:c>
      <x:c r="H850" s="20" t="n">
        <x:f>'Controls'!$B$12-'Controls'!$B$13</x:f>
        <x:v>2.98</x:v>
      </x:c>
      <x:c r="I850" s="20" t="n">
        <x:v>1</x:v>
      </x:c>
      <x:c r="J850" s="20" t="n">
        <x:v>1</x:v>
      </x:c>
      <x:c r="K850" s="20" t="n">
        <x:f>F850*G850*H850*I850*J850</x:f>
        <x:v>1311.2</x:v>
      </x:c>
      <x:c r="L850" s="7" t="str">
        <x:v>Both faces of partition walls</x:v>
      </x:c>
      <x:c r="M850" s="2"/>
      <x:c r="N850" s="2"/>
      <x:c r="O850" s="2"/>
      <x:c r="P850" s="2"/>
      <x:c r="Q850" s="2"/>
    </x:row>
    <x:row r="851" ht="22" customHeight="1">
      <x:c r="A851" s="2" t="str">
        <x:v>M0844</x:v>
      </x:c>
      <x:c r="B851" s="2" t="str">
        <x:v>AR02</x:v>
      </x:c>
      <x:c r="C851" s="2" t="str">
        <x:v>T3</x:v>
      </x:c>
      <x:c r="D851" s="2" t="str">
        <x:v>L09</x:v>
      </x:c>
      <x:c r="E851" s="2" t="str">
        <x:v>Door area deduction both faces</x:v>
      </x:c>
      <x:c r="F851" s="21" t="n">
        <x:f>2*'Controls'!$B$48</x:f>
        <x:v>56</x:v>
      </x:c>
      <x:c r="G851" s="21" t="n">
        <x:f>'Controls'!$B$49</x:f>
        <x:v>0.9</x:v>
      </x:c>
      <x:c r="H851" s="21" t="n">
        <x:f>'Controls'!$B$50</x:f>
        <x:v>2.1</x:v>
      </x:c>
      <x:c r="I851" s="21" t="n">
        <x:v>1</x:v>
      </x:c>
      <x:c r="J851" s="21" t="n">
        <x:v>-1</x:v>
      </x:c>
      <x:c r="K851" s="21" t="n">
        <x:f>F851*G851*H851*I851*J851</x:f>
        <x:v>-105.84</x:v>
      </x:c>
      <x:c r="L851" s="2" t="str">
        <x:v>No plaster over openings</x:v>
      </x:c>
      <x:c r="M851" s="2"/>
      <x:c r="N851" s="2"/>
      <x:c r="O851" s="2"/>
      <x:c r="P851" s="2"/>
      <x:c r="Q851" s="2"/>
    </x:row>
    <x:row r="852" ht="22" customHeight="1">
      <x:c r="A852" s="7" t="str">
        <x:v>M0845</x:v>
      </x:c>
      <x:c r="B852" s="7" t="str">
        <x:v>AR03</x:v>
      </x:c>
      <x:c r="C852" s="7" t="str">
        <x:v>T3</x:v>
      </x:c>
      <x:c r="D852" s="7" t="str">
        <x:v>L09</x:v>
      </x:c>
      <x:c r="E852" s="7" t="str">
        <x:v>Floor screed net</x:v>
      </x:c>
      <x:c r="F852" s="20" t="n">
        <x:v>1</x:v>
      </x:c>
      <x:c r="G852" s="20" t="n">
        <x:f>'Controls'!$B$10*'Controls'!$B$11-'Controls'!$B$20*'Controls'!$B$21</x:f>
        <x:v>696</x:v>
      </x:c>
      <x:c r="H852" s="20" t="n">
        <x:v>1</x:v>
      </x:c>
      <x:c r="I852" s="20" t="n">
        <x:v>1</x:v>
      </x:c>
      <x:c r="J852" s="20" t="n">
        <x:v>1</x:v>
      </x:c>
      <x:c r="K852" s="20" t="n">
        <x:f>F852*G852*H852*I852*J852</x:f>
        <x:v>696</x:v>
      </x:c>
      <x:c r="L852" s="7" t="str">
        <x:v>Net structural floor area</x:v>
      </x:c>
      <x:c r="M852" s="2"/>
      <x:c r="N852" s="2"/>
      <x:c r="O852" s="2"/>
      <x:c r="P852" s="2"/>
      <x:c r="Q852" s="2"/>
    </x:row>
    <x:row r="853" ht="22" customHeight="1">
      <x:c r="A853" s="2" t="str">
        <x:v>M0846</x:v>
      </x:c>
      <x:c r="B853" s="2" t="str">
        <x:v>AR04</x:v>
      </x:c>
      <x:c r="C853" s="2" t="str">
        <x:v>T3</x:v>
      </x:c>
      <x:c r="D853" s="2" t="str">
        <x:v>L09</x:v>
      </x:c>
      <x:c r="E853" s="2" t="str">
        <x:v>Floor finish net</x:v>
      </x:c>
      <x:c r="F853" s="21" t="n">
        <x:v>1</x:v>
      </x:c>
      <x:c r="G853" s="21" t="n">
        <x:f>'Controls'!$B$10*'Controls'!$B$11-'Controls'!$B$20*'Controls'!$B$21</x:f>
        <x:v>696</x:v>
      </x:c>
      <x:c r="H853" s="21" t="n">
        <x:v>1</x:v>
      </x:c>
      <x:c r="I853" s="21" t="n">
        <x:v>1</x:v>
      </x:c>
      <x:c r="J853" s="21" t="n">
        <x:v>1</x:v>
      </x:c>
      <x:c r="K853" s="21" t="n">
        <x:f>F853*G853*H853*I853*J853</x:f>
        <x:v>696</x:v>
      </x:c>
      <x:c r="L853" s="2" t="str">
        <x:v>Waste excluded from BOQ</x:v>
      </x:c>
      <x:c r="M853" s="2"/>
      <x:c r="N853" s="2"/>
      <x:c r="O853" s="2"/>
      <x:c r="P853" s="2"/>
      <x:c r="Q853" s="2"/>
    </x:row>
    <x:row r="854" ht="22" customHeight="1">
      <x:c r="A854" s="7" t="str">
        <x:v>M0847</x:v>
      </x:c>
      <x:c r="B854" s="7" t="str">
        <x:v>AR05</x:v>
      </x:c>
      <x:c r="C854" s="7" t="str">
        <x:v>T3</x:v>
      </x:c>
      <x:c r="D854" s="7" t="str">
        <x:v>L09</x:v>
      </x:c>
      <x:c r="E854" s="7" t="str">
        <x:v>Internal wall paint net</x:v>
      </x:c>
      <x:c r="F854" s="20" t="n">
        <x:v>2</x:v>
      </x:c>
      <x:c r="G854" s="20" t="n">
        <x:f>'Controls'!$B$45*('Controls'!$B$12-'Controls'!$B$13)-'Controls'!$B$48*'Controls'!$B$49*'Controls'!$B$50</x:f>
        <x:v>602.6800000000001</x:v>
      </x:c>
      <x:c r="H854" s="20" t="n">
        <x:v>1</x:v>
      </x:c>
      <x:c r="I854" s="20" t="n">
        <x:v>1</x:v>
      </x:c>
      <x:c r="J854" s="20" t="n">
        <x:v>1</x:v>
      </x:c>
      <x:c r="K854" s="20" t="n">
        <x:f>F854*G854*H854*I854*J854</x:f>
        <x:v>1205.3600000000001</x:v>
      </x:c>
      <x:c r="L854" s="7" t="str">
        <x:v>Finished area; two coats priced in rate</x:v>
      </x:c>
      <x:c r="M854" s="2"/>
      <x:c r="N854" s="2"/>
      <x:c r="O854" s="2"/>
      <x:c r="P854" s="2"/>
      <x:c r="Q854" s="2"/>
    </x:row>
    <x:row r="855" ht="22" customHeight="1">
      <x:c r="A855" s="2" t="str">
        <x:v>M0848</x:v>
      </x:c>
      <x:c r="B855" s="2" t="str">
        <x:v>AR06</x:v>
      </x:c>
      <x:c r="C855" s="2" t="str">
        <x:v>T3</x:v>
      </x:c>
      <x:c r="D855" s="2" t="str">
        <x:v>L09</x:v>
      </x:c>
      <x:c r="E855" s="2" t="str">
        <x:v>Door sets</x:v>
      </x:c>
      <x:c r="F855" s="21" t="n">
        <x:f>'Controls'!$B$48</x:f>
        <x:v>28</x:v>
      </x:c>
      <x:c r="G855" s="21" t="n">
        <x:v>1</x:v>
      </x:c>
      <x:c r="H855" s="21" t="n">
        <x:v>1</x:v>
      </x:c>
      <x:c r="I855" s="21" t="n">
        <x:v>1</x:v>
      </x:c>
      <x:c r="J855" s="21" t="n">
        <x:v>1</x:v>
      </x:c>
      <x:c r="K855" s="21" t="n">
        <x:f>F855*G855*H855*I855*J855</x:f>
        <x:v>28</x:v>
      </x:c>
      <x:c r="L855" s="2" t="str">
        <x:v>Door count, not double face</x:v>
      </x:c>
      <x:c r="M855" s="2"/>
      <x:c r="N855" s="2"/>
      <x:c r="O855" s="2"/>
      <x:c r="P855" s="2"/>
      <x:c r="Q855" s="2"/>
    </x:row>
    <x:row r="856" ht="22" customHeight="1">
      <x:c r="A856" s="7" t="str">
        <x:v>M0849</x:v>
      </x:c>
      <x:c r="B856" s="7" t="str">
        <x:v>RC03</x:v>
      </x:c>
      <x:c r="C856" s="7" t="str">
        <x:v>T3</x:v>
      </x:c>
      <x:c r="D856" s="7" t="str">
        <x:v>L10</x:v>
      </x:c>
      <x:c r="E856" s="7" t="str">
        <x:v>Floor slab gross</x:v>
      </x:c>
      <x:c r="F856" s="20" t="n">
        <x:v>1</x:v>
      </x:c>
      <x:c r="G856" s="20" t="n">
        <x:f>'Controls'!$B$10</x:f>
        <x:v>30</x:v>
      </x:c>
      <x:c r="H856" s="20" t="n">
        <x:f>'Controls'!$B$11</x:f>
        <x:v>24</x:v>
      </x:c>
      <x:c r="I856" s="20" t="n">
        <x:f>'Controls'!$B$13</x:f>
        <x:v>0.22</x:v>
      </x:c>
      <x:c r="J856" s="20" t="n">
        <x:v>1</x:v>
      </x:c>
      <x:c r="K856" s="20" t="n">
        <x:f>F856*G856*H856*I856*J856</x:f>
        <x:v>158.4</x:v>
      </x:c>
      <x:c r="L856" s="7" t="str">
        <x:v>Slab includes beam top flange; downstand separate</x:v>
      </x:c>
      <x:c r="M856" s="2"/>
      <x:c r="N856" s="2"/>
      <x:c r="O856" s="2"/>
      <x:c r="P856" s="2"/>
      <x:c r="Q856" s="2"/>
    </x:row>
    <x:row r="857" ht="22" customHeight="1">
      <x:c r="A857" s="2" t="str">
        <x:v>M0850</x:v>
      </x:c>
      <x:c r="B857" s="2" t="str">
        <x:v>RC03</x:v>
      </x:c>
      <x:c r="C857" s="2" t="str">
        <x:v>T3</x:v>
      </x:c>
      <x:c r="D857" s="2" t="str">
        <x:v>L10</x:v>
      </x:c>
      <x:c r="E857" s="2" t="str">
        <x:v>Stair opening deduction</x:v>
      </x:c>
      <x:c r="F857" s="21" t="n">
        <x:v>1</x:v>
      </x:c>
      <x:c r="G857" s="21" t="n">
        <x:f>'Controls'!$B$20</x:f>
        <x:v>4</x:v>
      </x:c>
      <x:c r="H857" s="21" t="n">
        <x:f>'Controls'!$B$21</x:f>
        <x:v>6</x:v>
      </x:c>
      <x:c r="I857" s="21" t="n">
        <x:f>'Controls'!$B$13</x:f>
        <x:v>0.22</x:v>
      </x:c>
      <x:c r="J857" s="21" t="n">
        <x:v>-1</x:v>
      </x:c>
      <x:c r="K857" s="21" t="n">
        <x:f>F857*G857*H857*I857*J857</x:f>
        <x:v>-5.28</x:v>
      </x:c>
      <x:c r="L857" s="2" t="str">
        <x:v>Opening OP-01</x:v>
      </x:c>
      <x:c r="M857" s="2"/>
      <x:c r="N857" s="2"/>
      <x:c r="O857" s="2"/>
      <x:c r="P857" s="2"/>
      <x:c r="Q857" s="2"/>
    </x:row>
    <x:row r="858" ht="22" customHeight="1">
      <x:c r="A858" s="7" t="str">
        <x:v>M0851</x:v>
      </x:c>
      <x:c r="B858" s="7" t="str">
        <x:v>RC04</x:v>
      </x:c>
      <x:c r="C858" s="7" t="str">
        <x:v>T3</x:v>
      </x:c>
      <x:c r="D858" s="7" t="str">
        <x:v>L10</x:v>
      </x:c>
      <x:c r="E858" s="7" t="str">
        <x:v>Beam downstands X</x:v>
      </x:c>
      <x:c r="F858" s="20" t="n">
        <x:v>1</x:v>
      </x:c>
      <x:c r="G858" s="20" t="n">
        <x:f>5*5*('Controls'!$B$10/5-'Controls'!$B$14)</x:f>
        <x:v>137.5</x:v>
      </x:c>
      <x:c r="H858" s="20" t="n">
        <x:f>'Controls'!$B$16</x:f>
        <x:v>0.3</x:v>
      </x:c>
      <x:c r="I858" s="20" t="n">
        <x:f>'Controls'!$B$17-'Controls'!$B$13</x:f>
        <x:v>0.38</x:v>
      </x:c>
      <x:c r="J858" s="20" t="n">
        <x:v>1</x:v>
      </x:c>
      <x:c r="K858" s="20" t="n">
        <x:f>F858*G858*H858*I858*J858</x:f>
        <x:v>15.675</x:v>
      </x:c>
      <x:c r="L858" s="7" t="str">
        <x:v>Clear spans between column faces; no joint overlap</x:v>
      </x:c>
      <x:c r="M858" s="2"/>
      <x:c r="N858" s="2"/>
      <x:c r="O858" s="2"/>
      <x:c r="P858" s="2"/>
      <x:c r="Q858" s="2"/>
    </x:row>
    <x:row r="859" ht="22" customHeight="1">
      <x:c r="A859" s="2" t="str">
        <x:v>M0852</x:v>
      </x:c>
      <x:c r="B859" s="2" t="str">
        <x:v>FW02</x:v>
      </x:c>
      <x:c r="C859" s="2" t="str">
        <x:v>T3</x:v>
      </x:c>
      <x:c r="D859" s="2" t="str">
        <x:v>L10</x:v>
      </x:c>
      <x:c r="E859" s="2" t="str">
        <x:v>Beam forms X</x:v>
      </x:c>
      <x:c r="F859" s="21" t="n">
        <x:v>1</x:v>
      </x:c>
      <x:c r="G859" s="21" t="n">
        <x:f>5*5*('Controls'!$B$10/5-'Controls'!$B$14)</x:f>
        <x:v>137.5</x:v>
      </x:c>
      <x:c r="H859" s="21" t="n">
        <x:f>'Controls'!$B$16+2*('Controls'!$B$17-'Controls'!$B$13)</x:f>
        <x:v>1.06</x:v>
      </x:c>
      <x:c r="I859" s="21" t="n">
        <x:v>1</x:v>
      </x:c>
      <x:c r="J859" s="21" t="n">
        <x:v>1</x:v>
      </x:c>
      <x:c r="K859" s="21" t="n">
        <x:f>F859*G859*H859*I859*J859</x:f>
        <x:v>145.75</x:v>
      </x:c>
      <x:c r="L859" s="2" t="str">
        <x:v>Soffit plus two downstand sides</x:v>
      </x:c>
      <x:c r="M859" s="2"/>
      <x:c r="N859" s="2"/>
      <x:c r="O859" s="2"/>
      <x:c r="P859" s="2"/>
      <x:c r="Q859" s="2"/>
    </x:row>
    <x:row r="860" ht="22" customHeight="1">
      <x:c r="A860" s="7" t="str">
        <x:v>M0853</x:v>
      </x:c>
      <x:c r="B860" s="7" t="str">
        <x:v>RC04</x:v>
      </x:c>
      <x:c r="C860" s="7" t="str">
        <x:v>T3</x:v>
      </x:c>
      <x:c r="D860" s="7" t="str">
        <x:v>L10</x:v>
      </x:c>
      <x:c r="E860" s="7" t="str">
        <x:v>Beam downstands Y</x:v>
      </x:c>
      <x:c r="F860" s="20" t="n">
        <x:v>1</x:v>
      </x:c>
      <x:c r="G860" s="20" t="n">
        <x:f>6*4*('Controls'!$B$11/4-'Controls'!$B$15)</x:f>
        <x:v>132</x:v>
      </x:c>
      <x:c r="H860" s="20" t="n">
        <x:f>'Controls'!$B$16</x:f>
        <x:v>0.3</x:v>
      </x:c>
      <x:c r="I860" s="20" t="n">
        <x:f>'Controls'!$B$17-'Controls'!$B$13</x:f>
        <x:v>0.38</x:v>
      </x:c>
      <x:c r="J860" s="20" t="n">
        <x:v>1</x:v>
      </x:c>
      <x:c r="K860" s="20" t="n">
        <x:f>F860*G860*H860*I860*J860</x:f>
        <x:v>15.048</x:v>
      </x:c>
      <x:c r="L860" s="7" t="str">
        <x:v>Clear spans between column faces; no joint overlap</x:v>
      </x:c>
      <x:c r="M860" s="2"/>
      <x:c r="N860" s="2"/>
      <x:c r="O860" s="2"/>
      <x:c r="P860" s="2"/>
      <x:c r="Q860" s="2"/>
    </x:row>
    <x:row r="861" ht="22" customHeight="1">
      <x:c r="A861" s="2" t="str">
        <x:v>M0854</x:v>
      </x:c>
      <x:c r="B861" s="2" t="str">
        <x:v>FW02</x:v>
      </x:c>
      <x:c r="C861" s="2" t="str">
        <x:v>T3</x:v>
      </x:c>
      <x:c r="D861" s="2" t="str">
        <x:v>L10</x:v>
      </x:c>
      <x:c r="E861" s="2" t="str">
        <x:v>Beam forms Y</x:v>
      </x:c>
      <x:c r="F861" s="21" t="n">
        <x:v>1</x:v>
      </x:c>
      <x:c r="G861" s="21" t="n">
        <x:f>6*4*('Controls'!$B$11/4-'Controls'!$B$15)</x:f>
        <x:v>132</x:v>
      </x:c>
      <x:c r="H861" s="21" t="n">
        <x:f>'Controls'!$B$16+2*('Controls'!$B$17-'Controls'!$B$13)</x:f>
        <x:v>1.06</x:v>
      </x:c>
      <x:c r="I861" s="21" t="n">
        <x:v>1</x:v>
      </x:c>
      <x:c r="J861" s="21" t="n">
        <x:v>1</x:v>
      </x:c>
      <x:c r="K861" s="21" t="n">
        <x:f>F861*G861*H861*I861*J861</x:f>
        <x:v>139.92000000000002</x:v>
      </x:c>
      <x:c r="L861" s="2" t="str">
        <x:v>Soffit plus two downstand sides</x:v>
      </x:c>
      <x:c r="M861" s="2"/>
      <x:c r="N861" s="2"/>
      <x:c r="O861" s="2"/>
      <x:c r="P861" s="2"/>
      <x:c r="Q861" s="2"/>
    </x:row>
    <x:row r="862" ht="22" customHeight="1">
      <x:c r="A862" s="7" t="str">
        <x:v>M0855</x:v>
      </x:c>
      <x:c r="B862" s="7" t="str">
        <x:v>RC05</x:v>
      </x:c>
      <x:c r="C862" s="7" t="str">
        <x:v>T3</x:v>
      </x:c>
      <x:c r="D862" s="7" t="str">
        <x:v>L10</x:v>
      </x:c>
      <x:c r="E862" s="7" t="str">
        <x:v>Thirty columns, clear storey</x:v>
      </x:c>
      <x:c r="F862" s="20" t="n">
        <x:v>30</x:v>
      </x:c>
      <x:c r="G862" s="20" t="n">
        <x:f>'Controls'!$B$14</x:f>
        <x:v>0.5</x:v>
      </x:c>
      <x:c r="H862" s="20" t="n">
        <x:f>'Controls'!$B$15</x:f>
        <x:v>0.5</x:v>
      </x:c>
      <x:c r="I862" s="20" t="n">
        <x:f>'Controls'!$B$12-'Controls'!$B$13</x:f>
        <x:v>2.98</x:v>
      </x:c>
      <x:c r="J862" s="20" t="n">
        <x:v>1</x:v>
      </x:c>
      <x:c r="K862" s="20" t="n">
        <x:f>F862*G862*H862*I862*J862</x:f>
        <x:v>22.35</x:v>
      </x:c>
      <x:c r="L862" s="7" t="str">
        <x:v>Slab volume excluded from columns</x:v>
      </x:c>
      <x:c r="M862" s="2"/>
      <x:c r="N862" s="2"/>
      <x:c r="O862" s="2"/>
      <x:c r="P862" s="2"/>
      <x:c r="Q862" s="2"/>
    </x:row>
    <x:row r="863" ht="22" customHeight="1">
      <x:c r="A863" s="2" t="str">
        <x:v>M0856</x:v>
      </x:c>
      <x:c r="B863" s="2" t="str">
        <x:v>RC06</x:v>
      </x:c>
      <x:c r="C863" s="2" t="str">
        <x:v>T3</x:v>
      </x:c>
      <x:c r="D863" s="2" t="str">
        <x:v>L10</x:v>
      </x:c>
      <x:c r="E863" s="2" t="str">
        <x:v>Core walls clear storey</x:v>
      </x:c>
      <x:c r="F863" s="21" t="n">
        <x:v>1</x:v>
      </x:c>
      <x:c r="G863" s="21" t="n">
        <x:f>'Controls'!$B$19</x:f>
        <x:v>24</x:v>
      </x:c>
      <x:c r="H863" s="21" t="n">
        <x:f>'Controls'!$B$18</x:f>
        <x:v>0.25</x:v>
      </x:c>
      <x:c r="I863" s="21" t="n">
        <x:f>'Controls'!$B$12-'Controls'!$B$13</x:f>
        <x:v>2.98</x:v>
      </x:c>
      <x:c r="J863" s="21" t="n">
        <x:v>1</x:v>
      </x:c>
      <x:c r="K863" s="21" t="n">
        <x:f>F863*G863*H863*I863*J863</x:f>
        <x:v>17.88</x:v>
      </x:c>
      <x:c r="L863" s="2" t="str">
        <x:v>Net clear wall length excludes corners</x:v>
      </x:c>
      <x:c r="M863" s="2"/>
      <x:c r="N863" s="2"/>
      <x:c r="O863" s="2"/>
      <x:c r="P863" s="2"/>
      <x:c r="Q863" s="2"/>
    </x:row>
    <x:row r="864" ht="22" customHeight="1">
      <x:c r="A864" s="7" t="str">
        <x:v>M0857</x:v>
      </x:c>
      <x:c r="B864" s="7" t="str">
        <x:v>RC07</x:v>
      </x:c>
      <x:c r="C864" s="7" t="str">
        <x:v>T3</x:v>
      </x:c>
      <x:c r="D864" s="7" t="str">
        <x:v>L10</x:v>
      </x:c>
      <x:c r="E864" s="7" t="str">
        <x:v>Stair flights waist</x:v>
      </x:c>
      <x:c r="F864" s="20" t="n">
        <x:v>2</x:v>
      </x:c>
      <x:c r="G864" s="20" t="n">
        <x:v>4.1</x:v>
      </x:c>
      <x:c r="H864" s="20" t="n">
        <x:v>1.2</x:v>
      </x:c>
      <x:c r="I864" s="20" t="n">
        <x:v>0.18</x:v>
      </x:c>
      <x:c r="J864" s="20" t="n">
        <x:v>1</x:v>
      </x:c>
      <x:c r="K864" s="20" t="n">
        <x:f>F864*G864*H864*I864*J864</x:f>
        <x:v>1.7711999999999997</x:v>
      </x:c>
      <x:c r="L864" s="7" t="str">
        <x:v>Two flights; geometry separate from floor slab</x:v>
      </x:c>
      <x:c r="M864" s="2"/>
      <x:c r="N864" s="2"/>
      <x:c r="O864" s="2"/>
      <x:c r="P864" s="2"/>
      <x:c r="Q864" s="2"/>
    </x:row>
    <x:row r="865" ht="22" customHeight="1">
      <x:c r="A865" s="2" t="str">
        <x:v>M0858</x:v>
      </x:c>
      <x:c r="B865" s="2" t="str">
        <x:v>RC07</x:v>
      </x:c>
      <x:c r="C865" s="2" t="str">
        <x:v>T3</x:v>
      </x:c>
      <x:c r="D865" s="2" t="str">
        <x:v>L10</x:v>
      </x:c>
      <x:c r="E865" s="2" t="str">
        <x:v>Stair landings</x:v>
      </x:c>
      <x:c r="F865" s="21" t="n">
        <x:v>2</x:v>
      </x:c>
      <x:c r="G865" s="21" t="n">
        <x:v>2</x:v>
      </x:c>
      <x:c r="H865" s="21" t="n">
        <x:v>1.2</x:v>
      </x:c>
      <x:c r="I865" s="21" t="n">
        <x:v>0.18</x:v>
      </x:c>
      <x:c r="J865" s="21" t="n">
        <x:v>1</x:v>
      </x:c>
      <x:c r="K865" s="21" t="n">
        <x:f>F865*G865*H865*I865*J865</x:f>
        <x:v>0.864</x:v>
      </x:c>
      <x:c r="L865" s="2" t="str">
        <x:v>Within stair opening</x:v>
      </x:c>
      <x:c r="M865" s="2"/>
      <x:c r="N865" s="2"/>
      <x:c r="O865" s="2"/>
      <x:c r="P865" s="2"/>
      <x:c r="Q865" s="2"/>
    </x:row>
    <x:row r="866" ht="22" customHeight="1">
      <x:c r="A866" s="7" t="str">
        <x:v>M0859</x:v>
      </x:c>
      <x:c r="B866" s="7" t="str">
        <x:v>FW01</x:v>
      </x:c>
      <x:c r="C866" s="7" t="str">
        <x:v>T3</x:v>
      </x:c>
      <x:c r="D866" s="7" t="str">
        <x:v>L10</x:v>
      </x:c>
      <x:c r="E866" s="7" t="str">
        <x:v>Slab soffit gross</x:v>
      </x:c>
      <x:c r="F866" s="20" t="n">
        <x:v>1</x:v>
      </x:c>
      <x:c r="G866" s="20" t="n">
        <x:f>'Controls'!$B$10</x:f>
        <x:v>30</x:v>
      </x:c>
      <x:c r="H866" s="20" t="n">
        <x:f>'Controls'!$B$11</x:f>
        <x:v>24</x:v>
      </x:c>
      <x:c r="I866" s="20" t="n">
        <x:v>1</x:v>
      </x:c>
      <x:c r="J866" s="20" t="n">
        <x:v>1</x:v>
      </x:c>
      <x:c r="K866" s="20" t="n">
        <x:f>F866*G866*H866*I866*J866</x:f>
        <x:v>720</x:v>
      </x:c>
      <x:c r="L866" s="7" t="str">
        <x:v>Beam soffit deducted below</x:v>
      </x:c>
      <x:c r="M866" s="2"/>
      <x:c r="N866" s="2"/>
      <x:c r="O866" s="2"/>
      <x:c r="P866" s="2"/>
      <x:c r="Q866" s="2"/>
    </x:row>
    <x:row r="867" ht="22" customHeight="1">
      <x:c r="A867" s="2" t="str">
        <x:v>M0860</x:v>
      </x:c>
      <x:c r="B867" s="2" t="str">
        <x:v>FW01</x:v>
      </x:c>
      <x:c r="C867" s="2" t="str">
        <x:v>T3</x:v>
      </x:c>
      <x:c r="D867" s="2" t="str">
        <x:v>L10</x:v>
      </x:c>
      <x:c r="E867" s="2" t="str">
        <x:v>Stair opening deduction</x:v>
      </x:c>
      <x:c r="F867" s="21" t="n">
        <x:v>1</x:v>
      </x:c>
      <x:c r="G867" s="21" t="n">
        <x:f>'Controls'!$B$20</x:f>
        <x:v>4</x:v>
      </x:c>
      <x:c r="H867" s="21" t="n">
        <x:f>'Controls'!$B$21</x:f>
        <x:v>6</x:v>
      </x:c>
      <x:c r="I867" s="21" t="n">
        <x:v>1</x:v>
      </x:c>
      <x:c r="J867" s="21" t="n">
        <x:v>-1</x:v>
      </x:c>
      <x:c r="K867" s="21" t="n">
        <x:f>F867*G867*H867*I867*J867</x:f>
        <x:v>-24</x:v>
      </x:c>
      <x:c r="L867" s="2" t="str">
        <x:v>OP-01</x:v>
      </x:c>
      <x:c r="M867" s="2"/>
      <x:c r="N867" s="2"/>
      <x:c r="O867" s="2"/>
      <x:c r="P867" s="2"/>
      <x:c r="Q867" s="2"/>
    </x:row>
    <x:row r="868" ht="22" customHeight="1">
      <x:c r="A868" s="7" t="str">
        <x:v>M0861</x:v>
      </x:c>
      <x:c r="B868" s="7" t="str">
        <x:v>FW01</x:v>
      </x:c>
      <x:c r="C868" s="7" t="str">
        <x:v>T3</x:v>
      </x:c>
      <x:c r="D868" s="7" t="str">
        <x:v>L10</x:v>
      </x:c>
      <x:c r="E868" s="7" t="str">
        <x:v>Beam soffit deduction</x:v>
      </x:c>
      <x:c r="F868" s="20" t="n">
        <x:v>1</x:v>
      </x:c>
      <x:c r="G868" s="20" t="n">
        <x:f>5*5*('Controls'!$B$10/5-'Controls'!$B$14)+6*4*('Controls'!$B$11/4-'Controls'!$B$15)</x:f>
        <x:v>269.5</x:v>
      </x:c>
      <x:c r="H868" s="20" t="n">
        <x:f>'Controls'!$B$16</x:f>
        <x:v>0.3</x:v>
      </x:c>
      <x:c r="I868" s="20" t="n">
        <x:v>1</x:v>
      </x:c>
      <x:c r="J868" s="20" t="n">
        <x:v>-1</x:v>
      </x:c>
      <x:c r="K868" s="20" t="n">
        <x:f>F868*G868*H868*I868*J868</x:f>
        <x:v>-80.85</x:v>
      </x:c>
      <x:c r="L868" s="7" t="str">
        <x:v>Beam forms measured in FW02</x:v>
      </x:c>
      <x:c r="M868" s="2"/>
      <x:c r="N868" s="2"/>
      <x:c r="O868" s="2"/>
      <x:c r="P868" s="2"/>
      <x:c r="Q868" s="2"/>
    </x:row>
    <x:row r="869" ht="22" customHeight="1">
      <x:c r="A869" s="2" t="str">
        <x:v>M0862</x:v>
      </x:c>
      <x:c r="B869" s="2" t="str">
        <x:v>FW03</x:v>
      </x:c>
      <x:c r="C869" s="2" t="str">
        <x:v>T3</x:v>
      </x:c>
      <x:c r="D869" s="2" t="str">
        <x:v>L10</x:v>
      </x:c>
      <x:c r="E869" s="2" t="str">
        <x:v>Column four faces</x:v>
      </x:c>
      <x:c r="F869" s="21" t="n">
        <x:v>30</x:v>
      </x:c>
      <x:c r="G869" s="21" t="n">
        <x:f>2*('Controls'!$B$14+'Controls'!$B$15)</x:f>
        <x:v>2</x:v>
      </x:c>
      <x:c r="H869" s="21" t="n">
        <x:f>'Controls'!$B$12-'Controls'!$B$13</x:f>
        <x:v>2.98</x:v>
      </x:c>
      <x:c r="I869" s="21" t="n">
        <x:v>1</x:v>
      </x:c>
      <x:c r="J869" s="21" t="n">
        <x:v>1</x:v>
      </x:c>
      <x:c r="K869" s="21" t="n">
        <x:f>F869*G869*H869*I869*J869</x:f>
        <x:v>178.8</x:v>
      </x:c>
      <x:c r="L869" s="2" t="str">
        <x:v>Clear floor-to-soffit</x:v>
      </x:c>
      <x:c r="M869" s="2"/>
      <x:c r="N869" s="2"/>
      <x:c r="O869" s="2"/>
      <x:c r="P869" s="2"/>
      <x:c r="Q869" s="2"/>
    </x:row>
    <x:row r="870" ht="22" customHeight="1">
      <x:c r="A870" s="7" t="str">
        <x:v>M0863</x:v>
      </x:c>
      <x:c r="B870" s="7" t="str">
        <x:v>FW04</x:v>
      </x:c>
      <x:c r="C870" s="7" t="str">
        <x:v>T3</x:v>
      </x:c>
      <x:c r="D870" s="7" t="str">
        <x:v>L10</x:v>
      </x:c>
      <x:c r="E870" s="7" t="str">
        <x:v>Core wall two faces</x:v>
      </x:c>
      <x:c r="F870" s="20" t="n">
        <x:v>2</x:v>
      </x:c>
      <x:c r="G870" s="20" t="n">
        <x:f>'Controls'!$B$19</x:f>
        <x:v>24</x:v>
      </x:c>
      <x:c r="H870" s="20" t="n">
        <x:f>'Controls'!$B$12-'Controls'!$B$13</x:f>
        <x:v>2.98</x:v>
      </x:c>
      <x:c r="I870" s="20" t="n">
        <x:v>1</x:v>
      </x:c>
      <x:c r="J870" s="20" t="n">
        <x:v>1</x:v>
      </x:c>
      <x:c r="K870" s="20" t="n">
        <x:f>F870*G870*H870*I870*J870</x:f>
        <x:v>143.04</x:v>
      </x:c>
      <x:c r="L870" s="7" t="str">
        <x:v>Net perimeter, no repeated corners</x:v>
      </x:c>
      <x:c r="M870" s="2"/>
      <x:c r="N870" s="2"/>
      <x:c r="O870" s="2"/>
      <x:c r="P870" s="2"/>
      <x:c r="Q870" s="2"/>
    </x:row>
    <x:row r="871" ht="22" customHeight="1">
      <x:c r="A871" s="2" t="str">
        <x:v>M0864</x:v>
      </x:c>
      <x:c r="B871" s="2" t="str">
        <x:v>AR01</x:v>
      </x:c>
      <x:c r="C871" s="2" t="str">
        <x:v>T3</x:v>
      </x:c>
      <x:c r="D871" s="2" t="str">
        <x:v>L10</x:v>
      </x:c>
      <x:c r="E871" s="2" t="str">
        <x:v>Partition walls gross</x:v>
      </x:c>
      <x:c r="F871" s="21" t="n">
        <x:v>1</x:v>
      </x:c>
      <x:c r="G871" s="21" t="n">
        <x:f>'Controls'!$B$45</x:f>
        <x:v>220</x:v>
      </x:c>
      <x:c r="H871" s="21" t="n">
        <x:f>'Controls'!$B$12-'Controls'!$B$13</x:f>
        <x:v>2.98</x:v>
      </x:c>
      <x:c r="I871" s="21" t="n">
        <x:f>'Controls'!$B$46</x:f>
        <x:v>0.15</x:v>
      </x:c>
      <x:c r="J871" s="21" t="n">
        <x:v>1</x:v>
      </x:c>
      <x:c r="K871" s="21" t="n">
        <x:f>F871*G871*H871*I871*J871</x:f>
        <x:v>98.34</x:v>
      </x:c>
      <x:c r="L871" s="2" t="str">
        <x:v>Net openings deducted below</x:v>
      </x:c>
      <x:c r="M871" s="2"/>
      <x:c r="N871" s="2"/>
      <x:c r="O871" s="2"/>
      <x:c r="P871" s="2"/>
      <x:c r="Q871" s="2"/>
    </x:row>
    <x:row r="872" ht="22" customHeight="1">
      <x:c r="A872" s="7" t="str">
        <x:v>M0865</x:v>
      </x:c>
      <x:c r="B872" s="7" t="str">
        <x:v>AR01</x:v>
      </x:c>
      <x:c r="C872" s="7" t="str">
        <x:v>T3</x:v>
      </x:c>
      <x:c r="D872" s="7" t="str">
        <x:v>L10</x:v>
      </x:c>
      <x:c r="E872" s="7" t="str">
        <x:v>Internal doors deduction</x:v>
      </x:c>
      <x:c r="F872" s="20" t="n">
        <x:f>'Controls'!$B$48</x:f>
        <x:v>28</x:v>
      </x:c>
      <x:c r="G872" s="20" t="n">
        <x:f>'Controls'!$B$49</x:f>
        <x:v>0.9</x:v>
      </x:c>
      <x:c r="H872" s="20" t="n">
        <x:f>'Controls'!$B$50</x:f>
        <x:v>2.1</x:v>
      </x:c>
      <x:c r="I872" s="20" t="n">
        <x:f>'Controls'!$B$46</x:f>
        <x:v>0.15</x:v>
      </x:c>
      <x:c r="J872" s="20" t="n">
        <x:v>-1</x:v>
      </x:c>
      <x:c r="K872" s="20" t="n">
        <x:f>F872*G872*H872*I872*J872</x:f>
        <x:v>-7.938</x:v>
      </x:c>
      <x:c r="L872" s="7" t="str">
        <x:v>28 doors per floor, OP-02</x:v>
      </x:c>
      <x:c r="M872" s="2"/>
      <x:c r="N872" s="2"/>
      <x:c r="O872" s="2"/>
      <x:c r="P872" s="2"/>
      <x:c r="Q872" s="2"/>
    </x:row>
    <x:row r="873" ht="22" customHeight="1">
      <x:c r="A873" s="2" t="str">
        <x:v>M0866</x:v>
      </x:c>
      <x:c r="B873" s="2" t="str">
        <x:v>AR02</x:v>
      </x:c>
      <x:c r="C873" s="2" t="str">
        <x:v>T3</x:v>
      </x:c>
      <x:c r="D873" s="2" t="str">
        <x:v>L10</x:v>
      </x:c>
      <x:c r="E873" s="2" t="str">
        <x:v>Internal plaster gross</x:v>
      </x:c>
      <x:c r="F873" s="21" t="n">
        <x:v>2</x:v>
      </x:c>
      <x:c r="G873" s="21" t="n">
        <x:f>'Controls'!$B$45</x:f>
        <x:v>220</x:v>
      </x:c>
      <x:c r="H873" s="21" t="n">
        <x:f>'Controls'!$B$12-'Controls'!$B$13</x:f>
        <x:v>2.98</x:v>
      </x:c>
      <x:c r="I873" s="21" t="n">
        <x:v>1</x:v>
      </x:c>
      <x:c r="J873" s="21" t="n">
        <x:v>1</x:v>
      </x:c>
      <x:c r="K873" s="21" t="n">
        <x:f>F873*G873*H873*I873*J873</x:f>
        <x:v>1311.2</x:v>
      </x:c>
      <x:c r="L873" s="2" t="str">
        <x:v>Both faces of partition walls</x:v>
      </x:c>
      <x:c r="M873" s="2"/>
      <x:c r="N873" s="2"/>
      <x:c r="O873" s="2"/>
      <x:c r="P873" s="2"/>
      <x:c r="Q873" s="2"/>
    </x:row>
    <x:row r="874" ht="22" customHeight="1">
      <x:c r="A874" s="7" t="str">
        <x:v>M0867</x:v>
      </x:c>
      <x:c r="B874" s="7" t="str">
        <x:v>AR02</x:v>
      </x:c>
      <x:c r="C874" s="7" t="str">
        <x:v>T3</x:v>
      </x:c>
      <x:c r="D874" s="7" t="str">
        <x:v>L10</x:v>
      </x:c>
      <x:c r="E874" s="7" t="str">
        <x:v>Door area deduction both faces</x:v>
      </x:c>
      <x:c r="F874" s="20" t="n">
        <x:f>2*'Controls'!$B$48</x:f>
        <x:v>56</x:v>
      </x:c>
      <x:c r="G874" s="20" t="n">
        <x:f>'Controls'!$B$49</x:f>
        <x:v>0.9</x:v>
      </x:c>
      <x:c r="H874" s="20" t="n">
        <x:f>'Controls'!$B$50</x:f>
        <x:v>2.1</x:v>
      </x:c>
      <x:c r="I874" s="20" t="n">
        <x:v>1</x:v>
      </x:c>
      <x:c r="J874" s="20" t="n">
        <x:v>-1</x:v>
      </x:c>
      <x:c r="K874" s="20" t="n">
        <x:f>F874*G874*H874*I874*J874</x:f>
        <x:v>-105.84</x:v>
      </x:c>
      <x:c r="L874" s="7" t="str">
        <x:v>No plaster over openings</x:v>
      </x:c>
      <x:c r="M874" s="2"/>
      <x:c r="N874" s="2"/>
      <x:c r="O874" s="2"/>
      <x:c r="P874" s="2"/>
      <x:c r="Q874" s="2"/>
    </x:row>
    <x:row r="875" ht="22" customHeight="1">
      <x:c r="A875" s="2" t="str">
        <x:v>M0868</x:v>
      </x:c>
      <x:c r="B875" s="2" t="str">
        <x:v>AR03</x:v>
      </x:c>
      <x:c r="C875" s="2" t="str">
        <x:v>T3</x:v>
      </x:c>
      <x:c r="D875" s="2" t="str">
        <x:v>L10</x:v>
      </x:c>
      <x:c r="E875" s="2" t="str">
        <x:v>Floor screed net</x:v>
      </x:c>
      <x:c r="F875" s="21" t="n">
        <x:v>1</x:v>
      </x:c>
      <x:c r="G875" s="21" t="n">
        <x:f>'Controls'!$B$10*'Controls'!$B$11-'Controls'!$B$20*'Controls'!$B$21</x:f>
        <x:v>696</x:v>
      </x:c>
      <x:c r="H875" s="21" t="n">
        <x:v>1</x:v>
      </x:c>
      <x:c r="I875" s="21" t="n">
        <x:v>1</x:v>
      </x:c>
      <x:c r="J875" s="21" t="n">
        <x:v>1</x:v>
      </x:c>
      <x:c r="K875" s="21" t="n">
        <x:f>F875*G875*H875*I875*J875</x:f>
        <x:v>696</x:v>
      </x:c>
      <x:c r="L875" s="2" t="str">
        <x:v>Net structural floor area</x:v>
      </x:c>
      <x:c r="M875" s="2"/>
      <x:c r="N875" s="2"/>
      <x:c r="O875" s="2"/>
      <x:c r="P875" s="2"/>
      <x:c r="Q875" s="2"/>
    </x:row>
    <x:row r="876" ht="22" customHeight="1">
      <x:c r="A876" s="7" t="str">
        <x:v>M0869</x:v>
      </x:c>
      <x:c r="B876" s="7" t="str">
        <x:v>AR04</x:v>
      </x:c>
      <x:c r="C876" s="7" t="str">
        <x:v>T3</x:v>
      </x:c>
      <x:c r="D876" s="7" t="str">
        <x:v>L10</x:v>
      </x:c>
      <x:c r="E876" s="7" t="str">
        <x:v>Floor finish net</x:v>
      </x:c>
      <x:c r="F876" s="20" t="n">
        <x:v>1</x:v>
      </x:c>
      <x:c r="G876" s="20" t="n">
        <x:f>'Controls'!$B$10*'Controls'!$B$11-'Controls'!$B$20*'Controls'!$B$21</x:f>
        <x:v>696</x:v>
      </x:c>
      <x:c r="H876" s="20" t="n">
        <x:v>1</x:v>
      </x:c>
      <x:c r="I876" s="20" t="n">
        <x:v>1</x:v>
      </x:c>
      <x:c r="J876" s="20" t="n">
        <x:v>1</x:v>
      </x:c>
      <x:c r="K876" s="20" t="n">
        <x:f>F876*G876*H876*I876*J876</x:f>
        <x:v>696</x:v>
      </x:c>
      <x:c r="L876" s="7" t="str">
        <x:v>Waste excluded from BOQ</x:v>
      </x:c>
      <x:c r="M876" s="2"/>
      <x:c r="N876" s="2"/>
      <x:c r="O876" s="2"/>
      <x:c r="P876" s="2"/>
      <x:c r="Q876" s="2"/>
    </x:row>
    <x:row r="877" ht="22" customHeight="1">
      <x:c r="A877" s="2" t="str">
        <x:v>M0870</x:v>
      </x:c>
      <x:c r="B877" s="2" t="str">
        <x:v>AR05</x:v>
      </x:c>
      <x:c r="C877" s="2" t="str">
        <x:v>T3</x:v>
      </x:c>
      <x:c r="D877" s="2" t="str">
        <x:v>L10</x:v>
      </x:c>
      <x:c r="E877" s="2" t="str">
        <x:v>Internal wall paint net</x:v>
      </x:c>
      <x:c r="F877" s="21" t="n">
        <x:v>2</x:v>
      </x:c>
      <x:c r="G877" s="21" t="n">
        <x:f>'Controls'!$B$45*('Controls'!$B$12-'Controls'!$B$13)-'Controls'!$B$48*'Controls'!$B$49*'Controls'!$B$50</x:f>
        <x:v>602.6800000000001</x:v>
      </x:c>
      <x:c r="H877" s="21" t="n">
        <x:v>1</x:v>
      </x:c>
      <x:c r="I877" s="21" t="n">
        <x:v>1</x:v>
      </x:c>
      <x:c r="J877" s="21" t="n">
        <x:v>1</x:v>
      </x:c>
      <x:c r="K877" s="21" t="n">
        <x:f>F877*G877*H877*I877*J877</x:f>
        <x:v>1205.3600000000001</x:v>
      </x:c>
      <x:c r="L877" s="2" t="str">
        <x:v>Finished area; two coats priced in rate</x:v>
      </x:c>
      <x:c r="M877" s="2"/>
      <x:c r="N877" s="2"/>
      <x:c r="O877" s="2"/>
      <x:c r="P877" s="2"/>
      <x:c r="Q877" s="2"/>
    </x:row>
    <x:row r="878" ht="22" customHeight="1">
      <x:c r="A878" s="7" t="str">
        <x:v>M0871</x:v>
      </x:c>
      <x:c r="B878" s="7" t="str">
        <x:v>AR06</x:v>
      </x:c>
      <x:c r="C878" s="7" t="str">
        <x:v>T3</x:v>
      </x:c>
      <x:c r="D878" s="7" t="str">
        <x:v>L10</x:v>
      </x:c>
      <x:c r="E878" s="7" t="str">
        <x:v>Door sets</x:v>
      </x:c>
      <x:c r="F878" s="20" t="n">
        <x:f>'Controls'!$B$48</x:f>
        <x:v>28</x:v>
      </x:c>
      <x:c r="G878" s="20" t="n">
        <x:v>1</x:v>
      </x:c>
      <x:c r="H878" s="20" t="n">
        <x:v>1</x:v>
      </x:c>
      <x:c r="I878" s="20" t="n">
        <x:v>1</x:v>
      </x:c>
      <x:c r="J878" s="20" t="n">
        <x:v>1</x:v>
      </x:c>
      <x:c r="K878" s="20" t="n">
        <x:f>F878*G878*H878*I878*J878</x:f>
        <x:v>28</x:v>
      </x:c>
      <x:c r="L878" s="7" t="str">
        <x:v>Door count, not double face</x:v>
      </x:c>
      <x:c r="M878" s="2"/>
      <x:c r="N878" s="2"/>
      <x:c r="O878" s="2"/>
      <x:c r="P878" s="2"/>
      <x:c r="Q878" s="2"/>
    </x:row>
    <x:row r="879" ht="22" customHeight="1">
      <x:c r="A879" s="2" t="str">
        <x:v>M0872</x:v>
      </x:c>
      <x:c r="B879" s="2" t="str">
        <x:v>RC03</x:v>
      </x:c>
      <x:c r="C879" s="2" t="str">
        <x:v>T3</x:v>
      </x:c>
      <x:c r="D879" s="2" t="str">
        <x:v>L11</x:v>
      </x:c>
      <x:c r="E879" s="2" t="str">
        <x:v>Floor slab gross</x:v>
      </x:c>
      <x:c r="F879" s="21" t="n">
        <x:v>1</x:v>
      </x:c>
      <x:c r="G879" s="21" t="n">
        <x:f>'Controls'!$B$10</x:f>
        <x:v>30</x:v>
      </x:c>
      <x:c r="H879" s="21" t="n">
        <x:f>'Controls'!$B$11</x:f>
        <x:v>24</x:v>
      </x:c>
      <x:c r="I879" s="21" t="n">
        <x:f>'Controls'!$B$13</x:f>
        <x:v>0.22</x:v>
      </x:c>
      <x:c r="J879" s="21" t="n">
        <x:v>1</x:v>
      </x:c>
      <x:c r="K879" s="21" t="n">
        <x:f>F879*G879*H879*I879*J879</x:f>
        <x:v>158.4</x:v>
      </x:c>
      <x:c r="L879" s="2" t="str">
        <x:v>Slab includes beam top flange; downstand separate</x:v>
      </x:c>
      <x:c r="M879" s="2"/>
      <x:c r="N879" s="2"/>
      <x:c r="O879" s="2"/>
      <x:c r="P879" s="2"/>
      <x:c r="Q879" s="2"/>
    </x:row>
    <x:row r="880" ht="22" customHeight="1">
      <x:c r="A880" s="7" t="str">
        <x:v>M0873</x:v>
      </x:c>
      <x:c r="B880" s="7" t="str">
        <x:v>RC03</x:v>
      </x:c>
      <x:c r="C880" s="7" t="str">
        <x:v>T3</x:v>
      </x:c>
      <x:c r="D880" s="7" t="str">
        <x:v>L11</x:v>
      </x:c>
      <x:c r="E880" s="7" t="str">
        <x:v>Stair opening deduction</x:v>
      </x:c>
      <x:c r="F880" s="20" t="n">
        <x:v>1</x:v>
      </x:c>
      <x:c r="G880" s="20" t="n">
        <x:f>'Controls'!$B$20</x:f>
        <x:v>4</x:v>
      </x:c>
      <x:c r="H880" s="20" t="n">
        <x:f>'Controls'!$B$21</x:f>
        <x:v>6</x:v>
      </x:c>
      <x:c r="I880" s="20" t="n">
        <x:f>'Controls'!$B$13</x:f>
        <x:v>0.22</x:v>
      </x:c>
      <x:c r="J880" s="20" t="n">
        <x:v>-1</x:v>
      </x:c>
      <x:c r="K880" s="20" t="n">
        <x:f>F880*G880*H880*I880*J880</x:f>
        <x:v>-5.28</x:v>
      </x:c>
      <x:c r="L880" s="7" t="str">
        <x:v>Opening OP-01</x:v>
      </x:c>
      <x:c r="M880" s="2"/>
      <x:c r="N880" s="2"/>
      <x:c r="O880" s="2"/>
      <x:c r="P880" s="2"/>
      <x:c r="Q880" s="2"/>
    </x:row>
    <x:row r="881" ht="22" customHeight="1">
      <x:c r="A881" s="2" t="str">
        <x:v>M0874</x:v>
      </x:c>
      <x:c r="B881" s="2" t="str">
        <x:v>RC04</x:v>
      </x:c>
      <x:c r="C881" s="2" t="str">
        <x:v>T3</x:v>
      </x:c>
      <x:c r="D881" s="2" t="str">
        <x:v>L11</x:v>
      </x:c>
      <x:c r="E881" s="2" t="str">
        <x:v>Beam downstands X</x:v>
      </x:c>
      <x:c r="F881" s="21" t="n">
        <x:v>1</x:v>
      </x:c>
      <x:c r="G881" s="21" t="n">
        <x:f>5*5*('Controls'!$B$10/5-'Controls'!$B$14)</x:f>
        <x:v>137.5</x:v>
      </x:c>
      <x:c r="H881" s="21" t="n">
        <x:f>'Controls'!$B$16</x:f>
        <x:v>0.3</x:v>
      </x:c>
      <x:c r="I881" s="21" t="n">
        <x:f>'Controls'!$B$17-'Controls'!$B$13</x:f>
        <x:v>0.38</x:v>
      </x:c>
      <x:c r="J881" s="21" t="n">
        <x:v>1</x:v>
      </x:c>
      <x:c r="K881" s="21" t="n">
        <x:f>F881*G881*H881*I881*J881</x:f>
        <x:v>15.675</x:v>
      </x:c>
      <x:c r="L881" s="2" t="str">
        <x:v>Clear spans between column faces; no joint overlap</x:v>
      </x:c>
      <x:c r="M881" s="2"/>
      <x:c r="N881" s="2"/>
      <x:c r="O881" s="2"/>
      <x:c r="P881" s="2"/>
      <x:c r="Q881" s="2"/>
    </x:row>
    <x:row r="882" ht="22" customHeight="1">
      <x:c r="A882" s="7" t="str">
        <x:v>M0875</x:v>
      </x:c>
      <x:c r="B882" s="7" t="str">
        <x:v>FW02</x:v>
      </x:c>
      <x:c r="C882" s="7" t="str">
        <x:v>T3</x:v>
      </x:c>
      <x:c r="D882" s="7" t="str">
        <x:v>L11</x:v>
      </x:c>
      <x:c r="E882" s="7" t="str">
        <x:v>Beam forms X</x:v>
      </x:c>
      <x:c r="F882" s="20" t="n">
        <x:v>1</x:v>
      </x:c>
      <x:c r="G882" s="20" t="n">
        <x:f>5*5*('Controls'!$B$10/5-'Controls'!$B$14)</x:f>
        <x:v>137.5</x:v>
      </x:c>
      <x:c r="H882" s="20" t="n">
        <x:f>'Controls'!$B$16+2*('Controls'!$B$17-'Controls'!$B$13)</x:f>
        <x:v>1.06</x:v>
      </x:c>
      <x:c r="I882" s="20" t="n">
        <x:v>1</x:v>
      </x:c>
      <x:c r="J882" s="20" t="n">
        <x:v>1</x:v>
      </x:c>
      <x:c r="K882" s="20" t="n">
        <x:f>F882*G882*H882*I882*J882</x:f>
        <x:v>145.75</x:v>
      </x:c>
      <x:c r="L882" s="7" t="str">
        <x:v>Soffit plus two downstand sides</x:v>
      </x:c>
      <x:c r="M882" s="2"/>
      <x:c r="N882" s="2"/>
      <x:c r="O882" s="2"/>
      <x:c r="P882" s="2"/>
      <x:c r="Q882" s="2"/>
    </x:row>
    <x:row r="883" ht="22" customHeight="1">
      <x:c r="A883" s="2" t="str">
        <x:v>M0876</x:v>
      </x:c>
      <x:c r="B883" s="2" t="str">
        <x:v>RC04</x:v>
      </x:c>
      <x:c r="C883" s="2" t="str">
        <x:v>T3</x:v>
      </x:c>
      <x:c r="D883" s="2" t="str">
        <x:v>L11</x:v>
      </x:c>
      <x:c r="E883" s="2" t="str">
        <x:v>Beam downstands Y</x:v>
      </x:c>
      <x:c r="F883" s="21" t="n">
        <x:v>1</x:v>
      </x:c>
      <x:c r="G883" s="21" t="n">
        <x:f>6*4*('Controls'!$B$11/4-'Controls'!$B$15)</x:f>
        <x:v>132</x:v>
      </x:c>
      <x:c r="H883" s="21" t="n">
        <x:f>'Controls'!$B$16</x:f>
        <x:v>0.3</x:v>
      </x:c>
      <x:c r="I883" s="21" t="n">
        <x:f>'Controls'!$B$17-'Controls'!$B$13</x:f>
        <x:v>0.38</x:v>
      </x:c>
      <x:c r="J883" s="21" t="n">
        <x:v>1</x:v>
      </x:c>
      <x:c r="K883" s="21" t="n">
        <x:f>F883*G883*H883*I883*J883</x:f>
        <x:v>15.048</x:v>
      </x:c>
      <x:c r="L883" s="2" t="str">
        <x:v>Clear spans between column faces; no joint overlap</x:v>
      </x:c>
      <x:c r="M883" s="2"/>
      <x:c r="N883" s="2"/>
      <x:c r="O883" s="2"/>
      <x:c r="P883" s="2"/>
      <x:c r="Q883" s="2"/>
    </x:row>
    <x:row r="884" ht="22" customHeight="1">
      <x:c r="A884" s="7" t="str">
        <x:v>M0877</x:v>
      </x:c>
      <x:c r="B884" s="7" t="str">
        <x:v>FW02</x:v>
      </x:c>
      <x:c r="C884" s="7" t="str">
        <x:v>T3</x:v>
      </x:c>
      <x:c r="D884" s="7" t="str">
        <x:v>L11</x:v>
      </x:c>
      <x:c r="E884" s="7" t="str">
        <x:v>Beam forms Y</x:v>
      </x:c>
      <x:c r="F884" s="20" t="n">
        <x:v>1</x:v>
      </x:c>
      <x:c r="G884" s="20" t="n">
        <x:f>6*4*('Controls'!$B$11/4-'Controls'!$B$15)</x:f>
        <x:v>132</x:v>
      </x:c>
      <x:c r="H884" s="20" t="n">
        <x:f>'Controls'!$B$16+2*('Controls'!$B$17-'Controls'!$B$13)</x:f>
        <x:v>1.06</x:v>
      </x:c>
      <x:c r="I884" s="20" t="n">
        <x:v>1</x:v>
      </x:c>
      <x:c r="J884" s="20" t="n">
        <x:v>1</x:v>
      </x:c>
      <x:c r="K884" s="20" t="n">
        <x:f>F884*G884*H884*I884*J884</x:f>
        <x:v>139.92000000000002</x:v>
      </x:c>
      <x:c r="L884" s="7" t="str">
        <x:v>Soffit plus two downstand sides</x:v>
      </x:c>
      <x:c r="M884" s="2"/>
      <x:c r="N884" s="2"/>
      <x:c r="O884" s="2"/>
      <x:c r="P884" s="2"/>
      <x:c r="Q884" s="2"/>
    </x:row>
    <x:row r="885" ht="22" customHeight="1">
      <x:c r="A885" s="2" t="str">
        <x:v>M0878</x:v>
      </x:c>
      <x:c r="B885" s="2" t="str">
        <x:v>RC05</x:v>
      </x:c>
      <x:c r="C885" s="2" t="str">
        <x:v>T3</x:v>
      </x:c>
      <x:c r="D885" s="2" t="str">
        <x:v>L11</x:v>
      </x:c>
      <x:c r="E885" s="2" t="str">
        <x:v>Thirty columns, clear storey</x:v>
      </x:c>
      <x:c r="F885" s="21" t="n">
        <x:v>30</x:v>
      </x:c>
      <x:c r="G885" s="21" t="n">
        <x:f>'Controls'!$B$14</x:f>
        <x:v>0.5</x:v>
      </x:c>
      <x:c r="H885" s="21" t="n">
        <x:f>'Controls'!$B$15</x:f>
        <x:v>0.5</x:v>
      </x:c>
      <x:c r="I885" s="21" t="n">
        <x:f>'Controls'!$B$12-'Controls'!$B$13</x:f>
        <x:v>2.98</x:v>
      </x:c>
      <x:c r="J885" s="21" t="n">
        <x:v>1</x:v>
      </x:c>
      <x:c r="K885" s="21" t="n">
        <x:f>F885*G885*H885*I885*J885</x:f>
        <x:v>22.35</x:v>
      </x:c>
      <x:c r="L885" s="2" t="str">
        <x:v>Slab volume excluded from columns</x:v>
      </x:c>
      <x:c r="M885" s="2"/>
      <x:c r="N885" s="2"/>
      <x:c r="O885" s="2"/>
      <x:c r="P885" s="2"/>
      <x:c r="Q885" s="2"/>
    </x:row>
    <x:row r="886" ht="22" customHeight="1">
      <x:c r="A886" s="7" t="str">
        <x:v>M0879</x:v>
      </x:c>
      <x:c r="B886" s="7" t="str">
        <x:v>RC06</x:v>
      </x:c>
      <x:c r="C886" s="7" t="str">
        <x:v>T3</x:v>
      </x:c>
      <x:c r="D886" s="7" t="str">
        <x:v>L11</x:v>
      </x:c>
      <x:c r="E886" s="7" t="str">
        <x:v>Core walls clear storey</x:v>
      </x:c>
      <x:c r="F886" s="20" t="n">
        <x:v>1</x:v>
      </x:c>
      <x:c r="G886" s="20" t="n">
        <x:f>'Controls'!$B$19</x:f>
        <x:v>24</x:v>
      </x:c>
      <x:c r="H886" s="20" t="n">
        <x:f>'Controls'!$B$18</x:f>
        <x:v>0.25</x:v>
      </x:c>
      <x:c r="I886" s="20" t="n">
        <x:f>'Controls'!$B$12-'Controls'!$B$13</x:f>
        <x:v>2.98</x:v>
      </x:c>
      <x:c r="J886" s="20" t="n">
        <x:v>1</x:v>
      </x:c>
      <x:c r="K886" s="20" t="n">
        <x:f>F886*G886*H886*I886*J886</x:f>
        <x:v>17.88</x:v>
      </x:c>
      <x:c r="L886" s="7" t="str">
        <x:v>Net clear wall length excludes corners</x:v>
      </x:c>
      <x:c r="M886" s="2"/>
      <x:c r="N886" s="2"/>
      <x:c r="O886" s="2"/>
      <x:c r="P886" s="2"/>
      <x:c r="Q886" s="2"/>
    </x:row>
    <x:row r="887" ht="22" customHeight="1">
      <x:c r="A887" s="2" t="str">
        <x:v>M0880</x:v>
      </x:c>
      <x:c r="B887" s="2" t="str">
        <x:v>RC07</x:v>
      </x:c>
      <x:c r="C887" s="2" t="str">
        <x:v>T3</x:v>
      </x:c>
      <x:c r="D887" s="2" t="str">
        <x:v>L11</x:v>
      </x:c>
      <x:c r="E887" s="2" t="str">
        <x:v>Stair flights waist</x:v>
      </x:c>
      <x:c r="F887" s="21" t="n">
        <x:v>2</x:v>
      </x:c>
      <x:c r="G887" s="21" t="n">
        <x:v>4.1</x:v>
      </x:c>
      <x:c r="H887" s="21" t="n">
        <x:v>1.2</x:v>
      </x:c>
      <x:c r="I887" s="21" t="n">
        <x:v>0.18</x:v>
      </x:c>
      <x:c r="J887" s="21" t="n">
        <x:v>1</x:v>
      </x:c>
      <x:c r="K887" s="21" t="n">
        <x:f>F887*G887*H887*I887*J887</x:f>
        <x:v>1.7711999999999997</x:v>
      </x:c>
      <x:c r="L887" s="2" t="str">
        <x:v>Two flights; geometry separate from floor slab</x:v>
      </x:c>
      <x:c r="M887" s="2"/>
      <x:c r="N887" s="2"/>
      <x:c r="O887" s="2"/>
      <x:c r="P887" s="2"/>
      <x:c r="Q887" s="2"/>
    </x:row>
    <x:row r="888" ht="22" customHeight="1">
      <x:c r="A888" s="7" t="str">
        <x:v>M0881</x:v>
      </x:c>
      <x:c r="B888" s="7" t="str">
        <x:v>RC07</x:v>
      </x:c>
      <x:c r="C888" s="7" t="str">
        <x:v>T3</x:v>
      </x:c>
      <x:c r="D888" s="7" t="str">
        <x:v>L11</x:v>
      </x:c>
      <x:c r="E888" s="7" t="str">
        <x:v>Stair landings</x:v>
      </x:c>
      <x:c r="F888" s="20" t="n">
        <x:v>2</x:v>
      </x:c>
      <x:c r="G888" s="20" t="n">
        <x:v>2</x:v>
      </x:c>
      <x:c r="H888" s="20" t="n">
        <x:v>1.2</x:v>
      </x:c>
      <x:c r="I888" s="20" t="n">
        <x:v>0.18</x:v>
      </x:c>
      <x:c r="J888" s="20" t="n">
        <x:v>1</x:v>
      </x:c>
      <x:c r="K888" s="20" t="n">
        <x:f>F888*G888*H888*I888*J888</x:f>
        <x:v>0.864</x:v>
      </x:c>
      <x:c r="L888" s="7" t="str">
        <x:v>Within stair opening</x:v>
      </x:c>
      <x:c r="M888" s="2"/>
      <x:c r="N888" s="2"/>
      <x:c r="O888" s="2"/>
      <x:c r="P888" s="2"/>
      <x:c r="Q888" s="2"/>
    </x:row>
    <x:row r="889" ht="22" customHeight="1">
      <x:c r="A889" s="2" t="str">
        <x:v>M0882</x:v>
      </x:c>
      <x:c r="B889" s="2" t="str">
        <x:v>FW01</x:v>
      </x:c>
      <x:c r="C889" s="2" t="str">
        <x:v>T3</x:v>
      </x:c>
      <x:c r="D889" s="2" t="str">
        <x:v>L11</x:v>
      </x:c>
      <x:c r="E889" s="2" t="str">
        <x:v>Slab soffit gross</x:v>
      </x:c>
      <x:c r="F889" s="21" t="n">
        <x:v>1</x:v>
      </x:c>
      <x:c r="G889" s="21" t="n">
        <x:f>'Controls'!$B$10</x:f>
        <x:v>30</x:v>
      </x:c>
      <x:c r="H889" s="21" t="n">
        <x:f>'Controls'!$B$11</x:f>
        <x:v>24</x:v>
      </x:c>
      <x:c r="I889" s="21" t="n">
        <x:v>1</x:v>
      </x:c>
      <x:c r="J889" s="21" t="n">
        <x:v>1</x:v>
      </x:c>
      <x:c r="K889" s="21" t="n">
        <x:f>F889*G889*H889*I889*J889</x:f>
        <x:v>720</x:v>
      </x:c>
      <x:c r="L889" s="2" t="str">
        <x:v>Beam soffit deducted below</x:v>
      </x:c>
      <x:c r="M889" s="2"/>
      <x:c r="N889" s="2"/>
      <x:c r="O889" s="2"/>
      <x:c r="P889" s="2"/>
      <x:c r="Q889" s="2"/>
    </x:row>
    <x:row r="890" ht="22" customHeight="1">
      <x:c r="A890" s="7" t="str">
        <x:v>M0883</x:v>
      </x:c>
      <x:c r="B890" s="7" t="str">
        <x:v>FW01</x:v>
      </x:c>
      <x:c r="C890" s="7" t="str">
        <x:v>T3</x:v>
      </x:c>
      <x:c r="D890" s="7" t="str">
        <x:v>L11</x:v>
      </x:c>
      <x:c r="E890" s="7" t="str">
        <x:v>Stair opening deduction</x:v>
      </x:c>
      <x:c r="F890" s="20" t="n">
        <x:v>1</x:v>
      </x:c>
      <x:c r="G890" s="20" t="n">
        <x:f>'Controls'!$B$20</x:f>
        <x:v>4</x:v>
      </x:c>
      <x:c r="H890" s="20" t="n">
        <x:f>'Controls'!$B$21</x:f>
        <x:v>6</x:v>
      </x:c>
      <x:c r="I890" s="20" t="n">
        <x:v>1</x:v>
      </x:c>
      <x:c r="J890" s="20" t="n">
        <x:v>-1</x:v>
      </x:c>
      <x:c r="K890" s="20" t="n">
        <x:f>F890*G890*H890*I890*J890</x:f>
        <x:v>-24</x:v>
      </x:c>
      <x:c r="L890" s="7" t="str">
        <x:v>OP-01</x:v>
      </x:c>
      <x:c r="M890" s="2"/>
      <x:c r="N890" s="2"/>
      <x:c r="O890" s="2"/>
      <x:c r="P890" s="2"/>
      <x:c r="Q890" s="2"/>
    </x:row>
    <x:row r="891" ht="22" customHeight="1">
      <x:c r="A891" s="2" t="str">
        <x:v>M0884</x:v>
      </x:c>
      <x:c r="B891" s="2" t="str">
        <x:v>FW01</x:v>
      </x:c>
      <x:c r="C891" s="2" t="str">
        <x:v>T3</x:v>
      </x:c>
      <x:c r="D891" s="2" t="str">
        <x:v>L11</x:v>
      </x:c>
      <x:c r="E891" s="2" t="str">
        <x:v>Beam soffit deduction</x:v>
      </x:c>
      <x:c r="F891" s="21" t="n">
        <x:v>1</x:v>
      </x:c>
      <x:c r="G891" s="21" t="n">
        <x:f>5*5*('Controls'!$B$10/5-'Controls'!$B$14)+6*4*('Controls'!$B$11/4-'Controls'!$B$15)</x:f>
        <x:v>269.5</x:v>
      </x:c>
      <x:c r="H891" s="21" t="n">
        <x:f>'Controls'!$B$16</x:f>
        <x:v>0.3</x:v>
      </x:c>
      <x:c r="I891" s="21" t="n">
        <x:v>1</x:v>
      </x:c>
      <x:c r="J891" s="21" t="n">
        <x:v>-1</x:v>
      </x:c>
      <x:c r="K891" s="21" t="n">
        <x:f>F891*G891*H891*I891*J891</x:f>
        <x:v>-80.85</x:v>
      </x:c>
      <x:c r="L891" s="2" t="str">
        <x:v>Beam forms measured in FW02</x:v>
      </x:c>
      <x:c r="M891" s="2"/>
      <x:c r="N891" s="2"/>
      <x:c r="O891" s="2"/>
      <x:c r="P891" s="2"/>
      <x:c r="Q891" s="2"/>
    </x:row>
    <x:row r="892" ht="22" customHeight="1">
      <x:c r="A892" s="7" t="str">
        <x:v>M0885</x:v>
      </x:c>
      <x:c r="B892" s="7" t="str">
        <x:v>FW03</x:v>
      </x:c>
      <x:c r="C892" s="7" t="str">
        <x:v>T3</x:v>
      </x:c>
      <x:c r="D892" s="7" t="str">
        <x:v>L11</x:v>
      </x:c>
      <x:c r="E892" s="7" t="str">
        <x:v>Column four faces</x:v>
      </x:c>
      <x:c r="F892" s="20" t="n">
        <x:v>30</x:v>
      </x:c>
      <x:c r="G892" s="20" t="n">
        <x:f>2*('Controls'!$B$14+'Controls'!$B$15)</x:f>
        <x:v>2</x:v>
      </x:c>
      <x:c r="H892" s="20" t="n">
        <x:f>'Controls'!$B$12-'Controls'!$B$13</x:f>
        <x:v>2.98</x:v>
      </x:c>
      <x:c r="I892" s="20" t="n">
        <x:v>1</x:v>
      </x:c>
      <x:c r="J892" s="20" t="n">
        <x:v>1</x:v>
      </x:c>
      <x:c r="K892" s="20" t="n">
        <x:f>F892*G892*H892*I892*J892</x:f>
        <x:v>178.8</x:v>
      </x:c>
      <x:c r="L892" s="7" t="str">
        <x:v>Clear floor-to-soffit</x:v>
      </x:c>
      <x:c r="M892" s="2"/>
      <x:c r="N892" s="2"/>
      <x:c r="O892" s="2"/>
      <x:c r="P892" s="2"/>
      <x:c r="Q892" s="2"/>
    </x:row>
    <x:row r="893" ht="22" customHeight="1">
      <x:c r="A893" s="2" t="str">
        <x:v>M0886</x:v>
      </x:c>
      <x:c r="B893" s="2" t="str">
        <x:v>FW04</x:v>
      </x:c>
      <x:c r="C893" s="2" t="str">
        <x:v>T3</x:v>
      </x:c>
      <x:c r="D893" s="2" t="str">
        <x:v>L11</x:v>
      </x:c>
      <x:c r="E893" s="2" t="str">
        <x:v>Core wall two faces</x:v>
      </x:c>
      <x:c r="F893" s="21" t="n">
        <x:v>2</x:v>
      </x:c>
      <x:c r="G893" s="21" t="n">
        <x:f>'Controls'!$B$19</x:f>
        <x:v>24</x:v>
      </x:c>
      <x:c r="H893" s="21" t="n">
        <x:f>'Controls'!$B$12-'Controls'!$B$13</x:f>
        <x:v>2.98</x:v>
      </x:c>
      <x:c r="I893" s="21" t="n">
        <x:v>1</x:v>
      </x:c>
      <x:c r="J893" s="21" t="n">
        <x:v>1</x:v>
      </x:c>
      <x:c r="K893" s="21" t="n">
        <x:f>F893*G893*H893*I893*J893</x:f>
        <x:v>143.04</x:v>
      </x:c>
      <x:c r="L893" s="2" t="str">
        <x:v>Net perimeter, no repeated corners</x:v>
      </x:c>
      <x:c r="M893" s="2"/>
      <x:c r="N893" s="2"/>
      <x:c r="O893" s="2"/>
      <x:c r="P893" s="2"/>
      <x:c r="Q893" s="2"/>
    </x:row>
    <x:row r="894" ht="22" customHeight="1">
      <x:c r="A894" s="7" t="str">
        <x:v>M0887</x:v>
      </x:c>
      <x:c r="B894" s="7" t="str">
        <x:v>AR01</x:v>
      </x:c>
      <x:c r="C894" s="7" t="str">
        <x:v>T3</x:v>
      </x:c>
      <x:c r="D894" s="7" t="str">
        <x:v>L11</x:v>
      </x:c>
      <x:c r="E894" s="7" t="str">
        <x:v>Partition walls gross</x:v>
      </x:c>
      <x:c r="F894" s="20" t="n">
        <x:v>1</x:v>
      </x:c>
      <x:c r="G894" s="20" t="n">
        <x:f>'Controls'!$B$45</x:f>
        <x:v>220</x:v>
      </x:c>
      <x:c r="H894" s="20" t="n">
        <x:f>'Controls'!$B$12-'Controls'!$B$13</x:f>
        <x:v>2.98</x:v>
      </x:c>
      <x:c r="I894" s="20" t="n">
        <x:f>'Controls'!$B$46</x:f>
        <x:v>0.15</x:v>
      </x:c>
      <x:c r="J894" s="20" t="n">
        <x:v>1</x:v>
      </x:c>
      <x:c r="K894" s="20" t="n">
        <x:f>F894*G894*H894*I894*J894</x:f>
        <x:v>98.34</x:v>
      </x:c>
      <x:c r="L894" s="7" t="str">
        <x:v>Net openings deducted below</x:v>
      </x:c>
      <x:c r="M894" s="2"/>
      <x:c r="N894" s="2"/>
      <x:c r="O894" s="2"/>
      <x:c r="P894" s="2"/>
      <x:c r="Q894" s="2"/>
    </x:row>
    <x:row r="895" ht="22" customHeight="1">
      <x:c r="A895" s="2" t="str">
        <x:v>M0888</x:v>
      </x:c>
      <x:c r="B895" s="2" t="str">
        <x:v>AR01</x:v>
      </x:c>
      <x:c r="C895" s="2" t="str">
        <x:v>T3</x:v>
      </x:c>
      <x:c r="D895" s="2" t="str">
        <x:v>L11</x:v>
      </x:c>
      <x:c r="E895" s="2" t="str">
        <x:v>Internal doors deduction</x:v>
      </x:c>
      <x:c r="F895" s="21" t="n">
        <x:f>'Controls'!$B$48</x:f>
        <x:v>28</x:v>
      </x:c>
      <x:c r="G895" s="21" t="n">
        <x:f>'Controls'!$B$49</x:f>
        <x:v>0.9</x:v>
      </x:c>
      <x:c r="H895" s="21" t="n">
        <x:f>'Controls'!$B$50</x:f>
        <x:v>2.1</x:v>
      </x:c>
      <x:c r="I895" s="21" t="n">
        <x:f>'Controls'!$B$46</x:f>
        <x:v>0.15</x:v>
      </x:c>
      <x:c r="J895" s="21" t="n">
        <x:v>-1</x:v>
      </x:c>
      <x:c r="K895" s="21" t="n">
        <x:f>F895*G895*H895*I895*J895</x:f>
        <x:v>-7.938</x:v>
      </x:c>
      <x:c r="L895" s="2" t="str">
        <x:v>28 doors per floor, OP-02</x:v>
      </x:c>
      <x:c r="M895" s="2"/>
      <x:c r="N895" s="2"/>
      <x:c r="O895" s="2"/>
      <x:c r="P895" s="2"/>
      <x:c r="Q895" s="2"/>
    </x:row>
    <x:row r="896" ht="22" customHeight="1">
      <x:c r="A896" s="7" t="str">
        <x:v>M0889</x:v>
      </x:c>
      <x:c r="B896" s="7" t="str">
        <x:v>AR02</x:v>
      </x:c>
      <x:c r="C896" s="7" t="str">
        <x:v>T3</x:v>
      </x:c>
      <x:c r="D896" s="7" t="str">
        <x:v>L11</x:v>
      </x:c>
      <x:c r="E896" s="7" t="str">
        <x:v>Internal plaster gross</x:v>
      </x:c>
      <x:c r="F896" s="20" t="n">
        <x:v>2</x:v>
      </x:c>
      <x:c r="G896" s="20" t="n">
        <x:f>'Controls'!$B$45</x:f>
        <x:v>220</x:v>
      </x:c>
      <x:c r="H896" s="20" t="n">
        <x:f>'Controls'!$B$12-'Controls'!$B$13</x:f>
        <x:v>2.98</x:v>
      </x:c>
      <x:c r="I896" s="20" t="n">
        <x:v>1</x:v>
      </x:c>
      <x:c r="J896" s="20" t="n">
        <x:v>1</x:v>
      </x:c>
      <x:c r="K896" s="20" t="n">
        <x:f>F896*G896*H896*I896*J896</x:f>
        <x:v>1311.2</x:v>
      </x:c>
      <x:c r="L896" s="7" t="str">
        <x:v>Both faces of partition walls</x:v>
      </x:c>
      <x:c r="M896" s="2"/>
      <x:c r="N896" s="2"/>
      <x:c r="O896" s="2"/>
      <x:c r="P896" s="2"/>
      <x:c r="Q896" s="2"/>
    </x:row>
    <x:row r="897" ht="22" customHeight="1">
      <x:c r="A897" s="2" t="str">
        <x:v>M0890</x:v>
      </x:c>
      <x:c r="B897" s="2" t="str">
        <x:v>AR02</x:v>
      </x:c>
      <x:c r="C897" s="2" t="str">
        <x:v>T3</x:v>
      </x:c>
      <x:c r="D897" s="2" t="str">
        <x:v>L11</x:v>
      </x:c>
      <x:c r="E897" s="2" t="str">
        <x:v>Door area deduction both faces</x:v>
      </x:c>
      <x:c r="F897" s="21" t="n">
        <x:f>2*'Controls'!$B$48</x:f>
        <x:v>56</x:v>
      </x:c>
      <x:c r="G897" s="21" t="n">
        <x:f>'Controls'!$B$49</x:f>
        <x:v>0.9</x:v>
      </x:c>
      <x:c r="H897" s="21" t="n">
        <x:f>'Controls'!$B$50</x:f>
        <x:v>2.1</x:v>
      </x:c>
      <x:c r="I897" s="21" t="n">
        <x:v>1</x:v>
      </x:c>
      <x:c r="J897" s="21" t="n">
        <x:v>-1</x:v>
      </x:c>
      <x:c r="K897" s="21" t="n">
        <x:f>F897*G897*H897*I897*J897</x:f>
        <x:v>-105.84</x:v>
      </x:c>
      <x:c r="L897" s="2" t="str">
        <x:v>No plaster over openings</x:v>
      </x:c>
      <x:c r="M897" s="2"/>
      <x:c r="N897" s="2"/>
      <x:c r="O897" s="2"/>
      <x:c r="P897" s="2"/>
      <x:c r="Q897" s="2"/>
    </x:row>
    <x:row r="898" ht="22" customHeight="1">
      <x:c r="A898" s="7" t="str">
        <x:v>M0891</x:v>
      </x:c>
      <x:c r="B898" s="7" t="str">
        <x:v>AR03</x:v>
      </x:c>
      <x:c r="C898" s="7" t="str">
        <x:v>T3</x:v>
      </x:c>
      <x:c r="D898" s="7" t="str">
        <x:v>L11</x:v>
      </x:c>
      <x:c r="E898" s="7" t="str">
        <x:v>Floor screed net</x:v>
      </x:c>
      <x:c r="F898" s="20" t="n">
        <x:v>1</x:v>
      </x:c>
      <x:c r="G898" s="20" t="n">
        <x:f>'Controls'!$B$10*'Controls'!$B$11-'Controls'!$B$20*'Controls'!$B$21</x:f>
        <x:v>696</x:v>
      </x:c>
      <x:c r="H898" s="20" t="n">
        <x:v>1</x:v>
      </x:c>
      <x:c r="I898" s="20" t="n">
        <x:v>1</x:v>
      </x:c>
      <x:c r="J898" s="20" t="n">
        <x:v>1</x:v>
      </x:c>
      <x:c r="K898" s="20" t="n">
        <x:f>F898*G898*H898*I898*J898</x:f>
        <x:v>696</x:v>
      </x:c>
      <x:c r="L898" s="7" t="str">
        <x:v>Net structural floor area</x:v>
      </x:c>
      <x:c r="M898" s="2"/>
      <x:c r="N898" s="2"/>
      <x:c r="O898" s="2"/>
      <x:c r="P898" s="2"/>
      <x:c r="Q898" s="2"/>
    </x:row>
    <x:row r="899" ht="22" customHeight="1">
      <x:c r="A899" s="2" t="str">
        <x:v>M0892</x:v>
      </x:c>
      <x:c r="B899" s="2" t="str">
        <x:v>AR04</x:v>
      </x:c>
      <x:c r="C899" s="2" t="str">
        <x:v>T3</x:v>
      </x:c>
      <x:c r="D899" s="2" t="str">
        <x:v>L11</x:v>
      </x:c>
      <x:c r="E899" s="2" t="str">
        <x:v>Floor finish net</x:v>
      </x:c>
      <x:c r="F899" s="21" t="n">
        <x:v>1</x:v>
      </x:c>
      <x:c r="G899" s="21" t="n">
        <x:f>'Controls'!$B$10*'Controls'!$B$11-'Controls'!$B$20*'Controls'!$B$21</x:f>
        <x:v>696</x:v>
      </x:c>
      <x:c r="H899" s="21" t="n">
        <x:v>1</x:v>
      </x:c>
      <x:c r="I899" s="21" t="n">
        <x:v>1</x:v>
      </x:c>
      <x:c r="J899" s="21" t="n">
        <x:v>1</x:v>
      </x:c>
      <x:c r="K899" s="21" t="n">
        <x:f>F899*G899*H899*I899*J899</x:f>
        <x:v>696</x:v>
      </x:c>
      <x:c r="L899" s="2" t="str">
        <x:v>Waste excluded from BOQ</x:v>
      </x:c>
      <x:c r="M899" s="2"/>
      <x:c r="N899" s="2"/>
      <x:c r="O899" s="2"/>
      <x:c r="P899" s="2"/>
      <x:c r="Q899" s="2"/>
    </x:row>
    <x:row r="900" ht="22" customHeight="1">
      <x:c r="A900" s="7" t="str">
        <x:v>M0893</x:v>
      </x:c>
      <x:c r="B900" s="7" t="str">
        <x:v>AR05</x:v>
      </x:c>
      <x:c r="C900" s="7" t="str">
        <x:v>T3</x:v>
      </x:c>
      <x:c r="D900" s="7" t="str">
        <x:v>L11</x:v>
      </x:c>
      <x:c r="E900" s="7" t="str">
        <x:v>Internal wall paint net</x:v>
      </x:c>
      <x:c r="F900" s="20" t="n">
        <x:v>2</x:v>
      </x:c>
      <x:c r="G900" s="20" t="n">
        <x:f>'Controls'!$B$45*('Controls'!$B$12-'Controls'!$B$13)-'Controls'!$B$48*'Controls'!$B$49*'Controls'!$B$50</x:f>
        <x:v>602.6800000000001</x:v>
      </x:c>
      <x:c r="H900" s="20" t="n">
        <x:v>1</x:v>
      </x:c>
      <x:c r="I900" s="20" t="n">
        <x:v>1</x:v>
      </x:c>
      <x:c r="J900" s="20" t="n">
        <x:v>1</x:v>
      </x:c>
      <x:c r="K900" s="20" t="n">
        <x:f>F900*G900*H900*I900*J900</x:f>
        <x:v>1205.3600000000001</x:v>
      </x:c>
      <x:c r="L900" s="7" t="str">
        <x:v>Finished area; two coats priced in rate</x:v>
      </x:c>
      <x:c r="M900" s="2"/>
      <x:c r="N900" s="2"/>
      <x:c r="O900" s="2"/>
      <x:c r="P900" s="2"/>
      <x:c r="Q900" s="2"/>
    </x:row>
    <x:row r="901" ht="22" customHeight="1">
      <x:c r="A901" s="2" t="str">
        <x:v>M0894</x:v>
      </x:c>
      <x:c r="B901" s="2" t="str">
        <x:v>AR06</x:v>
      </x:c>
      <x:c r="C901" s="2" t="str">
        <x:v>T3</x:v>
      </x:c>
      <x:c r="D901" s="2" t="str">
        <x:v>L11</x:v>
      </x:c>
      <x:c r="E901" s="2" t="str">
        <x:v>Door sets</x:v>
      </x:c>
      <x:c r="F901" s="21" t="n">
        <x:f>'Controls'!$B$48</x:f>
        <x:v>28</x:v>
      </x:c>
      <x:c r="G901" s="21" t="n">
        <x:v>1</x:v>
      </x:c>
      <x:c r="H901" s="21" t="n">
        <x:v>1</x:v>
      </x:c>
      <x:c r="I901" s="21" t="n">
        <x:v>1</x:v>
      </x:c>
      <x:c r="J901" s="21" t="n">
        <x:v>1</x:v>
      </x:c>
      <x:c r="K901" s="21" t="n">
        <x:f>F901*G901*H901*I901*J901</x:f>
        <x:v>28</x:v>
      </x:c>
      <x:c r="L901" s="2" t="str">
        <x:v>Door count, not double face</x:v>
      </x:c>
      <x:c r="M901" s="2"/>
      <x:c r="N901" s="2"/>
      <x:c r="O901" s="2"/>
      <x:c r="P901" s="2"/>
      <x:c r="Q901" s="2"/>
    </x:row>
    <x:row r="902" ht="22" customHeight="1">
      <x:c r="A902" s="7" t="str">
        <x:v>M0895</x:v>
      </x:c>
      <x:c r="B902" s="7" t="str">
        <x:v>RC03</x:v>
      </x:c>
      <x:c r="C902" s="7" t="str">
        <x:v>T3</x:v>
      </x:c>
      <x:c r="D902" s="7" t="str">
        <x:v>L12</x:v>
      </x:c>
      <x:c r="E902" s="7" t="str">
        <x:v>Floor slab gross</x:v>
      </x:c>
      <x:c r="F902" s="20" t="n">
        <x:v>1</x:v>
      </x:c>
      <x:c r="G902" s="20" t="n">
        <x:f>'Controls'!$B$10</x:f>
        <x:v>30</x:v>
      </x:c>
      <x:c r="H902" s="20" t="n">
        <x:f>'Controls'!$B$11</x:f>
        <x:v>24</x:v>
      </x:c>
      <x:c r="I902" s="20" t="n">
        <x:f>'Controls'!$B$13</x:f>
        <x:v>0.22</x:v>
      </x:c>
      <x:c r="J902" s="20" t="n">
        <x:v>1</x:v>
      </x:c>
      <x:c r="K902" s="20" t="n">
        <x:f>F902*G902*H902*I902*J902</x:f>
        <x:v>158.4</x:v>
      </x:c>
      <x:c r="L902" s="7" t="str">
        <x:v>Slab includes beam top flange; downstand separate</x:v>
      </x:c>
      <x:c r="M902" s="2"/>
      <x:c r="N902" s="2"/>
      <x:c r="O902" s="2"/>
      <x:c r="P902" s="2"/>
      <x:c r="Q902" s="2"/>
    </x:row>
    <x:row r="903" ht="22" customHeight="1">
      <x:c r="A903" s="2" t="str">
        <x:v>M0896</x:v>
      </x:c>
      <x:c r="B903" s="2" t="str">
        <x:v>RC03</x:v>
      </x:c>
      <x:c r="C903" s="2" t="str">
        <x:v>T3</x:v>
      </x:c>
      <x:c r="D903" s="2" t="str">
        <x:v>L12</x:v>
      </x:c>
      <x:c r="E903" s="2" t="str">
        <x:v>Stair opening deduction</x:v>
      </x:c>
      <x:c r="F903" s="21" t="n">
        <x:v>1</x:v>
      </x:c>
      <x:c r="G903" s="21" t="n">
        <x:f>'Controls'!$B$20</x:f>
        <x:v>4</x:v>
      </x:c>
      <x:c r="H903" s="21" t="n">
        <x:f>'Controls'!$B$21</x:f>
        <x:v>6</x:v>
      </x:c>
      <x:c r="I903" s="21" t="n">
        <x:f>'Controls'!$B$13</x:f>
        <x:v>0.22</x:v>
      </x:c>
      <x:c r="J903" s="21" t="n">
        <x:v>-1</x:v>
      </x:c>
      <x:c r="K903" s="21" t="n">
        <x:f>F903*G903*H903*I903*J903</x:f>
        <x:v>-5.28</x:v>
      </x:c>
      <x:c r="L903" s="2" t="str">
        <x:v>Opening OP-01</x:v>
      </x:c>
      <x:c r="M903" s="2"/>
      <x:c r="N903" s="2"/>
      <x:c r="O903" s="2"/>
      <x:c r="P903" s="2"/>
      <x:c r="Q903" s="2"/>
    </x:row>
    <x:row r="904" ht="22" customHeight="1">
      <x:c r="A904" s="7" t="str">
        <x:v>M0897</x:v>
      </x:c>
      <x:c r="B904" s="7" t="str">
        <x:v>RC04</x:v>
      </x:c>
      <x:c r="C904" s="7" t="str">
        <x:v>T3</x:v>
      </x:c>
      <x:c r="D904" s="7" t="str">
        <x:v>L12</x:v>
      </x:c>
      <x:c r="E904" s="7" t="str">
        <x:v>Beam downstands X</x:v>
      </x:c>
      <x:c r="F904" s="20" t="n">
        <x:v>1</x:v>
      </x:c>
      <x:c r="G904" s="20" t="n">
        <x:f>5*5*('Controls'!$B$10/5-'Controls'!$B$14)</x:f>
        <x:v>137.5</x:v>
      </x:c>
      <x:c r="H904" s="20" t="n">
        <x:f>'Controls'!$B$16</x:f>
        <x:v>0.3</x:v>
      </x:c>
      <x:c r="I904" s="20" t="n">
        <x:f>'Controls'!$B$17-'Controls'!$B$13</x:f>
        <x:v>0.38</x:v>
      </x:c>
      <x:c r="J904" s="20" t="n">
        <x:v>1</x:v>
      </x:c>
      <x:c r="K904" s="20" t="n">
        <x:f>F904*G904*H904*I904*J904</x:f>
        <x:v>15.675</x:v>
      </x:c>
      <x:c r="L904" s="7" t="str">
        <x:v>Clear spans between column faces; no joint overlap</x:v>
      </x:c>
      <x:c r="M904" s="2"/>
      <x:c r="N904" s="2"/>
      <x:c r="O904" s="2"/>
      <x:c r="P904" s="2"/>
      <x:c r="Q904" s="2"/>
    </x:row>
    <x:row r="905" ht="22" customHeight="1">
      <x:c r="A905" s="2" t="str">
        <x:v>M0898</x:v>
      </x:c>
      <x:c r="B905" s="2" t="str">
        <x:v>FW02</x:v>
      </x:c>
      <x:c r="C905" s="2" t="str">
        <x:v>T3</x:v>
      </x:c>
      <x:c r="D905" s="2" t="str">
        <x:v>L12</x:v>
      </x:c>
      <x:c r="E905" s="2" t="str">
        <x:v>Beam forms X</x:v>
      </x:c>
      <x:c r="F905" s="21" t="n">
        <x:v>1</x:v>
      </x:c>
      <x:c r="G905" s="21" t="n">
        <x:f>5*5*('Controls'!$B$10/5-'Controls'!$B$14)</x:f>
        <x:v>137.5</x:v>
      </x:c>
      <x:c r="H905" s="21" t="n">
        <x:f>'Controls'!$B$16+2*('Controls'!$B$17-'Controls'!$B$13)</x:f>
        <x:v>1.06</x:v>
      </x:c>
      <x:c r="I905" s="21" t="n">
        <x:v>1</x:v>
      </x:c>
      <x:c r="J905" s="21" t="n">
        <x:v>1</x:v>
      </x:c>
      <x:c r="K905" s="21" t="n">
        <x:f>F905*G905*H905*I905*J905</x:f>
        <x:v>145.75</x:v>
      </x:c>
      <x:c r="L905" s="2" t="str">
        <x:v>Soffit plus two downstand sides</x:v>
      </x:c>
      <x:c r="M905" s="2"/>
      <x:c r="N905" s="2"/>
      <x:c r="O905" s="2"/>
      <x:c r="P905" s="2"/>
      <x:c r="Q905" s="2"/>
    </x:row>
    <x:row r="906" ht="22" customHeight="1">
      <x:c r="A906" s="7" t="str">
        <x:v>M0899</x:v>
      </x:c>
      <x:c r="B906" s="7" t="str">
        <x:v>RC04</x:v>
      </x:c>
      <x:c r="C906" s="7" t="str">
        <x:v>T3</x:v>
      </x:c>
      <x:c r="D906" s="7" t="str">
        <x:v>L12</x:v>
      </x:c>
      <x:c r="E906" s="7" t="str">
        <x:v>Beam downstands Y</x:v>
      </x:c>
      <x:c r="F906" s="20" t="n">
        <x:v>1</x:v>
      </x:c>
      <x:c r="G906" s="20" t="n">
        <x:f>6*4*('Controls'!$B$11/4-'Controls'!$B$15)</x:f>
        <x:v>132</x:v>
      </x:c>
      <x:c r="H906" s="20" t="n">
        <x:f>'Controls'!$B$16</x:f>
        <x:v>0.3</x:v>
      </x:c>
      <x:c r="I906" s="20" t="n">
        <x:f>'Controls'!$B$17-'Controls'!$B$13</x:f>
        <x:v>0.38</x:v>
      </x:c>
      <x:c r="J906" s="20" t="n">
        <x:v>1</x:v>
      </x:c>
      <x:c r="K906" s="20" t="n">
        <x:f>F906*G906*H906*I906*J906</x:f>
        <x:v>15.048</x:v>
      </x:c>
      <x:c r="L906" s="7" t="str">
        <x:v>Clear spans between column faces; no joint overlap</x:v>
      </x:c>
      <x:c r="M906" s="2"/>
      <x:c r="N906" s="2"/>
      <x:c r="O906" s="2"/>
      <x:c r="P906" s="2"/>
      <x:c r="Q906" s="2"/>
    </x:row>
    <x:row r="907" ht="22" customHeight="1">
      <x:c r="A907" s="2" t="str">
        <x:v>M0900</x:v>
      </x:c>
      <x:c r="B907" s="2" t="str">
        <x:v>FW02</x:v>
      </x:c>
      <x:c r="C907" s="2" t="str">
        <x:v>T3</x:v>
      </x:c>
      <x:c r="D907" s="2" t="str">
        <x:v>L12</x:v>
      </x:c>
      <x:c r="E907" s="2" t="str">
        <x:v>Beam forms Y</x:v>
      </x:c>
      <x:c r="F907" s="21" t="n">
        <x:v>1</x:v>
      </x:c>
      <x:c r="G907" s="21" t="n">
        <x:f>6*4*('Controls'!$B$11/4-'Controls'!$B$15)</x:f>
        <x:v>132</x:v>
      </x:c>
      <x:c r="H907" s="21" t="n">
        <x:f>'Controls'!$B$16+2*('Controls'!$B$17-'Controls'!$B$13)</x:f>
        <x:v>1.06</x:v>
      </x:c>
      <x:c r="I907" s="21" t="n">
        <x:v>1</x:v>
      </x:c>
      <x:c r="J907" s="21" t="n">
        <x:v>1</x:v>
      </x:c>
      <x:c r="K907" s="21" t="n">
        <x:f>F907*G907*H907*I907*J907</x:f>
        <x:v>139.92000000000002</x:v>
      </x:c>
      <x:c r="L907" s="2" t="str">
        <x:v>Soffit plus two downstand sides</x:v>
      </x:c>
      <x:c r="M907" s="2"/>
      <x:c r="N907" s="2"/>
      <x:c r="O907" s="2"/>
      <x:c r="P907" s="2"/>
      <x:c r="Q907" s="2"/>
    </x:row>
    <x:row r="908" ht="22" customHeight="1">
      <x:c r="A908" s="7" t="str">
        <x:v>M0901</x:v>
      </x:c>
      <x:c r="B908" s="7" t="str">
        <x:v>RC05</x:v>
      </x:c>
      <x:c r="C908" s="7" t="str">
        <x:v>T3</x:v>
      </x:c>
      <x:c r="D908" s="7" t="str">
        <x:v>L12</x:v>
      </x:c>
      <x:c r="E908" s="7" t="str">
        <x:v>Thirty columns, clear storey</x:v>
      </x:c>
      <x:c r="F908" s="20" t="n">
        <x:v>30</x:v>
      </x:c>
      <x:c r="G908" s="20" t="n">
        <x:f>'Controls'!$B$14</x:f>
        <x:v>0.5</x:v>
      </x:c>
      <x:c r="H908" s="20" t="n">
        <x:f>'Controls'!$B$15</x:f>
        <x:v>0.5</x:v>
      </x:c>
      <x:c r="I908" s="20" t="n">
        <x:f>'Controls'!$B$12-'Controls'!$B$13</x:f>
        <x:v>2.98</x:v>
      </x:c>
      <x:c r="J908" s="20" t="n">
        <x:v>1</x:v>
      </x:c>
      <x:c r="K908" s="20" t="n">
        <x:f>F908*G908*H908*I908*J908</x:f>
        <x:v>22.35</x:v>
      </x:c>
      <x:c r="L908" s="7" t="str">
        <x:v>Slab volume excluded from columns</x:v>
      </x:c>
      <x:c r="M908" s="2"/>
      <x:c r="N908" s="2"/>
      <x:c r="O908" s="2"/>
      <x:c r="P908" s="2"/>
      <x:c r="Q908" s="2"/>
    </x:row>
    <x:row r="909" ht="22" customHeight="1">
      <x:c r="A909" s="2" t="str">
        <x:v>M0902</x:v>
      </x:c>
      <x:c r="B909" s="2" t="str">
        <x:v>RC06</x:v>
      </x:c>
      <x:c r="C909" s="2" t="str">
        <x:v>T3</x:v>
      </x:c>
      <x:c r="D909" s="2" t="str">
        <x:v>L12</x:v>
      </x:c>
      <x:c r="E909" s="2" t="str">
        <x:v>Core walls clear storey</x:v>
      </x:c>
      <x:c r="F909" s="21" t="n">
        <x:v>1</x:v>
      </x:c>
      <x:c r="G909" s="21" t="n">
        <x:f>'Controls'!$B$19</x:f>
        <x:v>24</x:v>
      </x:c>
      <x:c r="H909" s="21" t="n">
        <x:f>'Controls'!$B$18</x:f>
        <x:v>0.25</x:v>
      </x:c>
      <x:c r="I909" s="21" t="n">
        <x:f>'Controls'!$B$12-'Controls'!$B$13</x:f>
        <x:v>2.98</x:v>
      </x:c>
      <x:c r="J909" s="21" t="n">
        <x:v>1</x:v>
      </x:c>
      <x:c r="K909" s="21" t="n">
        <x:f>F909*G909*H909*I909*J909</x:f>
        <x:v>17.88</x:v>
      </x:c>
      <x:c r="L909" s="2" t="str">
        <x:v>Net clear wall length excludes corners</x:v>
      </x:c>
      <x:c r="M909" s="2"/>
      <x:c r="N909" s="2"/>
      <x:c r="O909" s="2"/>
      <x:c r="P909" s="2"/>
      <x:c r="Q909" s="2"/>
    </x:row>
    <x:row r="910" ht="22" customHeight="1">
      <x:c r="A910" s="7" t="str">
        <x:v>M0903</x:v>
      </x:c>
      <x:c r="B910" s="7" t="str">
        <x:v>RC07</x:v>
      </x:c>
      <x:c r="C910" s="7" t="str">
        <x:v>T3</x:v>
      </x:c>
      <x:c r="D910" s="7" t="str">
        <x:v>L12</x:v>
      </x:c>
      <x:c r="E910" s="7" t="str">
        <x:v>Stair flights waist</x:v>
      </x:c>
      <x:c r="F910" s="20" t="n">
        <x:v>2</x:v>
      </x:c>
      <x:c r="G910" s="20" t="n">
        <x:v>4.1</x:v>
      </x:c>
      <x:c r="H910" s="20" t="n">
        <x:v>1.2</x:v>
      </x:c>
      <x:c r="I910" s="20" t="n">
        <x:v>0.18</x:v>
      </x:c>
      <x:c r="J910" s="20" t="n">
        <x:v>1</x:v>
      </x:c>
      <x:c r="K910" s="20" t="n">
        <x:f>F910*G910*H910*I910*J910</x:f>
        <x:v>1.7711999999999997</x:v>
      </x:c>
      <x:c r="L910" s="7" t="str">
        <x:v>Two flights; geometry separate from floor slab</x:v>
      </x:c>
      <x:c r="M910" s="2"/>
      <x:c r="N910" s="2"/>
      <x:c r="O910" s="2"/>
      <x:c r="P910" s="2"/>
      <x:c r="Q910" s="2"/>
    </x:row>
    <x:row r="911" ht="22" customHeight="1">
      <x:c r="A911" s="2" t="str">
        <x:v>M0904</x:v>
      </x:c>
      <x:c r="B911" s="2" t="str">
        <x:v>RC07</x:v>
      </x:c>
      <x:c r="C911" s="2" t="str">
        <x:v>T3</x:v>
      </x:c>
      <x:c r="D911" s="2" t="str">
        <x:v>L12</x:v>
      </x:c>
      <x:c r="E911" s="2" t="str">
        <x:v>Stair landings</x:v>
      </x:c>
      <x:c r="F911" s="21" t="n">
        <x:v>2</x:v>
      </x:c>
      <x:c r="G911" s="21" t="n">
        <x:v>2</x:v>
      </x:c>
      <x:c r="H911" s="21" t="n">
        <x:v>1.2</x:v>
      </x:c>
      <x:c r="I911" s="21" t="n">
        <x:v>0.18</x:v>
      </x:c>
      <x:c r="J911" s="21" t="n">
        <x:v>1</x:v>
      </x:c>
      <x:c r="K911" s="21" t="n">
        <x:f>F911*G911*H911*I911*J911</x:f>
        <x:v>0.864</x:v>
      </x:c>
      <x:c r="L911" s="2" t="str">
        <x:v>Within stair opening</x:v>
      </x:c>
      <x:c r="M911" s="2"/>
      <x:c r="N911" s="2"/>
      <x:c r="O911" s="2"/>
      <x:c r="P911" s="2"/>
      <x:c r="Q911" s="2"/>
    </x:row>
    <x:row r="912" ht="22" customHeight="1">
      <x:c r="A912" s="7" t="str">
        <x:v>M0905</x:v>
      </x:c>
      <x:c r="B912" s="7" t="str">
        <x:v>FW01</x:v>
      </x:c>
      <x:c r="C912" s="7" t="str">
        <x:v>T3</x:v>
      </x:c>
      <x:c r="D912" s="7" t="str">
        <x:v>L12</x:v>
      </x:c>
      <x:c r="E912" s="7" t="str">
        <x:v>Slab soffit gross</x:v>
      </x:c>
      <x:c r="F912" s="20" t="n">
        <x:v>1</x:v>
      </x:c>
      <x:c r="G912" s="20" t="n">
        <x:f>'Controls'!$B$10</x:f>
        <x:v>30</x:v>
      </x:c>
      <x:c r="H912" s="20" t="n">
        <x:f>'Controls'!$B$11</x:f>
        <x:v>24</x:v>
      </x:c>
      <x:c r="I912" s="20" t="n">
        <x:v>1</x:v>
      </x:c>
      <x:c r="J912" s="20" t="n">
        <x:v>1</x:v>
      </x:c>
      <x:c r="K912" s="20" t="n">
        <x:f>F912*G912*H912*I912*J912</x:f>
        <x:v>720</x:v>
      </x:c>
      <x:c r="L912" s="7" t="str">
        <x:v>Beam soffit deducted below</x:v>
      </x:c>
      <x:c r="M912" s="2"/>
      <x:c r="N912" s="2"/>
      <x:c r="O912" s="2"/>
      <x:c r="P912" s="2"/>
      <x:c r="Q912" s="2"/>
    </x:row>
    <x:row r="913" ht="22" customHeight="1">
      <x:c r="A913" s="2" t="str">
        <x:v>M0906</x:v>
      </x:c>
      <x:c r="B913" s="2" t="str">
        <x:v>FW01</x:v>
      </x:c>
      <x:c r="C913" s="2" t="str">
        <x:v>T3</x:v>
      </x:c>
      <x:c r="D913" s="2" t="str">
        <x:v>L12</x:v>
      </x:c>
      <x:c r="E913" s="2" t="str">
        <x:v>Stair opening deduction</x:v>
      </x:c>
      <x:c r="F913" s="21" t="n">
        <x:v>1</x:v>
      </x:c>
      <x:c r="G913" s="21" t="n">
        <x:f>'Controls'!$B$20</x:f>
        <x:v>4</x:v>
      </x:c>
      <x:c r="H913" s="21" t="n">
        <x:f>'Controls'!$B$21</x:f>
        <x:v>6</x:v>
      </x:c>
      <x:c r="I913" s="21" t="n">
        <x:v>1</x:v>
      </x:c>
      <x:c r="J913" s="21" t="n">
        <x:v>-1</x:v>
      </x:c>
      <x:c r="K913" s="21" t="n">
        <x:f>F913*G913*H913*I913*J913</x:f>
        <x:v>-24</x:v>
      </x:c>
      <x:c r="L913" s="2" t="str">
        <x:v>OP-01</x:v>
      </x:c>
      <x:c r="M913" s="2"/>
      <x:c r="N913" s="2"/>
      <x:c r="O913" s="2"/>
      <x:c r="P913" s="2"/>
      <x:c r="Q913" s="2"/>
    </x:row>
    <x:row r="914" ht="22" customHeight="1">
      <x:c r="A914" s="7" t="str">
        <x:v>M0907</x:v>
      </x:c>
      <x:c r="B914" s="7" t="str">
        <x:v>FW01</x:v>
      </x:c>
      <x:c r="C914" s="7" t="str">
        <x:v>T3</x:v>
      </x:c>
      <x:c r="D914" s="7" t="str">
        <x:v>L12</x:v>
      </x:c>
      <x:c r="E914" s="7" t="str">
        <x:v>Beam soffit deduction</x:v>
      </x:c>
      <x:c r="F914" s="20" t="n">
        <x:v>1</x:v>
      </x:c>
      <x:c r="G914" s="20" t="n">
        <x:f>5*5*('Controls'!$B$10/5-'Controls'!$B$14)+6*4*('Controls'!$B$11/4-'Controls'!$B$15)</x:f>
        <x:v>269.5</x:v>
      </x:c>
      <x:c r="H914" s="20" t="n">
        <x:f>'Controls'!$B$16</x:f>
        <x:v>0.3</x:v>
      </x:c>
      <x:c r="I914" s="20" t="n">
        <x:v>1</x:v>
      </x:c>
      <x:c r="J914" s="20" t="n">
        <x:v>-1</x:v>
      </x:c>
      <x:c r="K914" s="20" t="n">
        <x:f>F914*G914*H914*I914*J914</x:f>
        <x:v>-80.85</x:v>
      </x:c>
      <x:c r="L914" s="7" t="str">
        <x:v>Beam forms measured in FW02</x:v>
      </x:c>
      <x:c r="M914" s="2"/>
      <x:c r="N914" s="2"/>
      <x:c r="O914" s="2"/>
      <x:c r="P914" s="2"/>
      <x:c r="Q914" s="2"/>
    </x:row>
    <x:row r="915" ht="22" customHeight="1">
      <x:c r="A915" s="2" t="str">
        <x:v>M0908</x:v>
      </x:c>
      <x:c r="B915" s="2" t="str">
        <x:v>FW03</x:v>
      </x:c>
      <x:c r="C915" s="2" t="str">
        <x:v>T3</x:v>
      </x:c>
      <x:c r="D915" s="2" t="str">
        <x:v>L12</x:v>
      </x:c>
      <x:c r="E915" s="2" t="str">
        <x:v>Column four faces</x:v>
      </x:c>
      <x:c r="F915" s="21" t="n">
        <x:v>30</x:v>
      </x:c>
      <x:c r="G915" s="21" t="n">
        <x:f>2*('Controls'!$B$14+'Controls'!$B$15)</x:f>
        <x:v>2</x:v>
      </x:c>
      <x:c r="H915" s="21" t="n">
        <x:f>'Controls'!$B$12-'Controls'!$B$13</x:f>
        <x:v>2.98</x:v>
      </x:c>
      <x:c r="I915" s="21" t="n">
        <x:v>1</x:v>
      </x:c>
      <x:c r="J915" s="21" t="n">
        <x:v>1</x:v>
      </x:c>
      <x:c r="K915" s="21" t="n">
        <x:f>F915*G915*H915*I915*J915</x:f>
        <x:v>178.8</x:v>
      </x:c>
      <x:c r="L915" s="2" t="str">
        <x:v>Clear floor-to-soffit</x:v>
      </x:c>
      <x:c r="M915" s="2"/>
      <x:c r="N915" s="2"/>
      <x:c r="O915" s="2"/>
      <x:c r="P915" s="2"/>
      <x:c r="Q915" s="2"/>
    </x:row>
    <x:row r="916" ht="22" customHeight="1">
      <x:c r="A916" s="7" t="str">
        <x:v>M0909</x:v>
      </x:c>
      <x:c r="B916" s="7" t="str">
        <x:v>FW04</x:v>
      </x:c>
      <x:c r="C916" s="7" t="str">
        <x:v>T3</x:v>
      </x:c>
      <x:c r="D916" s="7" t="str">
        <x:v>L12</x:v>
      </x:c>
      <x:c r="E916" s="7" t="str">
        <x:v>Core wall two faces</x:v>
      </x:c>
      <x:c r="F916" s="20" t="n">
        <x:v>2</x:v>
      </x:c>
      <x:c r="G916" s="20" t="n">
        <x:f>'Controls'!$B$19</x:f>
        <x:v>24</x:v>
      </x:c>
      <x:c r="H916" s="20" t="n">
        <x:f>'Controls'!$B$12-'Controls'!$B$13</x:f>
        <x:v>2.98</x:v>
      </x:c>
      <x:c r="I916" s="20" t="n">
        <x:v>1</x:v>
      </x:c>
      <x:c r="J916" s="20" t="n">
        <x:v>1</x:v>
      </x:c>
      <x:c r="K916" s="20" t="n">
        <x:f>F916*G916*H916*I916*J916</x:f>
        <x:v>143.04</x:v>
      </x:c>
      <x:c r="L916" s="7" t="str">
        <x:v>Net perimeter, no repeated corners</x:v>
      </x:c>
      <x:c r="M916" s="2"/>
      <x:c r="N916" s="2"/>
      <x:c r="O916" s="2"/>
      <x:c r="P916" s="2"/>
      <x:c r="Q916" s="2"/>
    </x:row>
    <x:row r="917" ht="22" customHeight="1">
      <x:c r="A917" s="2" t="str">
        <x:v>M0910</x:v>
      </x:c>
      <x:c r="B917" s="2" t="str">
        <x:v>AR01</x:v>
      </x:c>
      <x:c r="C917" s="2" t="str">
        <x:v>T3</x:v>
      </x:c>
      <x:c r="D917" s="2" t="str">
        <x:v>L12</x:v>
      </x:c>
      <x:c r="E917" s="2" t="str">
        <x:v>Partition walls gross</x:v>
      </x:c>
      <x:c r="F917" s="21" t="n">
        <x:v>1</x:v>
      </x:c>
      <x:c r="G917" s="21" t="n">
        <x:f>'Controls'!$B$45</x:f>
        <x:v>220</x:v>
      </x:c>
      <x:c r="H917" s="21" t="n">
        <x:f>'Controls'!$B$12-'Controls'!$B$13</x:f>
        <x:v>2.98</x:v>
      </x:c>
      <x:c r="I917" s="21" t="n">
        <x:f>'Controls'!$B$46</x:f>
        <x:v>0.15</x:v>
      </x:c>
      <x:c r="J917" s="21" t="n">
        <x:v>1</x:v>
      </x:c>
      <x:c r="K917" s="21" t="n">
        <x:f>F917*G917*H917*I917*J917</x:f>
        <x:v>98.34</x:v>
      </x:c>
      <x:c r="L917" s="2" t="str">
        <x:v>Net openings deducted below</x:v>
      </x:c>
      <x:c r="M917" s="2"/>
      <x:c r="N917" s="2"/>
      <x:c r="O917" s="2"/>
      <x:c r="P917" s="2"/>
      <x:c r="Q917" s="2"/>
    </x:row>
    <x:row r="918" ht="22" customHeight="1">
      <x:c r="A918" s="7" t="str">
        <x:v>M0911</x:v>
      </x:c>
      <x:c r="B918" s="7" t="str">
        <x:v>AR01</x:v>
      </x:c>
      <x:c r="C918" s="7" t="str">
        <x:v>T3</x:v>
      </x:c>
      <x:c r="D918" s="7" t="str">
        <x:v>L12</x:v>
      </x:c>
      <x:c r="E918" s="7" t="str">
        <x:v>Internal doors deduction</x:v>
      </x:c>
      <x:c r="F918" s="20" t="n">
        <x:f>'Controls'!$B$48</x:f>
        <x:v>28</x:v>
      </x:c>
      <x:c r="G918" s="20" t="n">
        <x:f>'Controls'!$B$49</x:f>
        <x:v>0.9</x:v>
      </x:c>
      <x:c r="H918" s="20" t="n">
        <x:f>'Controls'!$B$50</x:f>
        <x:v>2.1</x:v>
      </x:c>
      <x:c r="I918" s="20" t="n">
        <x:f>'Controls'!$B$46</x:f>
        <x:v>0.15</x:v>
      </x:c>
      <x:c r="J918" s="20" t="n">
        <x:v>-1</x:v>
      </x:c>
      <x:c r="K918" s="20" t="n">
        <x:f>F918*G918*H918*I918*J918</x:f>
        <x:v>-7.938</x:v>
      </x:c>
      <x:c r="L918" s="7" t="str">
        <x:v>28 doors per floor, OP-02</x:v>
      </x:c>
      <x:c r="M918" s="2"/>
      <x:c r="N918" s="2"/>
      <x:c r="O918" s="2"/>
      <x:c r="P918" s="2"/>
      <x:c r="Q918" s="2"/>
    </x:row>
    <x:row r="919" ht="22" customHeight="1">
      <x:c r="A919" s="2" t="str">
        <x:v>M0912</x:v>
      </x:c>
      <x:c r="B919" s="2" t="str">
        <x:v>AR02</x:v>
      </x:c>
      <x:c r="C919" s="2" t="str">
        <x:v>T3</x:v>
      </x:c>
      <x:c r="D919" s="2" t="str">
        <x:v>L12</x:v>
      </x:c>
      <x:c r="E919" s="2" t="str">
        <x:v>Internal plaster gross</x:v>
      </x:c>
      <x:c r="F919" s="21" t="n">
        <x:v>2</x:v>
      </x:c>
      <x:c r="G919" s="21" t="n">
        <x:f>'Controls'!$B$45</x:f>
        <x:v>220</x:v>
      </x:c>
      <x:c r="H919" s="21" t="n">
        <x:f>'Controls'!$B$12-'Controls'!$B$13</x:f>
        <x:v>2.98</x:v>
      </x:c>
      <x:c r="I919" s="21" t="n">
        <x:v>1</x:v>
      </x:c>
      <x:c r="J919" s="21" t="n">
        <x:v>1</x:v>
      </x:c>
      <x:c r="K919" s="21" t="n">
        <x:f>F919*G919*H919*I919*J919</x:f>
        <x:v>1311.2</x:v>
      </x:c>
      <x:c r="L919" s="2" t="str">
        <x:v>Both faces of partition walls</x:v>
      </x:c>
      <x:c r="M919" s="2"/>
      <x:c r="N919" s="2"/>
      <x:c r="O919" s="2"/>
      <x:c r="P919" s="2"/>
      <x:c r="Q919" s="2"/>
    </x:row>
    <x:row r="920" ht="22" customHeight="1">
      <x:c r="A920" s="7" t="str">
        <x:v>M0913</x:v>
      </x:c>
      <x:c r="B920" s="7" t="str">
        <x:v>AR02</x:v>
      </x:c>
      <x:c r="C920" s="7" t="str">
        <x:v>T3</x:v>
      </x:c>
      <x:c r="D920" s="7" t="str">
        <x:v>L12</x:v>
      </x:c>
      <x:c r="E920" s="7" t="str">
        <x:v>Door area deduction both faces</x:v>
      </x:c>
      <x:c r="F920" s="20" t="n">
        <x:f>2*'Controls'!$B$48</x:f>
        <x:v>56</x:v>
      </x:c>
      <x:c r="G920" s="20" t="n">
        <x:f>'Controls'!$B$49</x:f>
        <x:v>0.9</x:v>
      </x:c>
      <x:c r="H920" s="20" t="n">
        <x:f>'Controls'!$B$50</x:f>
        <x:v>2.1</x:v>
      </x:c>
      <x:c r="I920" s="20" t="n">
        <x:v>1</x:v>
      </x:c>
      <x:c r="J920" s="20" t="n">
        <x:v>-1</x:v>
      </x:c>
      <x:c r="K920" s="20" t="n">
        <x:f>F920*G920*H920*I920*J920</x:f>
        <x:v>-105.84</x:v>
      </x:c>
      <x:c r="L920" s="7" t="str">
        <x:v>No plaster over openings</x:v>
      </x:c>
      <x:c r="M920" s="2"/>
      <x:c r="N920" s="2"/>
      <x:c r="O920" s="2"/>
      <x:c r="P920" s="2"/>
      <x:c r="Q920" s="2"/>
    </x:row>
    <x:row r="921" ht="22" customHeight="1">
      <x:c r="A921" s="2" t="str">
        <x:v>M0914</x:v>
      </x:c>
      <x:c r="B921" s="2" t="str">
        <x:v>AR03</x:v>
      </x:c>
      <x:c r="C921" s="2" t="str">
        <x:v>T3</x:v>
      </x:c>
      <x:c r="D921" s="2" t="str">
        <x:v>L12</x:v>
      </x:c>
      <x:c r="E921" s="2" t="str">
        <x:v>Floor screed net</x:v>
      </x:c>
      <x:c r="F921" s="21" t="n">
        <x:v>1</x:v>
      </x:c>
      <x:c r="G921" s="21" t="n">
        <x:f>'Controls'!$B$10*'Controls'!$B$11-'Controls'!$B$20*'Controls'!$B$21</x:f>
        <x:v>696</x:v>
      </x:c>
      <x:c r="H921" s="21" t="n">
        <x:v>1</x:v>
      </x:c>
      <x:c r="I921" s="21" t="n">
        <x:v>1</x:v>
      </x:c>
      <x:c r="J921" s="21" t="n">
        <x:v>1</x:v>
      </x:c>
      <x:c r="K921" s="21" t="n">
        <x:f>F921*G921*H921*I921*J921</x:f>
        <x:v>696</x:v>
      </x:c>
      <x:c r="L921" s="2" t="str">
        <x:v>Net structural floor area</x:v>
      </x:c>
      <x:c r="M921" s="2"/>
      <x:c r="N921" s="2"/>
      <x:c r="O921" s="2"/>
      <x:c r="P921" s="2"/>
      <x:c r="Q921" s="2"/>
    </x:row>
    <x:row r="922" ht="22" customHeight="1">
      <x:c r="A922" s="7" t="str">
        <x:v>M0915</x:v>
      </x:c>
      <x:c r="B922" s="7" t="str">
        <x:v>AR04</x:v>
      </x:c>
      <x:c r="C922" s="7" t="str">
        <x:v>T3</x:v>
      </x:c>
      <x:c r="D922" s="7" t="str">
        <x:v>L12</x:v>
      </x:c>
      <x:c r="E922" s="7" t="str">
        <x:v>Floor finish net</x:v>
      </x:c>
      <x:c r="F922" s="20" t="n">
        <x:v>1</x:v>
      </x:c>
      <x:c r="G922" s="20" t="n">
        <x:f>'Controls'!$B$10*'Controls'!$B$11-'Controls'!$B$20*'Controls'!$B$21</x:f>
        <x:v>696</x:v>
      </x:c>
      <x:c r="H922" s="20" t="n">
        <x:v>1</x:v>
      </x:c>
      <x:c r="I922" s="20" t="n">
        <x:v>1</x:v>
      </x:c>
      <x:c r="J922" s="20" t="n">
        <x:v>1</x:v>
      </x:c>
      <x:c r="K922" s="20" t="n">
        <x:f>F922*G922*H922*I922*J922</x:f>
        <x:v>696</x:v>
      </x:c>
      <x:c r="L922" s="7" t="str">
        <x:v>Waste excluded from BOQ</x:v>
      </x:c>
      <x:c r="M922" s="2"/>
      <x:c r="N922" s="2"/>
      <x:c r="O922" s="2"/>
      <x:c r="P922" s="2"/>
      <x:c r="Q922" s="2"/>
    </x:row>
    <x:row r="923" ht="22" customHeight="1">
      <x:c r="A923" s="2" t="str">
        <x:v>M0916</x:v>
      </x:c>
      <x:c r="B923" s="2" t="str">
        <x:v>AR05</x:v>
      </x:c>
      <x:c r="C923" s="2" t="str">
        <x:v>T3</x:v>
      </x:c>
      <x:c r="D923" s="2" t="str">
        <x:v>L12</x:v>
      </x:c>
      <x:c r="E923" s="2" t="str">
        <x:v>Internal wall paint net</x:v>
      </x:c>
      <x:c r="F923" s="21" t="n">
        <x:v>2</x:v>
      </x:c>
      <x:c r="G923" s="21" t="n">
        <x:f>'Controls'!$B$45*('Controls'!$B$12-'Controls'!$B$13)-'Controls'!$B$48*'Controls'!$B$49*'Controls'!$B$50</x:f>
        <x:v>602.6800000000001</x:v>
      </x:c>
      <x:c r="H923" s="21" t="n">
        <x:v>1</x:v>
      </x:c>
      <x:c r="I923" s="21" t="n">
        <x:v>1</x:v>
      </x:c>
      <x:c r="J923" s="21" t="n">
        <x:v>1</x:v>
      </x:c>
      <x:c r="K923" s="21" t="n">
        <x:f>F923*G923*H923*I923*J923</x:f>
        <x:v>1205.3600000000001</x:v>
      </x:c>
      <x:c r="L923" s="2" t="str">
        <x:v>Finished area; two coats priced in rate</x:v>
      </x:c>
      <x:c r="M923" s="2"/>
      <x:c r="N923" s="2"/>
      <x:c r="O923" s="2"/>
      <x:c r="P923" s="2"/>
      <x:c r="Q923" s="2"/>
    </x:row>
    <x:row r="924" ht="22" customHeight="1">
      <x:c r="A924" s="7" t="str">
        <x:v>M0917</x:v>
      </x:c>
      <x:c r="B924" s="7" t="str">
        <x:v>AR06</x:v>
      </x:c>
      <x:c r="C924" s="7" t="str">
        <x:v>T3</x:v>
      </x:c>
      <x:c r="D924" s="7" t="str">
        <x:v>L12</x:v>
      </x:c>
      <x:c r="E924" s="7" t="str">
        <x:v>Door sets</x:v>
      </x:c>
      <x:c r="F924" s="20" t="n">
        <x:f>'Controls'!$B$48</x:f>
        <x:v>28</x:v>
      </x:c>
      <x:c r="G924" s="20" t="n">
        <x:v>1</x:v>
      </x:c>
      <x:c r="H924" s="20" t="n">
        <x:v>1</x:v>
      </x:c>
      <x:c r="I924" s="20" t="n">
        <x:v>1</x:v>
      </x:c>
      <x:c r="J924" s="20" t="n">
        <x:v>1</x:v>
      </x:c>
      <x:c r="K924" s="20" t="n">
        <x:f>F924*G924*H924*I924*J924</x:f>
        <x:v>28</x:v>
      </x:c>
      <x:c r="L924" s="7" t="str">
        <x:v>Door count, not double face</x:v>
      </x:c>
      <x:c r="M924" s="2"/>
      <x:c r="N924" s="2"/>
      <x:c r="O924" s="2"/>
      <x:c r="P924" s="2"/>
      <x:c r="Q924" s="2"/>
    </x:row>
    <x:row r="925" ht="22" customHeight="1">
      <x:c r="A925" s="2" t="str">
        <x:v>M0918</x:v>
      </x:c>
      <x:c r="B925" s="2" t="str">
        <x:v>RC03</x:v>
      </x:c>
      <x:c r="C925" s="2" t="str">
        <x:v>T4</x:v>
      </x:c>
      <x:c r="D925" s="2" t="str">
        <x:v>L00</x:v>
      </x:c>
      <x:c r="E925" s="2" t="str">
        <x:v>Floor slab gross</x:v>
      </x:c>
      <x:c r="F925" s="21" t="n">
        <x:v>1</x:v>
      </x:c>
      <x:c r="G925" s="21" t="n">
        <x:f>'Controls'!$B$10</x:f>
        <x:v>30</x:v>
      </x:c>
      <x:c r="H925" s="21" t="n">
        <x:f>'Controls'!$B$11</x:f>
        <x:v>24</x:v>
      </x:c>
      <x:c r="I925" s="21" t="n">
        <x:f>'Controls'!$B$13</x:f>
        <x:v>0.22</x:v>
      </x:c>
      <x:c r="J925" s="21" t="n">
        <x:v>1</x:v>
      </x:c>
      <x:c r="K925" s="21" t="n">
        <x:f>F925*G925*H925*I925*J925</x:f>
        <x:v>158.4</x:v>
      </x:c>
      <x:c r="L925" s="2" t="str">
        <x:v>Slab includes beam top flange; downstand separate</x:v>
      </x:c>
      <x:c r="M925" s="2"/>
      <x:c r="N925" s="2"/>
      <x:c r="O925" s="2"/>
      <x:c r="P925" s="2"/>
      <x:c r="Q925" s="2"/>
    </x:row>
    <x:row r="926" ht="22" customHeight="1">
      <x:c r="A926" s="7" t="str">
        <x:v>M0919</x:v>
      </x:c>
      <x:c r="B926" s="7" t="str">
        <x:v>RC03</x:v>
      </x:c>
      <x:c r="C926" s="7" t="str">
        <x:v>T4</x:v>
      </x:c>
      <x:c r="D926" s="7" t="str">
        <x:v>L00</x:v>
      </x:c>
      <x:c r="E926" s="7" t="str">
        <x:v>Stair opening deduction</x:v>
      </x:c>
      <x:c r="F926" s="20" t="n">
        <x:v>1</x:v>
      </x:c>
      <x:c r="G926" s="20" t="n">
        <x:f>'Controls'!$B$20</x:f>
        <x:v>4</x:v>
      </x:c>
      <x:c r="H926" s="20" t="n">
        <x:f>'Controls'!$B$21</x:f>
        <x:v>6</x:v>
      </x:c>
      <x:c r="I926" s="20" t="n">
        <x:f>'Controls'!$B$13</x:f>
        <x:v>0.22</x:v>
      </x:c>
      <x:c r="J926" s="20" t="n">
        <x:v>-1</x:v>
      </x:c>
      <x:c r="K926" s="20" t="n">
        <x:f>F926*G926*H926*I926*J926</x:f>
        <x:v>-5.28</x:v>
      </x:c>
      <x:c r="L926" s="7" t="str">
        <x:v>Opening OP-01</x:v>
      </x:c>
      <x:c r="M926" s="2"/>
      <x:c r="N926" s="2"/>
      <x:c r="O926" s="2"/>
      <x:c r="P926" s="2"/>
      <x:c r="Q926" s="2"/>
    </x:row>
    <x:row r="927" ht="22" customHeight="1">
      <x:c r="A927" s="2" t="str">
        <x:v>M0920</x:v>
      </x:c>
      <x:c r="B927" s="2" t="str">
        <x:v>RC04</x:v>
      </x:c>
      <x:c r="C927" s="2" t="str">
        <x:v>T4</x:v>
      </x:c>
      <x:c r="D927" s="2" t="str">
        <x:v>L00</x:v>
      </x:c>
      <x:c r="E927" s="2" t="str">
        <x:v>Beam downstands X</x:v>
      </x:c>
      <x:c r="F927" s="21" t="n">
        <x:v>1</x:v>
      </x:c>
      <x:c r="G927" s="21" t="n">
        <x:f>5*5*('Controls'!$B$10/5-'Controls'!$B$14)</x:f>
        <x:v>137.5</x:v>
      </x:c>
      <x:c r="H927" s="21" t="n">
        <x:f>'Controls'!$B$16</x:f>
        <x:v>0.3</x:v>
      </x:c>
      <x:c r="I927" s="21" t="n">
        <x:f>'Controls'!$B$17-'Controls'!$B$13</x:f>
        <x:v>0.38</x:v>
      </x:c>
      <x:c r="J927" s="21" t="n">
        <x:v>1</x:v>
      </x:c>
      <x:c r="K927" s="21" t="n">
        <x:f>F927*G927*H927*I927*J927</x:f>
        <x:v>15.675</x:v>
      </x:c>
      <x:c r="L927" s="2" t="str">
        <x:v>Clear spans between column faces; no joint overlap</x:v>
      </x:c>
      <x:c r="M927" s="2"/>
      <x:c r="N927" s="2"/>
      <x:c r="O927" s="2"/>
      <x:c r="P927" s="2"/>
      <x:c r="Q927" s="2"/>
    </x:row>
    <x:row r="928" ht="22" customHeight="1">
      <x:c r="A928" s="7" t="str">
        <x:v>M0921</x:v>
      </x:c>
      <x:c r="B928" s="7" t="str">
        <x:v>FW02</x:v>
      </x:c>
      <x:c r="C928" s="7" t="str">
        <x:v>T4</x:v>
      </x:c>
      <x:c r="D928" s="7" t="str">
        <x:v>L00</x:v>
      </x:c>
      <x:c r="E928" s="7" t="str">
        <x:v>Beam forms X</x:v>
      </x:c>
      <x:c r="F928" s="20" t="n">
        <x:v>1</x:v>
      </x:c>
      <x:c r="G928" s="20" t="n">
        <x:f>5*5*('Controls'!$B$10/5-'Controls'!$B$14)</x:f>
        <x:v>137.5</x:v>
      </x:c>
      <x:c r="H928" s="20" t="n">
        <x:f>'Controls'!$B$16+2*('Controls'!$B$17-'Controls'!$B$13)</x:f>
        <x:v>1.06</x:v>
      </x:c>
      <x:c r="I928" s="20" t="n">
        <x:v>1</x:v>
      </x:c>
      <x:c r="J928" s="20" t="n">
        <x:v>1</x:v>
      </x:c>
      <x:c r="K928" s="20" t="n">
        <x:f>F928*G928*H928*I928*J928</x:f>
        <x:v>145.75</x:v>
      </x:c>
      <x:c r="L928" s="7" t="str">
        <x:v>Soffit plus two downstand sides</x:v>
      </x:c>
      <x:c r="M928" s="2"/>
      <x:c r="N928" s="2"/>
      <x:c r="O928" s="2"/>
      <x:c r="P928" s="2"/>
      <x:c r="Q928" s="2"/>
    </x:row>
    <x:row r="929" ht="22" customHeight="1">
      <x:c r="A929" s="2" t="str">
        <x:v>M0922</x:v>
      </x:c>
      <x:c r="B929" s="2" t="str">
        <x:v>RC04</x:v>
      </x:c>
      <x:c r="C929" s="2" t="str">
        <x:v>T4</x:v>
      </x:c>
      <x:c r="D929" s="2" t="str">
        <x:v>L00</x:v>
      </x:c>
      <x:c r="E929" s="2" t="str">
        <x:v>Beam downstands Y</x:v>
      </x:c>
      <x:c r="F929" s="21" t="n">
        <x:v>1</x:v>
      </x:c>
      <x:c r="G929" s="21" t="n">
        <x:f>6*4*('Controls'!$B$11/4-'Controls'!$B$15)</x:f>
        <x:v>132</x:v>
      </x:c>
      <x:c r="H929" s="21" t="n">
        <x:f>'Controls'!$B$16</x:f>
        <x:v>0.3</x:v>
      </x:c>
      <x:c r="I929" s="21" t="n">
        <x:f>'Controls'!$B$17-'Controls'!$B$13</x:f>
        <x:v>0.38</x:v>
      </x:c>
      <x:c r="J929" s="21" t="n">
        <x:v>1</x:v>
      </x:c>
      <x:c r="K929" s="21" t="n">
        <x:f>F929*G929*H929*I929*J929</x:f>
        <x:v>15.048</x:v>
      </x:c>
      <x:c r="L929" s="2" t="str">
        <x:v>Clear spans between column faces; no joint overlap</x:v>
      </x:c>
      <x:c r="M929" s="2"/>
      <x:c r="N929" s="2"/>
      <x:c r="O929" s="2"/>
      <x:c r="P929" s="2"/>
      <x:c r="Q929" s="2"/>
    </x:row>
    <x:row r="930" ht="22" customHeight="1">
      <x:c r="A930" s="7" t="str">
        <x:v>M0923</x:v>
      </x:c>
      <x:c r="B930" s="7" t="str">
        <x:v>FW02</x:v>
      </x:c>
      <x:c r="C930" s="7" t="str">
        <x:v>T4</x:v>
      </x:c>
      <x:c r="D930" s="7" t="str">
        <x:v>L00</x:v>
      </x:c>
      <x:c r="E930" s="7" t="str">
        <x:v>Beam forms Y</x:v>
      </x:c>
      <x:c r="F930" s="20" t="n">
        <x:v>1</x:v>
      </x:c>
      <x:c r="G930" s="20" t="n">
        <x:f>6*4*('Controls'!$B$11/4-'Controls'!$B$15)</x:f>
        <x:v>132</x:v>
      </x:c>
      <x:c r="H930" s="20" t="n">
        <x:f>'Controls'!$B$16+2*('Controls'!$B$17-'Controls'!$B$13)</x:f>
        <x:v>1.06</x:v>
      </x:c>
      <x:c r="I930" s="20" t="n">
        <x:v>1</x:v>
      </x:c>
      <x:c r="J930" s="20" t="n">
        <x:v>1</x:v>
      </x:c>
      <x:c r="K930" s="20" t="n">
        <x:f>F930*G930*H930*I930*J930</x:f>
        <x:v>139.92000000000002</x:v>
      </x:c>
      <x:c r="L930" s="7" t="str">
        <x:v>Soffit plus two downstand sides</x:v>
      </x:c>
      <x:c r="M930" s="2"/>
      <x:c r="N930" s="2"/>
      <x:c r="O930" s="2"/>
      <x:c r="P930" s="2"/>
      <x:c r="Q930" s="2"/>
    </x:row>
    <x:row r="931" ht="22" customHeight="1">
      <x:c r="A931" s="2" t="str">
        <x:v>M0924</x:v>
      </x:c>
      <x:c r="B931" s="2" t="str">
        <x:v>RC05</x:v>
      </x:c>
      <x:c r="C931" s="2" t="str">
        <x:v>T4</x:v>
      </x:c>
      <x:c r="D931" s="2" t="str">
        <x:v>L00</x:v>
      </x:c>
      <x:c r="E931" s="2" t="str">
        <x:v>Thirty columns, clear storey</x:v>
      </x:c>
      <x:c r="F931" s="21" t="n">
        <x:v>30</x:v>
      </x:c>
      <x:c r="G931" s="21" t="n">
        <x:f>'Controls'!$B$14</x:f>
        <x:v>0.5</x:v>
      </x:c>
      <x:c r="H931" s="21" t="n">
        <x:f>'Controls'!$B$15</x:f>
        <x:v>0.5</x:v>
      </x:c>
      <x:c r="I931" s="21" t="n">
        <x:f>'Controls'!$B$12-'Controls'!$B$13</x:f>
        <x:v>2.98</x:v>
      </x:c>
      <x:c r="J931" s="21" t="n">
        <x:v>1</x:v>
      </x:c>
      <x:c r="K931" s="21" t="n">
        <x:f>F931*G931*H931*I931*J931</x:f>
        <x:v>22.35</x:v>
      </x:c>
      <x:c r="L931" s="2" t="str">
        <x:v>Slab volume excluded from columns</x:v>
      </x:c>
      <x:c r="M931" s="2"/>
      <x:c r="N931" s="2"/>
      <x:c r="O931" s="2"/>
      <x:c r="P931" s="2"/>
      <x:c r="Q931" s="2"/>
    </x:row>
    <x:row r="932" ht="22" customHeight="1">
      <x:c r="A932" s="7" t="str">
        <x:v>M0925</x:v>
      </x:c>
      <x:c r="B932" s="7" t="str">
        <x:v>RC06</x:v>
      </x:c>
      <x:c r="C932" s="7" t="str">
        <x:v>T4</x:v>
      </x:c>
      <x:c r="D932" s="7" t="str">
        <x:v>L00</x:v>
      </x:c>
      <x:c r="E932" s="7" t="str">
        <x:v>Core walls clear storey</x:v>
      </x:c>
      <x:c r="F932" s="20" t="n">
        <x:v>1</x:v>
      </x:c>
      <x:c r="G932" s="20" t="n">
        <x:f>'Controls'!$B$19</x:f>
        <x:v>24</x:v>
      </x:c>
      <x:c r="H932" s="20" t="n">
        <x:f>'Controls'!$B$18</x:f>
        <x:v>0.25</x:v>
      </x:c>
      <x:c r="I932" s="20" t="n">
        <x:f>'Controls'!$B$12-'Controls'!$B$13</x:f>
        <x:v>2.98</x:v>
      </x:c>
      <x:c r="J932" s="20" t="n">
        <x:v>1</x:v>
      </x:c>
      <x:c r="K932" s="20" t="n">
        <x:f>F932*G932*H932*I932*J932</x:f>
        <x:v>17.88</x:v>
      </x:c>
      <x:c r="L932" s="7" t="str">
        <x:v>Net clear wall length excludes corners</x:v>
      </x:c>
      <x:c r="M932" s="2"/>
      <x:c r="N932" s="2"/>
      <x:c r="O932" s="2"/>
      <x:c r="P932" s="2"/>
      <x:c r="Q932" s="2"/>
    </x:row>
    <x:row r="933" ht="22" customHeight="1">
      <x:c r="A933" s="2" t="str">
        <x:v>M0926</x:v>
      </x:c>
      <x:c r="B933" s="2" t="str">
        <x:v>RC07</x:v>
      </x:c>
      <x:c r="C933" s="2" t="str">
        <x:v>T4</x:v>
      </x:c>
      <x:c r="D933" s="2" t="str">
        <x:v>L00</x:v>
      </x:c>
      <x:c r="E933" s="2" t="str">
        <x:v>Stair flights waist</x:v>
      </x:c>
      <x:c r="F933" s="21" t="n">
        <x:v>2</x:v>
      </x:c>
      <x:c r="G933" s="21" t="n">
        <x:v>4.1</x:v>
      </x:c>
      <x:c r="H933" s="21" t="n">
        <x:v>1.2</x:v>
      </x:c>
      <x:c r="I933" s="21" t="n">
        <x:v>0.18</x:v>
      </x:c>
      <x:c r="J933" s="21" t="n">
        <x:v>1</x:v>
      </x:c>
      <x:c r="K933" s="21" t="n">
        <x:f>F933*G933*H933*I933*J933</x:f>
        <x:v>1.7711999999999997</x:v>
      </x:c>
      <x:c r="L933" s="2" t="str">
        <x:v>Two flights; geometry separate from floor slab</x:v>
      </x:c>
      <x:c r="M933" s="2"/>
      <x:c r="N933" s="2"/>
      <x:c r="O933" s="2"/>
      <x:c r="P933" s="2"/>
      <x:c r="Q933" s="2"/>
    </x:row>
    <x:row r="934" ht="22" customHeight="1">
      <x:c r="A934" s="7" t="str">
        <x:v>M0927</x:v>
      </x:c>
      <x:c r="B934" s="7" t="str">
        <x:v>RC07</x:v>
      </x:c>
      <x:c r="C934" s="7" t="str">
        <x:v>T4</x:v>
      </x:c>
      <x:c r="D934" s="7" t="str">
        <x:v>L00</x:v>
      </x:c>
      <x:c r="E934" s="7" t="str">
        <x:v>Stair landings</x:v>
      </x:c>
      <x:c r="F934" s="20" t="n">
        <x:v>2</x:v>
      </x:c>
      <x:c r="G934" s="20" t="n">
        <x:v>2</x:v>
      </x:c>
      <x:c r="H934" s="20" t="n">
        <x:v>1.2</x:v>
      </x:c>
      <x:c r="I934" s="20" t="n">
        <x:v>0.18</x:v>
      </x:c>
      <x:c r="J934" s="20" t="n">
        <x:v>1</x:v>
      </x:c>
      <x:c r="K934" s="20" t="n">
        <x:f>F934*G934*H934*I934*J934</x:f>
        <x:v>0.864</x:v>
      </x:c>
      <x:c r="L934" s="7" t="str">
        <x:v>Within stair opening</x:v>
      </x:c>
      <x:c r="M934" s="2"/>
      <x:c r="N934" s="2"/>
      <x:c r="O934" s="2"/>
      <x:c r="P934" s="2"/>
      <x:c r="Q934" s="2"/>
    </x:row>
    <x:row r="935" ht="22" customHeight="1">
      <x:c r="A935" s="2" t="str">
        <x:v>M0928</x:v>
      </x:c>
      <x:c r="B935" s="2" t="str">
        <x:v>FW01</x:v>
      </x:c>
      <x:c r="C935" s="2" t="str">
        <x:v>T4</x:v>
      </x:c>
      <x:c r="D935" s="2" t="str">
        <x:v>L00</x:v>
      </x:c>
      <x:c r="E935" s="2" t="str">
        <x:v>Slab soffit gross</x:v>
      </x:c>
      <x:c r="F935" s="21" t="n">
        <x:v>1</x:v>
      </x:c>
      <x:c r="G935" s="21" t="n">
        <x:f>'Controls'!$B$10</x:f>
        <x:v>30</x:v>
      </x:c>
      <x:c r="H935" s="21" t="n">
        <x:f>'Controls'!$B$11</x:f>
        <x:v>24</x:v>
      </x:c>
      <x:c r="I935" s="21" t="n">
        <x:v>1</x:v>
      </x:c>
      <x:c r="J935" s="21" t="n">
        <x:v>1</x:v>
      </x:c>
      <x:c r="K935" s="21" t="n">
        <x:f>F935*G935*H935*I935*J935</x:f>
        <x:v>720</x:v>
      </x:c>
      <x:c r="L935" s="2" t="str">
        <x:v>Beam soffit deducted below</x:v>
      </x:c>
      <x:c r="M935" s="2"/>
      <x:c r="N935" s="2"/>
      <x:c r="O935" s="2"/>
      <x:c r="P935" s="2"/>
      <x:c r="Q935" s="2"/>
    </x:row>
    <x:row r="936" ht="22" customHeight="1">
      <x:c r="A936" s="7" t="str">
        <x:v>M0929</x:v>
      </x:c>
      <x:c r="B936" s="7" t="str">
        <x:v>FW01</x:v>
      </x:c>
      <x:c r="C936" s="7" t="str">
        <x:v>T4</x:v>
      </x:c>
      <x:c r="D936" s="7" t="str">
        <x:v>L00</x:v>
      </x:c>
      <x:c r="E936" s="7" t="str">
        <x:v>Stair opening deduction</x:v>
      </x:c>
      <x:c r="F936" s="20" t="n">
        <x:v>1</x:v>
      </x:c>
      <x:c r="G936" s="20" t="n">
        <x:f>'Controls'!$B$20</x:f>
        <x:v>4</x:v>
      </x:c>
      <x:c r="H936" s="20" t="n">
        <x:f>'Controls'!$B$21</x:f>
        <x:v>6</x:v>
      </x:c>
      <x:c r="I936" s="20" t="n">
        <x:v>1</x:v>
      </x:c>
      <x:c r="J936" s="20" t="n">
        <x:v>-1</x:v>
      </x:c>
      <x:c r="K936" s="20" t="n">
        <x:f>F936*G936*H936*I936*J936</x:f>
        <x:v>-24</x:v>
      </x:c>
      <x:c r="L936" s="7" t="str">
        <x:v>OP-01</x:v>
      </x:c>
      <x:c r="M936" s="2"/>
      <x:c r="N936" s="2"/>
      <x:c r="O936" s="2"/>
      <x:c r="P936" s="2"/>
      <x:c r="Q936" s="2"/>
    </x:row>
    <x:row r="937" ht="22" customHeight="1">
      <x:c r="A937" s="2" t="str">
        <x:v>M0930</x:v>
      </x:c>
      <x:c r="B937" s="2" t="str">
        <x:v>FW01</x:v>
      </x:c>
      <x:c r="C937" s="2" t="str">
        <x:v>T4</x:v>
      </x:c>
      <x:c r="D937" s="2" t="str">
        <x:v>L00</x:v>
      </x:c>
      <x:c r="E937" s="2" t="str">
        <x:v>Beam soffit deduction</x:v>
      </x:c>
      <x:c r="F937" s="21" t="n">
        <x:v>1</x:v>
      </x:c>
      <x:c r="G937" s="21" t="n">
        <x:f>5*5*('Controls'!$B$10/5-'Controls'!$B$14)+6*4*('Controls'!$B$11/4-'Controls'!$B$15)</x:f>
        <x:v>269.5</x:v>
      </x:c>
      <x:c r="H937" s="21" t="n">
        <x:f>'Controls'!$B$16</x:f>
        <x:v>0.3</x:v>
      </x:c>
      <x:c r="I937" s="21" t="n">
        <x:v>1</x:v>
      </x:c>
      <x:c r="J937" s="21" t="n">
        <x:v>-1</x:v>
      </x:c>
      <x:c r="K937" s="21" t="n">
        <x:f>F937*G937*H937*I937*J937</x:f>
        <x:v>-80.85</x:v>
      </x:c>
      <x:c r="L937" s="2" t="str">
        <x:v>Beam forms measured in FW02</x:v>
      </x:c>
      <x:c r="M937" s="2"/>
      <x:c r="N937" s="2"/>
      <x:c r="O937" s="2"/>
      <x:c r="P937" s="2"/>
      <x:c r="Q937" s="2"/>
    </x:row>
    <x:row r="938" ht="22" customHeight="1">
      <x:c r="A938" s="7" t="str">
        <x:v>M0931</x:v>
      </x:c>
      <x:c r="B938" s="7" t="str">
        <x:v>FW03</x:v>
      </x:c>
      <x:c r="C938" s="7" t="str">
        <x:v>T4</x:v>
      </x:c>
      <x:c r="D938" s="7" t="str">
        <x:v>L00</x:v>
      </x:c>
      <x:c r="E938" s="7" t="str">
        <x:v>Column four faces</x:v>
      </x:c>
      <x:c r="F938" s="20" t="n">
        <x:v>30</x:v>
      </x:c>
      <x:c r="G938" s="20" t="n">
        <x:f>2*('Controls'!$B$14+'Controls'!$B$15)</x:f>
        <x:v>2</x:v>
      </x:c>
      <x:c r="H938" s="20" t="n">
        <x:f>'Controls'!$B$12-'Controls'!$B$13</x:f>
        <x:v>2.98</x:v>
      </x:c>
      <x:c r="I938" s="20" t="n">
        <x:v>1</x:v>
      </x:c>
      <x:c r="J938" s="20" t="n">
        <x:v>1</x:v>
      </x:c>
      <x:c r="K938" s="20" t="n">
        <x:f>F938*G938*H938*I938*J938</x:f>
        <x:v>178.8</x:v>
      </x:c>
      <x:c r="L938" s="7" t="str">
        <x:v>Clear floor-to-soffit</x:v>
      </x:c>
      <x:c r="M938" s="2"/>
      <x:c r="N938" s="2"/>
      <x:c r="O938" s="2"/>
      <x:c r="P938" s="2"/>
      <x:c r="Q938" s="2"/>
    </x:row>
    <x:row r="939" ht="22" customHeight="1">
      <x:c r="A939" s="2" t="str">
        <x:v>M0932</x:v>
      </x:c>
      <x:c r="B939" s="2" t="str">
        <x:v>FW04</x:v>
      </x:c>
      <x:c r="C939" s="2" t="str">
        <x:v>T4</x:v>
      </x:c>
      <x:c r="D939" s="2" t="str">
        <x:v>L00</x:v>
      </x:c>
      <x:c r="E939" s="2" t="str">
        <x:v>Core wall two faces</x:v>
      </x:c>
      <x:c r="F939" s="21" t="n">
        <x:v>2</x:v>
      </x:c>
      <x:c r="G939" s="21" t="n">
        <x:f>'Controls'!$B$19</x:f>
        <x:v>24</x:v>
      </x:c>
      <x:c r="H939" s="21" t="n">
        <x:f>'Controls'!$B$12-'Controls'!$B$13</x:f>
        <x:v>2.98</x:v>
      </x:c>
      <x:c r="I939" s="21" t="n">
        <x:v>1</x:v>
      </x:c>
      <x:c r="J939" s="21" t="n">
        <x:v>1</x:v>
      </x:c>
      <x:c r="K939" s="21" t="n">
        <x:f>F939*G939*H939*I939*J939</x:f>
        <x:v>143.04</x:v>
      </x:c>
      <x:c r="L939" s="2" t="str">
        <x:v>Net perimeter, no repeated corners</x:v>
      </x:c>
      <x:c r="M939" s="2"/>
      <x:c r="N939" s="2"/>
      <x:c r="O939" s="2"/>
      <x:c r="P939" s="2"/>
      <x:c r="Q939" s="2"/>
    </x:row>
    <x:row r="940" ht="22" customHeight="1">
      <x:c r="A940" s="7" t="str">
        <x:v>M0933</x:v>
      </x:c>
      <x:c r="B940" s="7" t="str">
        <x:v>AR01</x:v>
      </x:c>
      <x:c r="C940" s="7" t="str">
        <x:v>T4</x:v>
      </x:c>
      <x:c r="D940" s="7" t="str">
        <x:v>L00</x:v>
      </x:c>
      <x:c r="E940" s="7" t="str">
        <x:v>Partition walls gross</x:v>
      </x:c>
      <x:c r="F940" s="20" t="n">
        <x:v>1</x:v>
      </x:c>
      <x:c r="G940" s="20" t="n">
        <x:f>'Controls'!$B$45</x:f>
        <x:v>220</x:v>
      </x:c>
      <x:c r="H940" s="20" t="n">
        <x:f>'Controls'!$B$12-'Controls'!$B$13</x:f>
        <x:v>2.98</x:v>
      </x:c>
      <x:c r="I940" s="20" t="n">
        <x:f>'Controls'!$B$46</x:f>
        <x:v>0.15</x:v>
      </x:c>
      <x:c r="J940" s="20" t="n">
        <x:v>1</x:v>
      </x:c>
      <x:c r="K940" s="20" t="n">
        <x:f>F940*G940*H940*I940*J940</x:f>
        <x:v>98.34</x:v>
      </x:c>
      <x:c r="L940" s="7" t="str">
        <x:v>Net openings deducted below</x:v>
      </x:c>
      <x:c r="M940" s="2"/>
      <x:c r="N940" s="2"/>
      <x:c r="O940" s="2"/>
      <x:c r="P940" s="2"/>
      <x:c r="Q940" s="2"/>
    </x:row>
    <x:row r="941" ht="22" customHeight="1">
      <x:c r="A941" s="2" t="str">
        <x:v>M0934</x:v>
      </x:c>
      <x:c r="B941" s="2" t="str">
        <x:v>AR01</x:v>
      </x:c>
      <x:c r="C941" s="2" t="str">
        <x:v>T4</x:v>
      </x:c>
      <x:c r="D941" s="2" t="str">
        <x:v>L00</x:v>
      </x:c>
      <x:c r="E941" s="2" t="str">
        <x:v>Internal doors deduction</x:v>
      </x:c>
      <x:c r="F941" s="21" t="n">
        <x:f>'Controls'!$B$48</x:f>
        <x:v>28</x:v>
      </x:c>
      <x:c r="G941" s="21" t="n">
        <x:f>'Controls'!$B$49</x:f>
        <x:v>0.9</x:v>
      </x:c>
      <x:c r="H941" s="21" t="n">
        <x:f>'Controls'!$B$50</x:f>
        <x:v>2.1</x:v>
      </x:c>
      <x:c r="I941" s="21" t="n">
        <x:f>'Controls'!$B$46</x:f>
        <x:v>0.15</x:v>
      </x:c>
      <x:c r="J941" s="21" t="n">
        <x:v>-1</x:v>
      </x:c>
      <x:c r="K941" s="21" t="n">
        <x:f>F941*G941*H941*I941*J941</x:f>
        <x:v>-7.938</x:v>
      </x:c>
      <x:c r="L941" s="2" t="str">
        <x:v>28 doors per floor, OP-02</x:v>
      </x:c>
      <x:c r="M941" s="2"/>
      <x:c r="N941" s="2"/>
      <x:c r="O941" s="2"/>
      <x:c r="P941" s="2"/>
      <x:c r="Q941" s="2"/>
    </x:row>
    <x:row r="942" ht="22" customHeight="1">
      <x:c r="A942" s="7" t="str">
        <x:v>M0935</x:v>
      </x:c>
      <x:c r="B942" s="7" t="str">
        <x:v>AR02</x:v>
      </x:c>
      <x:c r="C942" s="7" t="str">
        <x:v>T4</x:v>
      </x:c>
      <x:c r="D942" s="7" t="str">
        <x:v>L00</x:v>
      </x:c>
      <x:c r="E942" s="7" t="str">
        <x:v>Internal plaster gross</x:v>
      </x:c>
      <x:c r="F942" s="20" t="n">
        <x:v>2</x:v>
      </x:c>
      <x:c r="G942" s="20" t="n">
        <x:f>'Controls'!$B$45</x:f>
        <x:v>220</x:v>
      </x:c>
      <x:c r="H942" s="20" t="n">
        <x:f>'Controls'!$B$12-'Controls'!$B$13</x:f>
        <x:v>2.98</x:v>
      </x:c>
      <x:c r="I942" s="20" t="n">
        <x:v>1</x:v>
      </x:c>
      <x:c r="J942" s="20" t="n">
        <x:v>1</x:v>
      </x:c>
      <x:c r="K942" s="20" t="n">
        <x:f>F942*G942*H942*I942*J942</x:f>
        <x:v>1311.2</x:v>
      </x:c>
      <x:c r="L942" s="7" t="str">
        <x:v>Both faces of partition walls</x:v>
      </x:c>
      <x:c r="M942" s="2"/>
      <x:c r="N942" s="2"/>
      <x:c r="O942" s="2"/>
      <x:c r="P942" s="2"/>
      <x:c r="Q942" s="2"/>
    </x:row>
    <x:row r="943" ht="22" customHeight="1">
      <x:c r="A943" s="2" t="str">
        <x:v>M0936</x:v>
      </x:c>
      <x:c r="B943" s="2" t="str">
        <x:v>AR02</x:v>
      </x:c>
      <x:c r="C943" s="2" t="str">
        <x:v>T4</x:v>
      </x:c>
      <x:c r="D943" s="2" t="str">
        <x:v>L00</x:v>
      </x:c>
      <x:c r="E943" s="2" t="str">
        <x:v>Door area deduction both faces</x:v>
      </x:c>
      <x:c r="F943" s="21" t="n">
        <x:f>2*'Controls'!$B$48</x:f>
        <x:v>56</x:v>
      </x:c>
      <x:c r="G943" s="21" t="n">
        <x:f>'Controls'!$B$49</x:f>
        <x:v>0.9</x:v>
      </x:c>
      <x:c r="H943" s="21" t="n">
        <x:f>'Controls'!$B$50</x:f>
        <x:v>2.1</x:v>
      </x:c>
      <x:c r="I943" s="21" t="n">
        <x:v>1</x:v>
      </x:c>
      <x:c r="J943" s="21" t="n">
        <x:v>-1</x:v>
      </x:c>
      <x:c r="K943" s="21" t="n">
        <x:f>F943*G943*H943*I943*J943</x:f>
        <x:v>-105.84</x:v>
      </x:c>
      <x:c r="L943" s="2" t="str">
        <x:v>No plaster over openings</x:v>
      </x:c>
      <x:c r="M943" s="2"/>
      <x:c r="N943" s="2"/>
      <x:c r="O943" s="2"/>
      <x:c r="P943" s="2"/>
      <x:c r="Q943" s="2"/>
    </x:row>
    <x:row r="944" ht="22" customHeight="1">
      <x:c r="A944" s="7" t="str">
        <x:v>M0937</x:v>
      </x:c>
      <x:c r="B944" s="7" t="str">
        <x:v>AR03</x:v>
      </x:c>
      <x:c r="C944" s="7" t="str">
        <x:v>T4</x:v>
      </x:c>
      <x:c r="D944" s="7" t="str">
        <x:v>L00</x:v>
      </x:c>
      <x:c r="E944" s="7" t="str">
        <x:v>Floor screed net</x:v>
      </x:c>
      <x:c r="F944" s="20" t="n">
        <x:v>1</x:v>
      </x:c>
      <x:c r="G944" s="20" t="n">
        <x:f>'Controls'!$B$10*'Controls'!$B$11-'Controls'!$B$20*'Controls'!$B$21</x:f>
        <x:v>696</x:v>
      </x:c>
      <x:c r="H944" s="20" t="n">
        <x:v>1</x:v>
      </x:c>
      <x:c r="I944" s="20" t="n">
        <x:v>1</x:v>
      </x:c>
      <x:c r="J944" s="20" t="n">
        <x:v>1</x:v>
      </x:c>
      <x:c r="K944" s="20" t="n">
        <x:f>F944*G944*H944*I944*J944</x:f>
        <x:v>696</x:v>
      </x:c>
      <x:c r="L944" s="7" t="str">
        <x:v>Net structural floor area</x:v>
      </x:c>
      <x:c r="M944" s="2"/>
      <x:c r="N944" s="2"/>
      <x:c r="O944" s="2"/>
      <x:c r="P944" s="2"/>
      <x:c r="Q944" s="2"/>
    </x:row>
    <x:row r="945" ht="22" customHeight="1">
      <x:c r="A945" s="2" t="str">
        <x:v>M0938</x:v>
      </x:c>
      <x:c r="B945" s="2" t="str">
        <x:v>AR04</x:v>
      </x:c>
      <x:c r="C945" s="2" t="str">
        <x:v>T4</x:v>
      </x:c>
      <x:c r="D945" s="2" t="str">
        <x:v>L00</x:v>
      </x:c>
      <x:c r="E945" s="2" t="str">
        <x:v>Floor finish net</x:v>
      </x:c>
      <x:c r="F945" s="21" t="n">
        <x:v>1</x:v>
      </x:c>
      <x:c r="G945" s="21" t="n">
        <x:f>'Controls'!$B$10*'Controls'!$B$11-'Controls'!$B$20*'Controls'!$B$21</x:f>
        <x:v>696</x:v>
      </x:c>
      <x:c r="H945" s="21" t="n">
        <x:v>1</x:v>
      </x:c>
      <x:c r="I945" s="21" t="n">
        <x:v>1</x:v>
      </x:c>
      <x:c r="J945" s="21" t="n">
        <x:v>1</x:v>
      </x:c>
      <x:c r="K945" s="21" t="n">
        <x:f>F945*G945*H945*I945*J945</x:f>
        <x:v>696</x:v>
      </x:c>
      <x:c r="L945" s="2" t="str">
        <x:v>Waste excluded from BOQ</x:v>
      </x:c>
      <x:c r="M945" s="2"/>
      <x:c r="N945" s="2"/>
      <x:c r="O945" s="2"/>
      <x:c r="P945" s="2"/>
      <x:c r="Q945" s="2"/>
    </x:row>
    <x:row r="946" ht="22" customHeight="1">
      <x:c r="A946" s="7" t="str">
        <x:v>M0939</x:v>
      </x:c>
      <x:c r="B946" s="7" t="str">
        <x:v>AR05</x:v>
      </x:c>
      <x:c r="C946" s="7" t="str">
        <x:v>T4</x:v>
      </x:c>
      <x:c r="D946" s="7" t="str">
        <x:v>L00</x:v>
      </x:c>
      <x:c r="E946" s="7" t="str">
        <x:v>Internal wall paint net</x:v>
      </x:c>
      <x:c r="F946" s="20" t="n">
        <x:v>2</x:v>
      </x:c>
      <x:c r="G946" s="20" t="n">
        <x:f>'Controls'!$B$45*('Controls'!$B$12-'Controls'!$B$13)-'Controls'!$B$48*'Controls'!$B$49*'Controls'!$B$50</x:f>
        <x:v>602.6800000000001</x:v>
      </x:c>
      <x:c r="H946" s="20" t="n">
        <x:v>1</x:v>
      </x:c>
      <x:c r="I946" s="20" t="n">
        <x:v>1</x:v>
      </x:c>
      <x:c r="J946" s="20" t="n">
        <x:v>1</x:v>
      </x:c>
      <x:c r="K946" s="20" t="n">
        <x:f>F946*G946*H946*I946*J946</x:f>
        <x:v>1205.3600000000001</x:v>
      </x:c>
      <x:c r="L946" s="7" t="str">
        <x:v>Finished area; two coats priced in rate</x:v>
      </x:c>
      <x:c r="M946" s="2"/>
      <x:c r="N946" s="2"/>
      <x:c r="O946" s="2"/>
      <x:c r="P946" s="2"/>
      <x:c r="Q946" s="2"/>
    </x:row>
    <x:row r="947" ht="22" customHeight="1">
      <x:c r="A947" s="2" t="str">
        <x:v>M0940</x:v>
      </x:c>
      <x:c r="B947" s="2" t="str">
        <x:v>AR06</x:v>
      </x:c>
      <x:c r="C947" s="2" t="str">
        <x:v>T4</x:v>
      </x:c>
      <x:c r="D947" s="2" t="str">
        <x:v>L00</x:v>
      </x:c>
      <x:c r="E947" s="2" t="str">
        <x:v>Door sets</x:v>
      </x:c>
      <x:c r="F947" s="21" t="n">
        <x:f>'Controls'!$B$48</x:f>
        <x:v>28</x:v>
      </x:c>
      <x:c r="G947" s="21" t="n">
        <x:v>1</x:v>
      </x:c>
      <x:c r="H947" s="21" t="n">
        <x:v>1</x:v>
      </x:c>
      <x:c r="I947" s="21" t="n">
        <x:v>1</x:v>
      </x:c>
      <x:c r="J947" s="21" t="n">
        <x:v>1</x:v>
      </x:c>
      <x:c r="K947" s="21" t="n">
        <x:f>F947*G947*H947*I947*J947</x:f>
        <x:v>28</x:v>
      </x:c>
      <x:c r="L947" s="2" t="str">
        <x:v>Door count, not double face</x:v>
      </x:c>
      <x:c r="M947" s="2"/>
      <x:c r="N947" s="2"/>
      <x:c r="O947" s="2"/>
      <x:c r="P947" s="2"/>
      <x:c r="Q947" s="2"/>
    </x:row>
    <x:row r="948" ht="22" customHeight="1">
      <x:c r="A948" s="7" t="str">
        <x:v>M0941</x:v>
      </x:c>
      <x:c r="B948" s="7" t="str">
        <x:v>RC03</x:v>
      </x:c>
      <x:c r="C948" s="7" t="str">
        <x:v>T4</x:v>
      </x:c>
      <x:c r="D948" s="7" t="str">
        <x:v>L01</x:v>
      </x:c>
      <x:c r="E948" s="7" t="str">
        <x:v>Floor slab gross</x:v>
      </x:c>
      <x:c r="F948" s="20" t="n">
        <x:v>1</x:v>
      </x:c>
      <x:c r="G948" s="20" t="n">
        <x:f>'Controls'!$B$10</x:f>
        <x:v>30</x:v>
      </x:c>
      <x:c r="H948" s="20" t="n">
        <x:f>'Controls'!$B$11</x:f>
        <x:v>24</x:v>
      </x:c>
      <x:c r="I948" s="20" t="n">
        <x:f>'Controls'!$B$13</x:f>
        <x:v>0.22</x:v>
      </x:c>
      <x:c r="J948" s="20" t="n">
        <x:v>1</x:v>
      </x:c>
      <x:c r="K948" s="20" t="n">
        <x:f>F948*G948*H948*I948*J948</x:f>
        <x:v>158.4</x:v>
      </x:c>
      <x:c r="L948" s="7" t="str">
        <x:v>Slab includes beam top flange; downstand separate</x:v>
      </x:c>
      <x:c r="M948" s="2"/>
      <x:c r="N948" s="2"/>
      <x:c r="O948" s="2"/>
      <x:c r="P948" s="2"/>
      <x:c r="Q948" s="2"/>
    </x:row>
    <x:row r="949" ht="22" customHeight="1">
      <x:c r="A949" s="2" t="str">
        <x:v>M0942</x:v>
      </x:c>
      <x:c r="B949" s="2" t="str">
        <x:v>RC03</x:v>
      </x:c>
      <x:c r="C949" s="2" t="str">
        <x:v>T4</x:v>
      </x:c>
      <x:c r="D949" s="2" t="str">
        <x:v>L01</x:v>
      </x:c>
      <x:c r="E949" s="2" t="str">
        <x:v>Stair opening deduction</x:v>
      </x:c>
      <x:c r="F949" s="21" t="n">
        <x:v>1</x:v>
      </x:c>
      <x:c r="G949" s="21" t="n">
        <x:f>'Controls'!$B$20</x:f>
        <x:v>4</x:v>
      </x:c>
      <x:c r="H949" s="21" t="n">
        <x:f>'Controls'!$B$21</x:f>
        <x:v>6</x:v>
      </x:c>
      <x:c r="I949" s="21" t="n">
        <x:f>'Controls'!$B$13</x:f>
        <x:v>0.22</x:v>
      </x:c>
      <x:c r="J949" s="21" t="n">
        <x:v>-1</x:v>
      </x:c>
      <x:c r="K949" s="21" t="n">
        <x:f>F949*G949*H949*I949*J949</x:f>
        <x:v>-5.28</x:v>
      </x:c>
      <x:c r="L949" s="2" t="str">
        <x:v>Opening OP-01</x:v>
      </x:c>
      <x:c r="M949" s="2"/>
      <x:c r="N949" s="2"/>
      <x:c r="O949" s="2"/>
      <x:c r="P949" s="2"/>
      <x:c r="Q949" s="2"/>
    </x:row>
    <x:row r="950" ht="22" customHeight="1">
      <x:c r="A950" s="7" t="str">
        <x:v>M0943</x:v>
      </x:c>
      <x:c r="B950" s="7" t="str">
        <x:v>RC04</x:v>
      </x:c>
      <x:c r="C950" s="7" t="str">
        <x:v>T4</x:v>
      </x:c>
      <x:c r="D950" s="7" t="str">
        <x:v>L01</x:v>
      </x:c>
      <x:c r="E950" s="7" t="str">
        <x:v>Beam downstands X</x:v>
      </x:c>
      <x:c r="F950" s="20" t="n">
        <x:v>1</x:v>
      </x:c>
      <x:c r="G950" s="20" t="n">
        <x:f>5*5*('Controls'!$B$10/5-'Controls'!$B$14)</x:f>
        <x:v>137.5</x:v>
      </x:c>
      <x:c r="H950" s="20" t="n">
        <x:f>'Controls'!$B$16</x:f>
        <x:v>0.3</x:v>
      </x:c>
      <x:c r="I950" s="20" t="n">
        <x:f>'Controls'!$B$17-'Controls'!$B$13</x:f>
        <x:v>0.38</x:v>
      </x:c>
      <x:c r="J950" s="20" t="n">
        <x:v>1</x:v>
      </x:c>
      <x:c r="K950" s="20" t="n">
        <x:f>F950*G950*H950*I950*J950</x:f>
        <x:v>15.675</x:v>
      </x:c>
      <x:c r="L950" s="7" t="str">
        <x:v>Clear spans between column faces; no joint overlap</x:v>
      </x:c>
      <x:c r="M950" s="2"/>
      <x:c r="N950" s="2"/>
      <x:c r="O950" s="2"/>
      <x:c r="P950" s="2"/>
      <x:c r="Q950" s="2"/>
    </x:row>
    <x:row r="951" ht="22" customHeight="1">
      <x:c r="A951" s="2" t="str">
        <x:v>M0944</x:v>
      </x:c>
      <x:c r="B951" s="2" t="str">
        <x:v>FW02</x:v>
      </x:c>
      <x:c r="C951" s="2" t="str">
        <x:v>T4</x:v>
      </x:c>
      <x:c r="D951" s="2" t="str">
        <x:v>L01</x:v>
      </x:c>
      <x:c r="E951" s="2" t="str">
        <x:v>Beam forms X</x:v>
      </x:c>
      <x:c r="F951" s="21" t="n">
        <x:v>1</x:v>
      </x:c>
      <x:c r="G951" s="21" t="n">
        <x:f>5*5*('Controls'!$B$10/5-'Controls'!$B$14)</x:f>
        <x:v>137.5</x:v>
      </x:c>
      <x:c r="H951" s="21" t="n">
        <x:f>'Controls'!$B$16+2*('Controls'!$B$17-'Controls'!$B$13)</x:f>
        <x:v>1.06</x:v>
      </x:c>
      <x:c r="I951" s="21" t="n">
        <x:v>1</x:v>
      </x:c>
      <x:c r="J951" s="21" t="n">
        <x:v>1</x:v>
      </x:c>
      <x:c r="K951" s="21" t="n">
        <x:f>F951*G951*H951*I951*J951</x:f>
        <x:v>145.75</x:v>
      </x:c>
      <x:c r="L951" s="2" t="str">
        <x:v>Soffit plus two downstand sides</x:v>
      </x:c>
      <x:c r="M951" s="2"/>
      <x:c r="N951" s="2"/>
      <x:c r="O951" s="2"/>
      <x:c r="P951" s="2"/>
      <x:c r="Q951" s="2"/>
    </x:row>
    <x:row r="952" ht="22" customHeight="1">
      <x:c r="A952" s="7" t="str">
        <x:v>M0945</x:v>
      </x:c>
      <x:c r="B952" s="7" t="str">
        <x:v>RC04</x:v>
      </x:c>
      <x:c r="C952" s="7" t="str">
        <x:v>T4</x:v>
      </x:c>
      <x:c r="D952" s="7" t="str">
        <x:v>L01</x:v>
      </x:c>
      <x:c r="E952" s="7" t="str">
        <x:v>Beam downstands Y</x:v>
      </x:c>
      <x:c r="F952" s="20" t="n">
        <x:v>1</x:v>
      </x:c>
      <x:c r="G952" s="20" t="n">
        <x:f>6*4*('Controls'!$B$11/4-'Controls'!$B$15)</x:f>
        <x:v>132</x:v>
      </x:c>
      <x:c r="H952" s="20" t="n">
        <x:f>'Controls'!$B$16</x:f>
        <x:v>0.3</x:v>
      </x:c>
      <x:c r="I952" s="20" t="n">
        <x:f>'Controls'!$B$17-'Controls'!$B$13</x:f>
        <x:v>0.38</x:v>
      </x:c>
      <x:c r="J952" s="20" t="n">
        <x:v>1</x:v>
      </x:c>
      <x:c r="K952" s="20" t="n">
        <x:f>F952*G952*H952*I952*J952</x:f>
        <x:v>15.048</x:v>
      </x:c>
      <x:c r="L952" s="7" t="str">
        <x:v>Clear spans between column faces; no joint overlap</x:v>
      </x:c>
      <x:c r="M952" s="2"/>
      <x:c r="N952" s="2"/>
      <x:c r="O952" s="2"/>
      <x:c r="P952" s="2"/>
      <x:c r="Q952" s="2"/>
    </x:row>
    <x:row r="953" ht="22" customHeight="1">
      <x:c r="A953" s="2" t="str">
        <x:v>M0946</x:v>
      </x:c>
      <x:c r="B953" s="2" t="str">
        <x:v>FW02</x:v>
      </x:c>
      <x:c r="C953" s="2" t="str">
        <x:v>T4</x:v>
      </x:c>
      <x:c r="D953" s="2" t="str">
        <x:v>L01</x:v>
      </x:c>
      <x:c r="E953" s="2" t="str">
        <x:v>Beam forms Y</x:v>
      </x:c>
      <x:c r="F953" s="21" t="n">
        <x:v>1</x:v>
      </x:c>
      <x:c r="G953" s="21" t="n">
        <x:f>6*4*('Controls'!$B$11/4-'Controls'!$B$15)</x:f>
        <x:v>132</x:v>
      </x:c>
      <x:c r="H953" s="21" t="n">
        <x:f>'Controls'!$B$16+2*('Controls'!$B$17-'Controls'!$B$13)</x:f>
        <x:v>1.06</x:v>
      </x:c>
      <x:c r="I953" s="21" t="n">
        <x:v>1</x:v>
      </x:c>
      <x:c r="J953" s="21" t="n">
        <x:v>1</x:v>
      </x:c>
      <x:c r="K953" s="21" t="n">
        <x:f>F953*G953*H953*I953*J953</x:f>
        <x:v>139.92000000000002</x:v>
      </x:c>
      <x:c r="L953" s="2" t="str">
        <x:v>Soffit plus two downstand sides</x:v>
      </x:c>
      <x:c r="M953" s="2"/>
      <x:c r="N953" s="2"/>
      <x:c r="O953" s="2"/>
      <x:c r="P953" s="2"/>
      <x:c r="Q953" s="2"/>
    </x:row>
    <x:row r="954" ht="22" customHeight="1">
      <x:c r="A954" s="7" t="str">
        <x:v>M0947</x:v>
      </x:c>
      <x:c r="B954" s="7" t="str">
        <x:v>RC05</x:v>
      </x:c>
      <x:c r="C954" s="7" t="str">
        <x:v>T4</x:v>
      </x:c>
      <x:c r="D954" s="7" t="str">
        <x:v>L01</x:v>
      </x:c>
      <x:c r="E954" s="7" t="str">
        <x:v>Thirty columns, clear storey</x:v>
      </x:c>
      <x:c r="F954" s="20" t="n">
        <x:v>30</x:v>
      </x:c>
      <x:c r="G954" s="20" t="n">
        <x:f>'Controls'!$B$14</x:f>
        <x:v>0.5</x:v>
      </x:c>
      <x:c r="H954" s="20" t="n">
        <x:f>'Controls'!$B$15</x:f>
        <x:v>0.5</x:v>
      </x:c>
      <x:c r="I954" s="20" t="n">
        <x:f>'Controls'!$B$12-'Controls'!$B$13</x:f>
        <x:v>2.98</x:v>
      </x:c>
      <x:c r="J954" s="20" t="n">
        <x:v>1</x:v>
      </x:c>
      <x:c r="K954" s="20" t="n">
        <x:f>F954*G954*H954*I954*J954</x:f>
        <x:v>22.35</x:v>
      </x:c>
      <x:c r="L954" s="7" t="str">
        <x:v>Slab volume excluded from columns</x:v>
      </x:c>
      <x:c r="M954" s="2"/>
      <x:c r="N954" s="2"/>
      <x:c r="O954" s="2"/>
      <x:c r="P954" s="2"/>
      <x:c r="Q954" s="2"/>
    </x:row>
    <x:row r="955" ht="22" customHeight="1">
      <x:c r="A955" s="2" t="str">
        <x:v>M0948</x:v>
      </x:c>
      <x:c r="B955" s="2" t="str">
        <x:v>RC06</x:v>
      </x:c>
      <x:c r="C955" s="2" t="str">
        <x:v>T4</x:v>
      </x:c>
      <x:c r="D955" s="2" t="str">
        <x:v>L01</x:v>
      </x:c>
      <x:c r="E955" s="2" t="str">
        <x:v>Core walls clear storey</x:v>
      </x:c>
      <x:c r="F955" s="21" t="n">
        <x:v>1</x:v>
      </x:c>
      <x:c r="G955" s="21" t="n">
        <x:f>'Controls'!$B$19</x:f>
        <x:v>24</x:v>
      </x:c>
      <x:c r="H955" s="21" t="n">
        <x:f>'Controls'!$B$18</x:f>
        <x:v>0.25</x:v>
      </x:c>
      <x:c r="I955" s="21" t="n">
        <x:f>'Controls'!$B$12-'Controls'!$B$13</x:f>
        <x:v>2.98</x:v>
      </x:c>
      <x:c r="J955" s="21" t="n">
        <x:v>1</x:v>
      </x:c>
      <x:c r="K955" s="21" t="n">
        <x:f>F955*G955*H955*I955*J955</x:f>
        <x:v>17.88</x:v>
      </x:c>
      <x:c r="L955" s="2" t="str">
        <x:v>Net clear wall length excludes corners</x:v>
      </x:c>
      <x:c r="M955" s="2"/>
      <x:c r="N955" s="2"/>
      <x:c r="O955" s="2"/>
      <x:c r="P955" s="2"/>
      <x:c r="Q955" s="2"/>
    </x:row>
    <x:row r="956" ht="22" customHeight="1">
      <x:c r="A956" s="7" t="str">
        <x:v>M0949</x:v>
      </x:c>
      <x:c r="B956" s="7" t="str">
        <x:v>RC07</x:v>
      </x:c>
      <x:c r="C956" s="7" t="str">
        <x:v>T4</x:v>
      </x:c>
      <x:c r="D956" s="7" t="str">
        <x:v>L01</x:v>
      </x:c>
      <x:c r="E956" s="7" t="str">
        <x:v>Stair flights waist</x:v>
      </x:c>
      <x:c r="F956" s="20" t="n">
        <x:v>2</x:v>
      </x:c>
      <x:c r="G956" s="20" t="n">
        <x:v>4.1</x:v>
      </x:c>
      <x:c r="H956" s="20" t="n">
        <x:v>1.2</x:v>
      </x:c>
      <x:c r="I956" s="20" t="n">
        <x:v>0.18</x:v>
      </x:c>
      <x:c r="J956" s="20" t="n">
        <x:v>1</x:v>
      </x:c>
      <x:c r="K956" s="20" t="n">
        <x:f>F956*G956*H956*I956*J956</x:f>
        <x:v>1.7711999999999997</x:v>
      </x:c>
      <x:c r="L956" s="7" t="str">
        <x:v>Two flights; geometry separate from floor slab</x:v>
      </x:c>
      <x:c r="M956" s="2"/>
      <x:c r="N956" s="2"/>
      <x:c r="O956" s="2"/>
      <x:c r="P956" s="2"/>
      <x:c r="Q956" s="2"/>
    </x:row>
    <x:row r="957" ht="22" customHeight="1">
      <x:c r="A957" s="2" t="str">
        <x:v>M0950</x:v>
      </x:c>
      <x:c r="B957" s="2" t="str">
        <x:v>RC07</x:v>
      </x:c>
      <x:c r="C957" s="2" t="str">
        <x:v>T4</x:v>
      </x:c>
      <x:c r="D957" s="2" t="str">
        <x:v>L01</x:v>
      </x:c>
      <x:c r="E957" s="2" t="str">
        <x:v>Stair landings</x:v>
      </x:c>
      <x:c r="F957" s="21" t="n">
        <x:v>2</x:v>
      </x:c>
      <x:c r="G957" s="21" t="n">
        <x:v>2</x:v>
      </x:c>
      <x:c r="H957" s="21" t="n">
        <x:v>1.2</x:v>
      </x:c>
      <x:c r="I957" s="21" t="n">
        <x:v>0.18</x:v>
      </x:c>
      <x:c r="J957" s="21" t="n">
        <x:v>1</x:v>
      </x:c>
      <x:c r="K957" s="21" t="n">
        <x:f>F957*G957*H957*I957*J957</x:f>
        <x:v>0.864</x:v>
      </x:c>
      <x:c r="L957" s="2" t="str">
        <x:v>Within stair opening</x:v>
      </x:c>
      <x:c r="M957" s="2"/>
      <x:c r="N957" s="2"/>
      <x:c r="O957" s="2"/>
      <x:c r="P957" s="2"/>
      <x:c r="Q957" s="2"/>
    </x:row>
    <x:row r="958" ht="22" customHeight="1">
      <x:c r="A958" s="7" t="str">
        <x:v>M0951</x:v>
      </x:c>
      <x:c r="B958" s="7" t="str">
        <x:v>FW01</x:v>
      </x:c>
      <x:c r="C958" s="7" t="str">
        <x:v>T4</x:v>
      </x:c>
      <x:c r="D958" s="7" t="str">
        <x:v>L01</x:v>
      </x:c>
      <x:c r="E958" s="7" t="str">
        <x:v>Slab soffit gross</x:v>
      </x:c>
      <x:c r="F958" s="20" t="n">
        <x:v>1</x:v>
      </x:c>
      <x:c r="G958" s="20" t="n">
        <x:f>'Controls'!$B$10</x:f>
        <x:v>30</x:v>
      </x:c>
      <x:c r="H958" s="20" t="n">
        <x:f>'Controls'!$B$11</x:f>
        <x:v>24</x:v>
      </x:c>
      <x:c r="I958" s="20" t="n">
        <x:v>1</x:v>
      </x:c>
      <x:c r="J958" s="20" t="n">
        <x:v>1</x:v>
      </x:c>
      <x:c r="K958" s="20" t="n">
        <x:f>F958*G958*H958*I958*J958</x:f>
        <x:v>720</x:v>
      </x:c>
      <x:c r="L958" s="7" t="str">
        <x:v>Beam soffit deducted below</x:v>
      </x:c>
      <x:c r="M958" s="2"/>
      <x:c r="N958" s="2"/>
      <x:c r="O958" s="2"/>
      <x:c r="P958" s="2"/>
      <x:c r="Q958" s="2"/>
    </x:row>
    <x:row r="959" ht="22" customHeight="1">
      <x:c r="A959" s="2" t="str">
        <x:v>M0952</x:v>
      </x:c>
      <x:c r="B959" s="2" t="str">
        <x:v>FW01</x:v>
      </x:c>
      <x:c r="C959" s="2" t="str">
        <x:v>T4</x:v>
      </x:c>
      <x:c r="D959" s="2" t="str">
        <x:v>L01</x:v>
      </x:c>
      <x:c r="E959" s="2" t="str">
        <x:v>Stair opening deduction</x:v>
      </x:c>
      <x:c r="F959" s="21" t="n">
        <x:v>1</x:v>
      </x:c>
      <x:c r="G959" s="21" t="n">
        <x:f>'Controls'!$B$20</x:f>
        <x:v>4</x:v>
      </x:c>
      <x:c r="H959" s="21" t="n">
        <x:f>'Controls'!$B$21</x:f>
        <x:v>6</x:v>
      </x:c>
      <x:c r="I959" s="21" t="n">
        <x:v>1</x:v>
      </x:c>
      <x:c r="J959" s="21" t="n">
        <x:v>-1</x:v>
      </x:c>
      <x:c r="K959" s="21" t="n">
        <x:f>F959*G959*H959*I959*J959</x:f>
        <x:v>-24</x:v>
      </x:c>
      <x:c r="L959" s="2" t="str">
        <x:v>OP-01</x:v>
      </x:c>
      <x:c r="M959" s="2"/>
      <x:c r="N959" s="2"/>
      <x:c r="O959" s="2"/>
      <x:c r="P959" s="2"/>
      <x:c r="Q959" s="2"/>
    </x:row>
    <x:row r="960" ht="22" customHeight="1">
      <x:c r="A960" s="7" t="str">
        <x:v>M0953</x:v>
      </x:c>
      <x:c r="B960" s="7" t="str">
        <x:v>FW01</x:v>
      </x:c>
      <x:c r="C960" s="7" t="str">
        <x:v>T4</x:v>
      </x:c>
      <x:c r="D960" s="7" t="str">
        <x:v>L01</x:v>
      </x:c>
      <x:c r="E960" s="7" t="str">
        <x:v>Beam soffit deduction</x:v>
      </x:c>
      <x:c r="F960" s="20" t="n">
        <x:v>1</x:v>
      </x:c>
      <x:c r="G960" s="20" t="n">
        <x:f>5*5*('Controls'!$B$10/5-'Controls'!$B$14)+6*4*('Controls'!$B$11/4-'Controls'!$B$15)</x:f>
        <x:v>269.5</x:v>
      </x:c>
      <x:c r="H960" s="20" t="n">
        <x:f>'Controls'!$B$16</x:f>
        <x:v>0.3</x:v>
      </x:c>
      <x:c r="I960" s="20" t="n">
        <x:v>1</x:v>
      </x:c>
      <x:c r="J960" s="20" t="n">
        <x:v>-1</x:v>
      </x:c>
      <x:c r="K960" s="20" t="n">
        <x:f>F960*G960*H960*I960*J960</x:f>
        <x:v>-80.85</x:v>
      </x:c>
      <x:c r="L960" s="7" t="str">
        <x:v>Beam forms measured in FW02</x:v>
      </x:c>
      <x:c r="M960" s="2"/>
      <x:c r="N960" s="2"/>
      <x:c r="O960" s="2"/>
      <x:c r="P960" s="2"/>
      <x:c r="Q960" s="2"/>
    </x:row>
    <x:row r="961" ht="22" customHeight="1">
      <x:c r="A961" s="2" t="str">
        <x:v>M0954</x:v>
      </x:c>
      <x:c r="B961" s="2" t="str">
        <x:v>FW03</x:v>
      </x:c>
      <x:c r="C961" s="2" t="str">
        <x:v>T4</x:v>
      </x:c>
      <x:c r="D961" s="2" t="str">
        <x:v>L01</x:v>
      </x:c>
      <x:c r="E961" s="2" t="str">
        <x:v>Column four faces</x:v>
      </x:c>
      <x:c r="F961" s="21" t="n">
        <x:v>30</x:v>
      </x:c>
      <x:c r="G961" s="21" t="n">
        <x:f>2*('Controls'!$B$14+'Controls'!$B$15)</x:f>
        <x:v>2</x:v>
      </x:c>
      <x:c r="H961" s="21" t="n">
        <x:f>'Controls'!$B$12-'Controls'!$B$13</x:f>
        <x:v>2.98</x:v>
      </x:c>
      <x:c r="I961" s="21" t="n">
        <x:v>1</x:v>
      </x:c>
      <x:c r="J961" s="21" t="n">
        <x:v>1</x:v>
      </x:c>
      <x:c r="K961" s="21" t="n">
        <x:f>F961*G961*H961*I961*J961</x:f>
        <x:v>178.8</x:v>
      </x:c>
      <x:c r="L961" s="2" t="str">
        <x:v>Clear floor-to-soffit</x:v>
      </x:c>
      <x:c r="M961" s="2"/>
      <x:c r="N961" s="2"/>
      <x:c r="O961" s="2"/>
      <x:c r="P961" s="2"/>
      <x:c r="Q961" s="2"/>
    </x:row>
    <x:row r="962" ht="22" customHeight="1">
      <x:c r="A962" s="7" t="str">
        <x:v>M0955</x:v>
      </x:c>
      <x:c r="B962" s="7" t="str">
        <x:v>FW04</x:v>
      </x:c>
      <x:c r="C962" s="7" t="str">
        <x:v>T4</x:v>
      </x:c>
      <x:c r="D962" s="7" t="str">
        <x:v>L01</x:v>
      </x:c>
      <x:c r="E962" s="7" t="str">
        <x:v>Core wall two faces</x:v>
      </x:c>
      <x:c r="F962" s="20" t="n">
        <x:v>2</x:v>
      </x:c>
      <x:c r="G962" s="20" t="n">
        <x:f>'Controls'!$B$19</x:f>
        <x:v>24</x:v>
      </x:c>
      <x:c r="H962" s="20" t="n">
        <x:f>'Controls'!$B$12-'Controls'!$B$13</x:f>
        <x:v>2.98</x:v>
      </x:c>
      <x:c r="I962" s="20" t="n">
        <x:v>1</x:v>
      </x:c>
      <x:c r="J962" s="20" t="n">
        <x:v>1</x:v>
      </x:c>
      <x:c r="K962" s="20" t="n">
        <x:f>F962*G962*H962*I962*J962</x:f>
        <x:v>143.04</x:v>
      </x:c>
      <x:c r="L962" s="7" t="str">
        <x:v>Net perimeter, no repeated corners</x:v>
      </x:c>
      <x:c r="M962" s="2"/>
      <x:c r="N962" s="2"/>
      <x:c r="O962" s="2"/>
      <x:c r="P962" s="2"/>
      <x:c r="Q962" s="2"/>
    </x:row>
    <x:row r="963" ht="22" customHeight="1">
      <x:c r="A963" s="2" t="str">
        <x:v>M0956</x:v>
      </x:c>
      <x:c r="B963" s="2" t="str">
        <x:v>AR01</x:v>
      </x:c>
      <x:c r="C963" s="2" t="str">
        <x:v>T4</x:v>
      </x:c>
      <x:c r="D963" s="2" t="str">
        <x:v>L01</x:v>
      </x:c>
      <x:c r="E963" s="2" t="str">
        <x:v>Partition walls gross</x:v>
      </x:c>
      <x:c r="F963" s="21" t="n">
        <x:v>1</x:v>
      </x:c>
      <x:c r="G963" s="21" t="n">
        <x:f>'Controls'!$B$45</x:f>
        <x:v>220</x:v>
      </x:c>
      <x:c r="H963" s="21" t="n">
        <x:f>'Controls'!$B$12-'Controls'!$B$13</x:f>
        <x:v>2.98</x:v>
      </x:c>
      <x:c r="I963" s="21" t="n">
        <x:f>'Controls'!$B$46</x:f>
        <x:v>0.15</x:v>
      </x:c>
      <x:c r="J963" s="21" t="n">
        <x:v>1</x:v>
      </x:c>
      <x:c r="K963" s="21" t="n">
        <x:f>F963*G963*H963*I963*J963</x:f>
        <x:v>98.34</x:v>
      </x:c>
      <x:c r="L963" s="2" t="str">
        <x:v>Net openings deducted below</x:v>
      </x:c>
      <x:c r="M963" s="2"/>
      <x:c r="N963" s="2"/>
      <x:c r="O963" s="2"/>
      <x:c r="P963" s="2"/>
      <x:c r="Q963" s="2"/>
    </x:row>
    <x:row r="964" ht="22" customHeight="1">
      <x:c r="A964" s="7" t="str">
        <x:v>M0957</x:v>
      </x:c>
      <x:c r="B964" s="7" t="str">
        <x:v>AR01</x:v>
      </x:c>
      <x:c r="C964" s="7" t="str">
        <x:v>T4</x:v>
      </x:c>
      <x:c r="D964" s="7" t="str">
        <x:v>L01</x:v>
      </x:c>
      <x:c r="E964" s="7" t="str">
        <x:v>Internal doors deduction</x:v>
      </x:c>
      <x:c r="F964" s="20" t="n">
        <x:f>'Controls'!$B$48</x:f>
        <x:v>28</x:v>
      </x:c>
      <x:c r="G964" s="20" t="n">
        <x:f>'Controls'!$B$49</x:f>
        <x:v>0.9</x:v>
      </x:c>
      <x:c r="H964" s="20" t="n">
        <x:f>'Controls'!$B$50</x:f>
        <x:v>2.1</x:v>
      </x:c>
      <x:c r="I964" s="20" t="n">
        <x:f>'Controls'!$B$46</x:f>
        <x:v>0.15</x:v>
      </x:c>
      <x:c r="J964" s="20" t="n">
        <x:v>-1</x:v>
      </x:c>
      <x:c r="K964" s="20" t="n">
        <x:f>F964*G964*H964*I964*J964</x:f>
        <x:v>-7.938</x:v>
      </x:c>
      <x:c r="L964" s="7" t="str">
        <x:v>28 doors per floor, OP-02</x:v>
      </x:c>
      <x:c r="M964" s="2"/>
      <x:c r="N964" s="2"/>
      <x:c r="O964" s="2"/>
      <x:c r="P964" s="2"/>
      <x:c r="Q964" s="2"/>
    </x:row>
    <x:row r="965" ht="22" customHeight="1">
      <x:c r="A965" s="2" t="str">
        <x:v>M0958</x:v>
      </x:c>
      <x:c r="B965" s="2" t="str">
        <x:v>AR02</x:v>
      </x:c>
      <x:c r="C965" s="2" t="str">
        <x:v>T4</x:v>
      </x:c>
      <x:c r="D965" s="2" t="str">
        <x:v>L01</x:v>
      </x:c>
      <x:c r="E965" s="2" t="str">
        <x:v>Internal plaster gross</x:v>
      </x:c>
      <x:c r="F965" s="21" t="n">
        <x:v>2</x:v>
      </x:c>
      <x:c r="G965" s="21" t="n">
        <x:f>'Controls'!$B$45</x:f>
        <x:v>220</x:v>
      </x:c>
      <x:c r="H965" s="21" t="n">
        <x:f>'Controls'!$B$12-'Controls'!$B$13</x:f>
        <x:v>2.98</x:v>
      </x:c>
      <x:c r="I965" s="21" t="n">
        <x:v>1</x:v>
      </x:c>
      <x:c r="J965" s="21" t="n">
        <x:v>1</x:v>
      </x:c>
      <x:c r="K965" s="21" t="n">
        <x:f>F965*G965*H965*I965*J965</x:f>
        <x:v>1311.2</x:v>
      </x:c>
      <x:c r="L965" s="2" t="str">
        <x:v>Both faces of partition walls</x:v>
      </x:c>
      <x:c r="M965" s="2"/>
      <x:c r="N965" s="2"/>
      <x:c r="O965" s="2"/>
      <x:c r="P965" s="2"/>
      <x:c r="Q965" s="2"/>
    </x:row>
    <x:row r="966" ht="22" customHeight="1">
      <x:c r="A966" s="7" t="str">
        <x:v>M0959</x:v>
      </x:c>
      <x:c r="B966" s="7" t="str">
        <x:v>AR02</x:v>
      </x:c>
      <x:c r="C966" s="7" t="str">
        <x:v>T4</x:v>
      </x:c>
      <x:c r="D966" s="7" t="str">
        <x:v>L01</x:v>
      </x:c>
      <x:c r="E966" s="7" t="str">
        <x:v>Door area deduction both faces</x:v>
      </x:c>
      <x:c r="F966" s="20" t="n">
        <x:f>2*'Controls'!$B$48</x:f>
        <x:v>56</x:v>
      </x:c>
      <x:c r="G966" s="20" t="n">
        <x:f>'Controls'!$B$49</x:f>
        <x:v>0.9</x:v>
      </x:c>
      <x:c r="H966" s="20" t="n">
        <x:f>'Controls'!$B$50</x:f>
        <x:v>2.1</x:v>
      </x:c>
      <x:c r="I966" s="20" t="n">
        <x:v>1</x:v>
      </x:c>
      <x:c r="J966" s="20" t="n">
        <x:v>-1</x:v>
      </x:c>
      <x:c r="K966" s="20" t="n">
        <x:f>F966*G966*H966*I966*J966</x:f>
        <x:v>-105.84</x:v>
      </x:c>
      <x:c r="L966" s="7" t="str">
        <x:v>No plaster over openings</x:v>
      </x:c>
      <x:c r="M966" s="2"/>
      <x:c r="N966" s="2"/>
      <x:c r="O966" s="2"/>
      <x:c r="P966" s="2"/>
      <x:c r="Q966" s="2"/>
    </x:row>
    <x:row r="967" ht="22" customHeight="1">
      <x:c r="A967" s="2" t="str">
        <x:v>M0960</x:v>
      </x:c>
      <x:c r="B967" s="2" t="str">
        <x:v>AR03</x:v>
      </x:c>
      <x:c r="C967" s="2" t="str">
        <x:v>T4</x:v>
      </x:c>
      <x:c r="D967" s="2" t="str">
        <x:v>L01</x:v>
      </x:c>
      <x:c r="E967" s="2" t="str">
        <x:v>Floor screed net</x:v>
      </x:c>
      <x:c r="F967" s="21" t="n">
        <x:v>1</x:v>
      </x:c>
      <x:c r="G967" s="21" t="n">
        <x:f>'Controls'!$B$10*'Controls'!$B$11-'Controls'!$B$20*'Controls'!$B$21</x:f>
        <x:v>696</x:v>
      </x:c>
      <x:c r="H967" s="21" t="n">
        <x:v>1</x:v>
      </x:c>
      <x:c r="I967" s="21" t="n">
        <x:v>1</x:v>
      </x:c>
      <x:c r="J967" s="21" t="n">
        <x:v>1</x:v>
      </x:c>
      <x:c r="K967" s="21" t="n">
        <x:f>F967*G967*H967*I967*J967</x:f>
        <x:v>696</x:v>
      </x:c>
      <x:c r="L967" s="2" t="str">
        <x:v>Net structural floor area</x:v>
      </x:c>
      <x:c r="M967" s="2"/>
      <x:c r="N967" s="2"/>
      <x:c r="O967" s="2"/>
      <x:c r="P967" s="2"/>
      <x:c r="Q967" s="2"/>
    </x:row>
    <x:row r="968" ht="22" customHeight="1">
      <x:c r="A968" s="7" t="str">
        <x:v>M0961</x:v>
      </x:c>
      <x:c r="B968" s="7" t="str">
        <x:v>AR04</x:v>
      </x:c>
      <x:c r="C968" s="7" t="str">
        <x:v>T4</x:v>
      </x:c>
      <x:c r="D968" s="7" t="str">
        <x:v>L01</x:v>
      </x:c>
      <x:c r="E968" s="7" t="str">
        <x:v>Floor finish net</x:v>
      </x:c>
      <x:c r="F968" s="20" t="n">
        <x:v>1</x:v>
      </x:c>
      <x:c r="G968" s="20" t="n">
        <x:f>'Controls'!$B$10*'Controls'!$B$11-'Controls'!$B$20*'Controls'!$B$21</x:f>
        <x:v>696</x:v>
      </x:c>
      <x:c r="H968" s="20" t="n">
        <x:v>1</x:v>
      </x:c>
      <x:c r="I968" s="20" t="n">
        <x:v>1</x:v>
      </x:c>
      <x:c r="J968" s="20" t="n">
        <x:v>1</x:v>
      </x:c>
      <x:c r="K968" s="20" t="n">
        <x:f>F968*G968*H968*I968*J968</x:f>
        <x:v>696</x:v>
      </x:c>
      <x:c r="L968" s="7" t="str">
        <x:v>Waste excluded from BOQ</x:v>
      </x:c>
      <x:c r="M968" s="2"/>
      <x:c r="N968" s="2"/>
      <x:c r="O968" s="2"/>
      <x:c r="P968" s="2"/>
      <x:c r="Q968" s="2"/>
    </x:row>
    <x:row r="969" ht="22" customHeight="1">
      <x:c r="A969" s="2" t="str">
        <x:v>M0962</x:v>
      </x:c>
      <x:c r="B969" s="2" t="str">
        <x:v>AR05</x:v>
      </x:c>
      <x:c r="C969" s="2" t="str">
        <x:v>T4</x:v>
      </x:c>
      <x:c r="D969" s="2" t="str">
        <x:v>L01</x:v>
      </x:c>
      <x:c r="E969" s="2" t="str">
        <x:v>Internal wall paint net</x:v>
      </x:c>
      <x:c r="F969" s="21" t="n">
        <x:v>2</x:v>
      </x:c>
      <x:c r="G969" s="21" t="n">
        <x:f>'Controls'!$B$45*('Controls'!$B$12-'Controls'!$B$13)-'Controls'!$B$48*'Controls'!$B$49*'Controls'!$B$50</x:f>
        <x:v>602.6800000000001</x:v>
      </x:c>
      <x:c r="H969" s="21" t="n">
        <x:v>1</x:v>
      </x:c>
      <x:c r="I969" s="21" t="n">
        <x:v>1</x:v>
      </x:c>
      <x:c r="J969" s="21" t="n">
        <x:v>1</x:v>
      </x:c>
      <x:c r="K969" s="21" t="n">
        <x:f>F969*G969*H969*I969*J969</x:f>
        <x:v>1205.3600000000001</x:v>
      </x:c>
      <x:c r="L969" s="2" t="str">
        <x:v>Finished area; two coats priced in rate</x:v>
      </x:c>
      <x:c r="M969" s="2"/>
      <x:c r="N969" s="2"/>
      <x:c r="O969" s="2"/>
      <x:c r="P969" s="2"/>
      <x:c r="Q969" s="2"/>
    </x:row>
    <x:row r="970" ht="22" customHeight="1">
      <x:c r="A970" s="7" t="str">
        <x:v>M0963</x:v>
      </x:c>
      <x:c r="B970" s="7" t="str">
        <x:v>AR06</x:v>
      </x:c>
      <x:c r="C970" s="7" t="str">
        <x:v>T4</x:v>
      </x:c>
      <x:c r="D970" s="7" t="str">
        <x:v>L01</x:v>
      </x:c>
      <x:c r="E970" s="7" t="str">
        <x:v>Door sets</x:v>
      </x:c>
      <x:c r="F970" s="20" t="n">
        <x:f>'Controls'!$B$48</x:f>
        <x:v>28</x:v>
      </x:c>
      <x:c r="G970" s="20" t="n">
        <x:v>1</x:v>
      </x:c>
      <x:c r="H970" s="20" t="n">
        <x:v>1</x:v>
      </x:c>
      <x:c r="I970" s="20" t="n">
        <x:v>1</x:v>
      </x:c>
      <x:c r="J970" s="20" t="n">
        <x:v>1</x:v>
      </x:c>
      <x:c r="K970" s="20" t="n">
        <x:f>F970*G970*H970*I970*J970</x:f>
        <x:v>28</x:v>
      </x:c>
      <x:c r="L970" s="7" t="str">
        <x:v>Door count, not double face</x:v>
      </x:c>
      <x:c r="M970" s="2"/>
      <x:c r="N970" s="2"/>
      <x:c r="O970" s="2"/>
      <x:c r="P970" s="2"/>
      <x:c r="Q970" s="2"/>
    </x:row>
    <x:row r="971" ht="22" customHeight="1">
      <x:c r="A971" s="2" t="str">
        <x:v>M0964</x:v>
      </x:c>
      <x:c r="B971" s="2" t="str">
        <x:v>RC03</x:v>
      </x:c>
      <x:c r="C971" s="2" t="str">
        <x:v>T4</x:v>
      </x:c>
      <x:c r="D971" s="2" t="str">
        <x:v>L02</x:v>
      </x:c>
      <x:c r="E971" s="2" t="str">
        <x:v>Floor slab gross</x:v>
      </x:c>
      <x:c r="F971" s="21" t="n">
        <x:v>1</x:v>
      </x:c>
      <x:c r="G971" s="21" t="n">
        <x:f>'Controls'!$B$10</x:f>
        <x:v>30</x:v>
      </x:c>
      <x:c r="H971" s="21" t="n">
        <x:f>'Controls'!$B$11</x:f>
        <x:v>24</x:v>
      </x:c>
      <x:c r="I971" s="21" t="n">
        <x:f>'Controls'!$B$13</x:f>
        <x:v>0.22</x:v>
      </x:c>
      <x:c r="J971" s="21" t="n">
        <x:v>1</x:v>
      </x:c>
      <x:c r="K971" s="21" t="n">
        <x:f>F971*G971*H971*I971*J971</x:f>
        <x:v>158.4</x:v>
      </x:c>
      <x:c r="L971" s="2" t="str">
        <x:v>Slab includes beam top flange; downstand separate</x:v>
      </x:c>
      <x:c r="M971" s="2"/>
      <x:c r="N971" s="2"/>
      <x:c r="O971" s="2"/>
      <x:c r="P971" s="2"/>
      <x:c r="Q971" s="2"/>
    </x:row>
    <x:row r="972" ht="22" customHeight="1">
      <x:c r="A972" s="7" t="str">
        <x:v>M0965</x:v>
      </x:c>
      <x:c r="B972" s="7" t="str">
        <x:v>RC03</x:v>
      </x:c>
      <x:c r="C972" s="7" t="str">
        <x:v>T4</x:v>
      </x:c>
      <x:c r="D972" s="7" t="str">
        <x:v>L02</x:v>
      </x:c>
      <x:c r="E972" s="7" t="str">
        <x:v>Stair opening deduction</x:v>
      </x:c>
      <x:c r="F972" s="20" t="n">
        <x:v>1</x:v>
      </x:c>
      <x:c r="G972" s="20" t="n">
        <x:f>'Controls'!$B$20</x:f>
        <x:v>4</x:v>
      </x:c>
      <x:c r="H972" s="20" t="n">
        <x:f>'Controls'!$B$21</x:f>
        <x:v>6</x:v>
      </x:c>
      <x:c r="I972" s="20" t="n">
        <x:f>'Controls'!$B$13</x:f>
        <x:v>0.22</x:v>
      </x:c>
      <x:c r="J972" s="20" t="n">
        <x:v>-1</x:v>
      </x:c>
      <x:c r="K972" s="20" t="n">
        <x:f>F972*G972*H972*I972*J972</x:f>
        <x:v>-5.28</x:v>
      </x:c>
      <x:c r="L972" s="7" t="str">
        <x:v>Opening OP-01</x:v>
      </x:c>
      <x:c r="M972" s="2"/>
      <x:c r="N972" s="2"/>
      <x:c r="O972" s="2"/>
      <x:c r="P972" s="2"/>
      <x:c r="Q972" s="2"/>
    </x:row>
    <x:row r="973" ht="22" customHeight="1">
      <x:c r="A973" s="2" t="str">
        <x:v>M0966</x:v>
      </x:c>
      <x:c r="B973" s="2" t="str">
        <x:v>RC04</x:v>
      </x:c>
      <x:c r="C973" s="2" t="str">
        <x:v>T4</x:v>
      </x:c>
      <x:c r="D973" s="2" t="str">
        <x:v>L02</x:v>
      </x:c>
      <x:c r="E973" s="2" t="str">
        <x:v>Beam downstands X</x:v>
      </x:c>
      <x:c r="F973" s="21" t="n">
        <x:v>1</x:v>
      </x:c>
      <x:c r="G973" s="21" t="n">
        <x:f>5*5*('Controls'!$B$10/5-'Controls'!$B$14)</x:f>
        <x:v>137.5</x:v>
      </x:c>
      <x:c r="H973" s="21" t="n">
        <x:f>'Controls'!$B$16</x:f>
        <x:v>0.3</x:v>
      </x:c>
      <x:c r="I973" s="21" t="n">
        <x:f>'Controls'!$B$17-'Controls'!$B$13</x:f>
        <x:v>0.38</x:v>
      </x:c>
      <x:c r="J973" s="21" t="n">
        <x:v>1</x:v>
      </x:c>
      <x:c r="K973" s="21" t="n">
        <x:f>F973*G973*H973*I973*J973</x:f>
        <x:v>15.675</x:v>
      </x:c>
      <x:c r="L973" s="2" t="str">
        <x:v>Clear spans between column faces; no joint overlap</x:v>
      </x:c>
      <x:c r="M973" s="2"/>
      <x:c r="N973" s="2"/>
      <x:c r="O973" s="2"/>
      <x:c r="P973" s="2"/>
      <x:c r="Q973" s="2"/>
    </x:row>
    <x:row r="974" ht="22" customHeight="1">
      <x:c r="A974" s="7" t="str">
        <x:v>M0967</x:v>
      </x:c>
      <x:c r="B974" s="7" t="str">
        <x:v>FW02</x:v>
      </x:c>
      <x:c r="C974" s="7" t="str">
        <x:v>T4</x:v>
      </x:c>
      <x:c r="D974" s="7" t="str">
        <x:v>L02</x:v>
      </x:c>
      <x:c r="E974" s="7" t="str">
        <x:v>Beam forms X</x:v>
      </x:c>
      <x:c r="F974" s="20" t="n">
        <x:v>1</x:v>
      </x:c>
      <x:c r="G974" s="20" t="n">
        <x:f>5*5*('Controls'!$B$10/5-'Controls'!$B$14)</x:f>
        <x:v>137.5</x:v>
      </x:c>
      <x:c r="H974" s="20" t="n">
        <x:f>'Controls'!$B$16+2*('Controls'!$B$17-'Controls'!$B$13)</x:f>
        <x:v>1.06</x:v>
      </x:c>
      <x:c r="I974" s="20" t="n">
        <x:v>1</x:v>
      </x:c>
      <x:c r="J974" s="20" t="n">
        <x:v>1</x:v>
      </x:c>
      <x:c r="K974" s="20" t="n">
        <x:f>F974*G974*H974*I974*J974</x:f>
        <x:v>145.75</x:v>
      </x:c>
      <x:c r="L974" s="7" t="str">
        <x:v>Soffit plus two downstand sides</x:v>
      </x:c>
      <x:c r="M974" s="2"/>
      <x:c r="N974" s="2"/>
      <x:c r="O974" s="2"/>
      <x:c r="P974" s="2"/>
      <x:c r="Q974" s="2"/>
    </x:row>
    <x:row r="975" ht="22" customHeight="1">
      <x:c r="A975" s="2" t="str">
        <x:v>M0968</x:v>
      </x:c>
      <x:c r="B975" s="2" t="str">
        <x:v>RC04</x:v>
      </x:c>
      <x:c r="C975" s="2" t="str">
        <x:v>T4</x:v>
      </x:c>
      <x:c r="D975" s="2" t="str">
        <x:v>L02</x:v>
      </x:c>
      <x:c r="E975" s="2" t="str">
        <x:v>Beam downstands Y</x:v>
      </x:c>
      <x:c r="F975" s="21" t="n">
        <x:v>1</x:v>
      </x:c>
      <x:c r="G975" s="21" t="n">
        <x:f>6*4*('Controls'!$B$11/4-'Controls'!$B$15)</x:f>
        <x:v>132</x:v>
      </x:c>
      <x:c r="H975" s="21" t="n">
        <x:f>'Controls'!$B$16</x:f>
        <x:v>0.3</x:v>
      </x:c>
      <x:c r="I975" s="21" t="n">
        <x:f>'Controls'!$B$17-'Controls'!$B$13</x:f>
        <x:v>0.38</x:v>
      </x:c>
      <x:c r="J975" s="21" t="n">
        <x:v>1</x:v>
      </x:c>
      <x:c r="K975" s="21" t="n">
        <x:f>F975*G975*H975*I975*J975</x:f>
        <x:v>15.048</x:v>
      </x:c>
      <x:c r="L975" s="2" t="str">
        <x:v>Clear spans between column faces; no joint overlap</x:v>
      </x:c>
      <x:c r="M975" s="2"/>
      <x:c r="N975" s="2"/>
      <x:c r="O975" s="2"/>
      <x:c r="P975" s="2"/>
      <x:c r="Q975" s="2"/>
    </x:row>
    <x:row r="976" ht="22" customHeight="1">
      <x:c r="A976" s="7" t="str">
        <x:v>M0969</x:v>
      </x:c>
      <x:c r="B976" s="7" t="str">
        <x:v>FW02</x:v>
      </x:c>
      <x:c r="C976" s="7" t="str">
        <x:v>T4</x:v>
      </x:c>
      <x:c r="D976" s="7" t="str">
        <x:v>L02</x:v>
      </x:c>
      <x:c r="E976" s="7" t="str">
        <x:v>Beam forms Y</x:v>
      </x:c>
      <x:c r="F976" s="20" t="n">
        <x:v>1</x:v>
      </x:c>
      <x:c r="G976" s="20" t="n">
        <x:f>6*4*('Controls'!$B$11/4-'Controls'!$B$15)</x:f>
        <x:v>132</x:v>
      </x:c>
      <x:c r="H976" s="20" t="n">
        <x:f>'Controls'!$B$16+2*('Controls'!$B$17-'Controls'!$B$13)</x:f>
        <x:v>1.06</x:v>
      </x:c>
      <x:c r="I976" s="20" t="n">
        <x:v>1</x:v>
      </x:c>
      <x:c r="J976" s="20" t="n">
        <x:v>1</x:v>
      </x:c>
      <x:c r="K976" s="20" t="n">
        <x:f>F976*G976*H976*I976*J976</x:f>
        <x:v>139.92000000000002</x:v>
      </x:c>
      <x:c r="L976" s="7" t="str">
        <x:v>Soffit plus two downstand sides</x:v>
      </x:c>
      <x:c r="M976" s="2"/>
      <x:c r="N976" s="2"/>
      <x:c r="O976" s="2"/>
      <x:c r="P976" s="2"/>
      <x:c r="Q976" s="2"/>
    </x:row>
    <x:row r="977" ht="22" customHeight="1">
      <x:c r="A977" s="2" t="str">
        <x:v>M0970</x:v>
      </x:c>
      <x:c r="B977" s="2" t="str">
        <x:v>RC05</x:v>
      </x:c>
      <x:c r="C977" s="2" t="str">
        <x:v>T4</x:v>
      </x:c>
      <x:c r="D977" s="2" t="str">
        <x:v>L02</x:v>
      </x:c>
      <x:c r="E977" s="2" t="str">
        <x:v>Thirty columns, clear storey</x:v>
      </x:c>
      <x:c r="F977" s="21" t="n">
        <x:v>30</x:v>
      </x:c>
      <x:c r="G977" s="21" t="n">
        <x:f>'Controls'!$B$14</x:f>
        <x:v>0.5</x:v>
      </x:c>
      <x:c r="H977" s="21" t="n">
        <x:f>'Controls'!$B$15</x:f>
        <x:v>0.5</x:v>
      </x:c>
      <x:c r="I977" s="21" t="n">
        <x:f>'Controls'!$B$12-'Controls'!$B$13</x:f>
        <x:v>2.98</x:v>
      </x:c>
      <x:c r="J977" s="21" t="n">
        <x:v>1</x:v>
      </x:c>
      <x:c r="K977" s="21" t="n">
        <x:f>F977*G977*H977*I977*J977</x:f>
        <x:v>22.35</x:v>
      </x:c>
      <x:c r="L977" s="2" t="str">
        <x:v>Slab volume excluded from columns</x:v>
      </x:c>
      <x:c r="M977" s="2"/>
      <x:c r="N977" s="2"/>
      <x:c r="O977" s="2"/>
      <x:c r="P977" s="2"/>
      <x:c r="Q977" s="2"/>
    </x:row>
    <x:row r="978" ht="22" customHeight="1">
      <x:c r="A978" s="7" t="str">
        <x:v>M0971</x:v>
      </x:c>
      <x:c r="B978" s="7" t="str">
        <x:v>RC06</x:v>
      </x:c>
      <x:c r="C978" s="7" t="str">
        <x:v>T4</x:v>
      </x:c>
      <x:c r="D978" s="7" t="str">
        <x:v>L02</x:v>
      </x:c>
      <x:c r="E978" s="7" t="str">
        <x:v>Core walls clear storey</x:v>
      </x:c>
      <x:c r="F978" s="20" t="n">
        <x:v>1</x:v>
      </x:c>
      <x:c r="G978" s="20" t="n">
        <x:f>'Controls'!$B$19</x:f>
        <x:v>24</x:v>
      </x:c>
      <x:c r="H978" s="20" t="n">
        <x:f>'Controls'!$B$18</x:f>
        <x:v>0.25</x:v>
      </x:c>
      <x:c r="I978" s="20" t="n">
        <x:f>'Controls'!$B$12-'Controls'!$B$13</x:f>
        <x:v>2.98</x:v>
      </x:c>
      <x:c r="J978" s="20" t="n">
        <x:v>1</x:v>
      </x:c>
      <x:c r="K978" s="20" t="n">
        <x:f>F978*G978*H978*I978*J978</x:f>
        <x:v>17.88</x:v>
      </x:c>
      <x:c r="L978" s="7" t="str">
        <x:v>Net clear wall length excludes corners</x:v>
      </x:c>
      <x:c r="M978" s="2"/>
      <x:c r="N978" s="2"/>
      <x:c r="O978" s="2"/>
      <x:c r="P978" s="2"/>
      <x:c r="Q978" s="2"/>
    </x:row>
    <x:row r="979" ht="22" customHeight="1">
      <x:c r="A979" s="2" t="str">
        <x:v>M0972</x:v>
      </x:c>
      <x:c r="B979" s="2" t="str">
        <x:v>RC07</x:v>
      </x:c>
      <x:c r="C979" s="2" t="str">
        <x:v>T4</x:v>
      </x:c>
      <x:c r="D979" s="2" t="str">
        <x:v>L02</x:v>
      </x:c>
      <x:c r="E979" s="2" t="str">
        <x:v>Stair flights waist</x:v>
      </x:c>
      <x:c r="F979" s="21" t="n">
        <x:v>2</x:v>
      </x:c>
      <x:c r="G979" s="21" t="n">
        <x:v>4.1</x:v>
      </x:c>
      <x:c r="H979" s="21" t="n">
        <x:v>1.2</x:v>
      </x:c>
      <x:c r="I979" s="21" t="n">
        <x:v>0.18</x:v>
      </x:c>
      <x:c r="J979" s="21" t="n">
        <x:v>1</x:v>
      </x:c>
      <x:c r="K979" s="21" t="n">
        <x:f>F979*G979*H979*I979*J979</x:f>
        <x:v>1.7711999999999997</x:v>
      </x:c>
      <x:c r="L979" s="2" t="str">
        <x:v>Two flights; geometry separate from floor slab</x:v>
      </x:c>
      <x:c r="M979" s="2"/>
      <x:c r="N979" s="2"/>
      <x:c r="O979" s="2"/>
      <x:c r="P979" s="2"/>
      <x:c r="Q979" s="2"/>
    </x:row>
    <x:row r="980" ht="22" customHeight="1">
      <x:c r="A980" s="7" t="str">
        <x:v>M0973</x:v>
      </x:c>
      <x:c r="B980" s="7" t="str">
        <x:v>RC07</x:v>
      </x:c>
      <x:c r="C980" s="7" t="str">
        <x:v>T4</x:v>
      </x:c>
      <x:c r="D980" s="7" t="str">
        <x:v>L02</x:v>
      </x:c>
      <x:c r="E980" s="7" t="str">
        <x:v>Stair landings</x:v>
      </x:c>
      <x:c r="F980" s="20" t="n">
        <x:v>2</x:v>
      </x:c>
      <x:c r="G980" s="20" t="n">
        <x:v>2</x:v>
      </x:c>
      <x:c r="H980" s="20" t="n">
        <x:v>1.2</x:v>
      </x:c>
      <x:c r="I980" s="20" t="n">
        <x:v>0.18</x:v>
      </x:c>
      <x:c r="J980" s="20" t="n">
        <x:v>1</x:v>
      </x:c>
      <x:c r="K980" s="20" t="n">
        <x:f>F980*G980*H980*I980*J980</x:f>
        <x:v>0.864</x:v>
      </x:c>
      <x:c r="L980" s="7" t="str">
        <x:v>Within stair opening</x:v>
      </x:c>
      <x:c r="M980" s="2"/>
      <x:c r="N980" s="2"/>
      <x:c r="O980" s="2"/>
      <x:c r="P980" s="2"/>
      <x:c r="Q980" s="2"/>
    </x:row>
    <x:row r="981" ht="22" customHeight="1">
      <x:c r="A981" s="2" t="str">
        <x:v>M0974</x:v>
      </x:c>
      <x:c r="B981" s="2" t="str">
        <x:v>FW01</x:v>
      </x:c>
      <x:c r="C981" s="2" t="str">
        <x:v>T4</x:v>
      </x:c>
      <x:c r="D981" s="2" t="str">
        <x:v>L02</x:v>
      </x:c>
      <x:c r="E981" s="2" t="str">
        <x:v>Slab soffit gross</x:v>
      </x:c>
      <x:c r="F981" s="21" t="n">
        <x:v>1</x:v>
      </x:c>
      <x:c r="G981" s="21" t="n">
        <x:f>'Controls'!$B$10</x:f>
        <x:v>30</x:v>
      </x:c>
      <x:c r="H981" s="21" t="n">
        <x:f>'Controls'!$B$11</x:f>
        <x:v>24</x:v>
      </x:c>
      <x:c r="I981" s="21" t="n">
        <x:v>1</x:v>
      </x:c>
      <x:c r="J981" s="21" t="n">
        <x:v>1</x:v>
      </x:c>
      <x:c r="K981" s="21" t="n">
        <x:f>F981*G981*H981*I981*J981</x:f>
        <x:v>720</x:v>
      </x:c>
      <x:c r="L981" s="2" t="str">
        <x:v>Beam soffit deducted below</x:v>
      </x:c>
      <x:c r="M981" s="2"/>
      <x:c r="N981" s="2"/>
      <x:c r="O981" s="2"/>
      <x:c r="P981" s="2"/>
      <x:c r="Q981" s="2"/>
    </x:row>
    <x:row r="982" ht="22" customHeight="1">
      <x:c r="A982" s="7" t="str">
        <x:v>M0975</x:v>
      </x:c>
      <x:c r="B982" s="7" t="str">
        <x:v>FW01</x:v>
      </x:c>
      <x:c r="C982" s="7" t="str">
        <x:v>T4</x:v>
      </x:c>
      <x:c r="D982" s="7" t="str">
        <x:v>L02</x:v>
      </x:c>
      <x:c r="E982" s="7" t="str">
        <x:v>Stair opening deduction</x:v>
      </x:c>
      <x:c r="F982" s="20" t="n">
        <x:v>1</x:v>
      </x:c>
      <x:c r="G982" s="20" t="n">
        <x:f>'Controls'!$B$20</x:f>
        <x:v>4</x:v>
      </x:c>
      <x:c r="H982" s="20" t="n">
        <x:f>'Controls'!$B$21</x:f>
        <x:v>6</x:v>
      </x:c>
      <x:c r="I982" s="20" t="n">
        <x:v>1</x:v>
      </x:c>
      <x:c r="J982" s="20" t="n">
        <x:v>-1</x:v>
      </x:c>
      <x:c r="K982" s="20" t="n">
        <x:f>F982*G982*H982*I982*J982</x:f>
        <x:v>-24</x:v>
      </x:c>
      <x:c r="L982" s="7" t="str">
        <x:v>OP-01</x:v>
      </x:c>
      <x:c r="M982" s="2"/>
      <x:c r="N982" s="2"/>
      <x:c r="O982" s="2"/>
      <x:c r="P982" s="2"/>
      <x:c r="Q982" s="2"/>
    </x:row>
    <x:row r="983" ht="22" customHeight="1">
      <x:c r="A983" s="2" t="str">
        <x:v>M0976</x:v>
      </x:c>
      <x:c r="B983" s="2" t="str">
        <x:v>FW01</x:v>
      </x:c>
      <x:c r="C983" s="2" t="str">
        <x:v>T4</x:v>
      </x:c>
      <x:c r="D983" s="2" t="str">
        <x:v>L02</x:v>
      </x:c>
      <x:c r="E983" s="2" t="str">
        <x:v>Beam soffit deduction</x:v>
      </x:c>
      <x:c r="F983" s="21" t="n">
        <x:v>1</x:v>
      </x:c>
      <x:c r="G983" s="21" t="n">
        <x:f>5*5*('Controls'!$B$10/5-'Controls'!$B$14)+6*4*('Controls'!$B$11/4-'Controls'!$B$15)</x:f>
        <x:v>269.5</x:v>
      </x:c>
      <x:c r="H983" s="21" t="n">
        <x:f>'Controls'!$B$16</x:f>
        <x:v>0.3</x:v>
      </x:c>
      <x:c r="I983" s="21" t="n">
        <x:v>1</x:v>
      </x:c>
      <x:c r="J983" s="21" t="n">
        <x:v>-1</x:v>
      </x:c>
      <x:c r="K983" s="21" t="n">
        <x:f>F983*G983*H983*I983*J983</x:f>
        <x:v>-80.85</x:v>
      </x:c>
      <x:c r="L983" s="2" t="str">
        <x:v>Beam forms measured in FW02</x:v>
      </x:c>
      <x:c r="M983" s="2"/>
      <x:c r="N983" s="2"/>
      <x:c r="O983" s="2"/>
      <x:c r="P983" s="2"/>
      <x:c r="Q983" s="2"/>
    </x:row>
    <x:row r="984" ht="22" customHeight="1">
      <x:c r="A984" s="7" t="str">
        <x:v>M0977</x:v>
      </x:c>
      <x:c r="B984" s="7" t="str">
        <x:v>FW03</x:v>
      </x:c>
      <x:c r="C984" s="7" t="str">
        <x:v>T4</x:v>
      </x:c>
      <x:c r="D984" s="7" t="str">
        <x:v>L02</x:v>
      </x:c>
      <x:c r="E984" s="7" t="str">
        <x:v>Column four faces</x:v>
      </x:c>
      <x:c r="F984" s="20" t="n">
        <x:v>30</x:v>
      </x:c>
      <x:c r="G984" s="20" t="n">
        <x:f>2*('Controls'!$B$14+'Controls'!$B$15)</x:f>
        <x:v>2</x:v>
      </x:c>
      <x:c r="H984" s="20" t="n">
        <x:f>'Controls'!$B$12-'Controls'!$B$13</x:f>
        <x:v>2.98</x:v>
      </x:c>
      <x:c r="I984" s="20" t="n">
        <x:v>1</x:v>
      </x:c>
      <x:c r="J984" s="20" t="n">
        <x:v>1</x:v>
      </x:c>
      <x:c r="K984" s="20" t="n">
        <x:f>F984*G984*H984*I984*J984</x:f>
        <x:v>178.8</x:v>
      </x:c>
      <x:c r="L984" s="7" t="str">
        <x:v>Clear floor-to-soffit</x:v>
      </x:c>
      <x:c r="M984" s="2"/>
      <x:c r="N984" s="2"/>
      <x:c r="O984" s="2"/>
      <x:c r="P984" s="2"/>
      <x:c r="Q984" s="2"/>
    </x:row>
    <x:row r="985" ht="22" customHeight="1">
      <x:c r="A985" s="2" t="str">
        <x:v>M0978</x:v>
      </x:c>
      <x:c r="B985" s="2" t="str">
        <x:v>FW04</x:v>
      </x:c>
      <x:c r="C985" s="2" t="str">
        <x:v>T4</x:v>
      </x:c>
      <x:c r="D985" s="2" t="str">
        <x:v>L02</x:v>
      </x:c>
      <x:c r="E985" s="2" t="str">
        <x:v>Core wall two faces</x:v>
      </x:c>
      <x:c r="F985" s="21" t="n">
        <x:v>2</x:v>
      </x:c>
      <x:c r="G985" s="21" t="n">
        <x:f>'Controls'!$B$19</x:f>
        <x:v>24</x:v>
      </x:c>
      <x:c r="H985" s="21" t="n">
        <x:f>'Controls'!$B$12-'Controls'!$B$13</x:f>
        <x:v>2.98</x:v>
      </x:c>
      <x:c r="I985" s="21" t="n">
        <x:v>1</x:v>
      </x:c>
      <x:c r="J985" s="21" t="n">
        <x:v>1</x:v>
      </x:c>
      <x:c r="K985" s="21" t="n">
        <x:f>F985*G985*H985*I985*J985</x:f>
        <x:v>143.04</x:v>
      </x:c>
      <x:c r="L985" s="2" t="str">
        <x:v>Net perimeter, no repeated corners</x:v>
      </x:c>
      <x:c r="M985" s="2"/>
      <x:c r="N985" s="2"/>
      <x:c r="O985" s="2"/>
      <x:c r="P985" s="2"/>
      <x:c r="Q985" s="2"/>
    </x:row>
    <x:row r="986" ht="22" customHeight="1">
      <x:c r="A986" s="7" t="str">
        <x:v>M0979</x:v>
      </x:c>
      <x:c r="B986" s="7" t="str">
        <x:v>AR01</x:v>
      </x:c>
      <x:c r="C986" s="7" t="str">
        <x:v>T4</x:v>
      </x:c>
      <x:c r="D986" s="7" t="str">
        <x:v>L02</x:v>
      </x:c>
      <x:c r="E986" s="7" t="str">
        <x:v>Partition walls gross</x:v>
      </x:c>
      <x:c r="F986" s="20" t="n">
        <x:v>1</x:v>
      </x:c>
      <x:c r="G986" s="20" t="n">
        <x:f>'Controls'!$B$45</x:f>
        <x:v>220</x:v>
      </x:c>
      <x:c r="H986" s="20" t="n">
        <x:f>'Controls'!$B$12-'Controls'!$B$13</x:f>
        <x:v>2.98</x:v>
      </x:c>
      <x:c r="I986" s="20" t="n">
        <x:f>'Controls'!$B$46</x:f>
        <x:v>0.15</x:v>
      </x:c>
      <x:c r="J986" s="20" t="n">
        <x:v>1</x:v>
      </x:c>
      <x:c r="K986" s="20" t="n">
        <x:f>F986*G986*H986*I986*J986</x:f>
        <x:v>98.34</x:v>
      </x:c>
      <x:c r="L986" s="7" t="str">
        <x:v>Net openings deducted below</x:v>
      </x:c>
      <x:c r="M986" s="2"/>
      <x:c r="N986" s="2"/>
      <x:c r="O986" s="2"/>
      <x:c r="P986" s="2"/>
      <x:c r="Q986" s="2"/>
    </x:row>
    <x:row r="987" ht="22" customHeight="1">
      <x:c r="A987" s="2" t="str">
        <x:v>M0980</x:v>
      </x:c>
      <x:c r="B987" s="2" t="str">
        <x:v>AR01</x:v>
      </x:c>
      <x:c r="C987" s="2" t="str">
        <x:v>T4</x:v>
      </x:c>
      <x:c r="D987" s="2" t="str">
        <x:v>L02</x:v>
      </x:c>
      <x:c r="E987" s="2" t="str">
        <x:v>Internal doors deduction</x:v>
      </x:c>
      <x:c r="F987" s="21" t="n">
        <x:f>'Controls'!$B$48</x:f>
        <x:v>28</x:v>
      </x:c>
      <x:c r="G987" s="21" t="n">
        <x:f>'Controls'!$B$49</x:f>
        <x:v>0.9</x:v>
      </x:c>
      <x:c r="H987" s="21" t="n">
        <x:f>'Controls'!$B$50</x:f>
        <x:v>2.1</x:v>
      </x:c>
      <x:c r="I987" s="21" t="n">
        <x:f>'Controls'!$B$46</x:f>
        <x:v>0.15</x:v>
      </x:c>
      <x:c r="J987" s="21" t="n">
        <x:v>-1</x:v>
      </x:c>
      <x:c r="K987" s="21" t="n">
        <x:f>F987*G987*H987*I987*J987</x:f>
        <x:v>-7.938</x:v>
      </x:c>
      <x:c r="L987" s="2" t="str">
        <x:v>28 doors per floor, OP-02</x:v>
      </x:c>
      <x:c r="M987" s="2"/>
      <x:c r="N987" s="2"/>
      <x:c r="O987" s="2"/>
      <x:c r="P987" s="2"/>
      <x:c r="Q987" s="2"/>
    </x:row>
    <x:row r="988" ht="22" customHeight="1">
      <x:c r="A988" s="7" t="str">
        <x:v>M0981</x:v>
      </x:c>
      <x:c r="B988" s="7" t="str">
        <x:v>AR02</x:v>
      </x:c>
      <x:c r="C988" s="7" t="str">
        <x:v>T4</x:v>
      </x:c>
      <x:c r="D988" s="7" t="str">
        <x:v>L02</x:v>
      </x:c>
      <x:c r="E988" s="7" t="str">
        <x:v>Internal plaster gross</x:v>
      </x:c>
      <x:c r="F988" s="20" t="n">
        <x:v>2</x:v>
      </x:c>
      <x:c r="G988" s="20" t="n">
        <x:f>'Controls'!$B$45</x:f>
        <x:v>220</x:v>
      </x:c>
      <x:c r="H988" s="20" t="n">
        <x:f>'Controls'!$B$12-'Controls'!$B$13</x:f>
        <x:v>2.98</x:v>
      </x:c>
      <x:c r="I988" s="20" t="n">
        <x:v>1</x:v>
      </x:c>
      <x:c r="J988" s="20" t="n">
        <x:v>1</x:v>
      </x:c>
      <x:c r="K988" s="20" t="n">
        <x:f>F988*G988*H988*I988*J988</x:f>
        <x:v>1311.2</x:v>
      </x:c>
      <x:c r="L988" s="7" t="str">
        <x:v>Both faces of partition walls</x:v>
      </x:c>
      <x:c r="M988" s="2"/>
      <x:c r="N988" s="2"/>
      <x:c r="O988" s="2"/>
      <x:c r="P988" s="2"/>
      <x:c r="Q988" s="2"/>
    </x:row>
    <x:row r="989" ht="22" customHeight="1">
      <x:c r="A989" s="2" t="str">
        <x:v>M0982</x:v>
      </x:c>
      <x:c r="B989" s="2" t="str">
        <x:v>AR02</x:v>
      </x:c>
      <x:c r="C989" s="2" t="str">
        <x:v>T4</x:v>
      </x:c>
      <x:c r="D989" s="2" t="str">
        <x:v>L02</x:v>
      </x:c>
      <x:c r="E989" s="2" t="str">
        <x:v>Door area deduction both faces</x:v>
      </x:c>
      <x:c r="F989" s="21" t="n">
        <x:f>2*'Controls'!$B$48</x:f>
        <x:v>56</x:v>
      </x:c>
      <x:c r="G989" s="21" t="n">
        <x:f>'Controls'!$B$49</x:f>
        <x:v>0.9</x:v>
      </x:c>
      <x:c r="H989" s="21" t="n">
        <x:f>'Controls'!$B$50</x:f>
        <x:v>2.1</x:v>
      </x:c>
      <x:c r="I989" s="21" t="n">
        <x:v>1</x:v>
      </x:c>
      <x:c r="J989" s="21" t="n">
        <x:v>-1</x:v>
      </x:c>
      <x:c r="K989" s="21" t="n">
        <x:f>F989*G989*H989*I989*J989</x:f>
        <x:v>-105.84</x:v>
      </x:c>
      <x:c r="L989" s="2" t="str">
        <x:v>No plaster over openings</x:v>
      </x:c>
      <x:c r="M989" s="2"/>
      <x:c r="N989" s="2"/>
      <x:c r="O989" s="2"/>
      <x:c r="P989" s="2"/>
      <x:c r="Q989" s="2"/>
    </x:row>
    <x:row r="990" ht="22" customHeight="1">
      <x:c r="A990" s="7" t="str">
        <x:v>M0983</x:v>
      </x:c>
      <x:c r="B990" s="7" t="str">
        <x:v>AR03</x:v>
      </x:c>
      <x:c r="C990" s="7" t="str">
        <x:v>T4</x:v>
      </x:c>
      <x:c r="D990" s="7" t="str">
        <x:v>L02</x:v>
      </x:c>
      <x:c r="E990" s="7" t="str">
        <x:v>Floor screed net</x:v>
      </x:c>
      <x:c r="F990" s="20" t="n">
        <x:v>1</x:v>
      </x:c>
      <x:c r="G990" s="20" t="n">
        <x:f>'Controls'!$B$10*'Controls'!$B$11-'Controls'!$B$20*'Controls'!$B$21</x:f>
        <x:v>696</x:v>
      </x:c>
      <x:c r="H990" s="20" t="n">
        <x:v>1</x:v>
      </x:c>
      <x:c r="I990" s="20" t="n">
        <x:v>1</x:v>
      </x:c>
      <x:c r="J990" s="20" t="n">
        <x:v>1</x:v>
      </x:c>
      <x:c r="K990" s="20" t="n">
        <x:f>F990*G990*H990*I990*J990</x:f>
        <x:v>696</x:v>
      </x:c>
      <x:c r="L990" s="7" t="str">
        <x:v>Net structural floor area</x:v>
      </x:c>
      <x:c r="M990" s="2"/>
      <x:c r="N990" s="2"/>
      <x:c r="O990" s="2"/>
      <x:c r="P990" s="2"/>
      <x:c r="Q990" s="2"/>
    </x:row>
    <x:row r="991" ht="22" customHeight="1">
      <x:c r="A991" s="2" t="str">
        <x:v>M0984</x:v>
      </x:c>
      <x:c r="B991" s="2" t="str">
        <x:v>AR04</x:v>
      </x:c>
      <x:c r="C991" s="2" t="str">
        <x:v>T4</x:v>
      </x:c>
      <x:c r="D991" s="2" t="str">
        <x:v>L02</x:v>
      </x:c>
      <x:c r="E991" s="2" t="str">
        <x:v>Floor finish net</x:v>
      </x:c>
      <x:c r="F991" s="21" t="n">
        <x:v>1</x:v>
      </x:c>
      <x:c r="G991" s="21" t="n">
        <x:f>'Controls'!$B$10*'Controls'!$B$11-'Controls'!$B$20*'Controls'!$B$21</x:f>
        <x:v>696</x:v>
      </x:c>
      <x:c r="H991" s="21" t="n">
        <x:v>1</x:v>
      </x:c>
      <x:c r="I991" s="21" t="n">
        <x:v>1</x:v>
      </x:c>
      <x:c r="J991" s="21" t="n">
        <x:v>1</x:v>
      </x:c>
      <x:c r="K991" s="21" t="n">
        <x:f>F991*G991*H991*I991*J991</x:f>
        <x:v>696</x:v>
      </x:c>
      <x:c r="L991" s="2" t="str">
        <x:v>Waste excluded from BOQ</x:v>
      </x:c>
      <x:c r="M991" s="2"/>
      <x:c r="N991" s="2"/>
      <x:c r="O991" s="2"/>
      <x:c r="P991" s="2"/>
      <x:c r="Q991" s="2"/>
    </x:row>
    <x:row r="992" ht="22" customHeight="1">
      <x:c r="A992" s="7" t="str">
        <x:v>M0985</x:v>
      </x:c>
      <x:c r="B992" s="7" t="str">
        <x:v>AR05</x:v>
      </x:c>
      <x:c r="C992" s="7" t="str">
        <x:v>T4</x:v>
      </x:c>
      <x:c r="D992" s="7" t="str">
        <x:v>L02</x:v>
      </x:c>
      <x:c r="E992" s="7" t="str">
        <x:v>Internal wall paint net</x:v>
      </x:c>
      <x:c r="F992" s="20" t="n">
        <x:v>2</x:v>
      </x:c>
      <x:c r="G992" s="20" t="n">
        <x:f>'Controls'!$B$45*('Controls'!$B$12-'Controls'!$B$13)-'Controls'!$B$48*'Controls'!$B$49*'Controls'!$B$50</x:f>
        <x:v>602.6800000000001</x:v>
      </x:c>
      <x:c r="H992" s="20" t="n">
        <x:v>1</x:v>
      </x:c>
      <x:c r="I992" s="20" t="n">
        <x:v>1</x:v>
      </x:c>
      <x:c r="J992" s="20" t="n">
        <x:v>1</x:v>
      </x:c>
      <x:c r="K992" s="20" t="n">
        <x:f>F992*G992*H992*I992*J992</x:f>
        <x:v>1205.3600000000001</x:v>
      </x:c>
      <x:c r="L992" s="7" t="str">
        <x:v>Finished area; two coats priced in rate</x:v>
      </x:c>
      <x:c r="M992" s="2"/>
      <x:c r="N992" s="2"/>
      <x:c r="O992" s="2"/>
      <x:c r="P992" s="2"/>
      <x:c r="Q992" s="2"/>
    </x:row>
    <x:row r="993" ht="22" customHeight="1">
      <x:c r="A993" s="2" t="str">
        <x:v>M0986</x:v>
      </x:c>
      <x:c r="B993" s="2" t="str">
        <x:v>AR06</x:v>
      </x:c>
      <x:c r="C993" s="2" t="str">
        <x:v>T4</x:v>
      </x:c>
      <x:c r="D993" s="2" t="str">
        <x:v>L02</x:v>
      </x:c>
      <x:c r="E993" s="2" t="str">
        <x:v>Door sets</x:v>
      </x:c>
      <x:c r="F993" s="21" t="n">
        <x:f>'Controls'!$B$48</x:f>
        <x:v>28</x:v>
      </x:c>
      <x:c r="G993" s="21" t="n">
        <x:v>1</x:v>
      </x:c>
      <x:c r="H993" s="21" t="n">
        <x:v>1</x:v>
      </x:c>
      <x:c r="I993" s="21" t="n">
        <x:v>1</x:v>
      </x:c>
      <x:c r="J993" s="21" t="n">
        <x:v>1</x:v>
      </x:c>
      <x:c r="K993" s="21" t="n">
        <x:f>F993*G993*H993*I993*J993</x:f>
        <x:v>28</x:v>
      </x:c>
      <x:c r="L993" s="2" t="str">
        <x:v>Door count, not double face</x:v>
      </x:c>
      <x:c r="M993" s="2"/>
      <x:c r="N993" s="2"/>
      <x:c r="O993" s="2"/>
      <x:c r="P993" s="2"/>
      <x:c r="Q993" s="2"/>
    </x:row>
    <x:row r="994" ht="22" customHeight="1">
      <x:c r="A994" s="7" t="str">
        <x:v>M0987</x:v>
      </x:c>
      <x:c r="B994" s="7" t="str">
        <x:v>RC03</x:v>
      </x:c>
      <x:c r="C994" s="7" t="str">
        <x:v>T4</x:v>
      </x:c>
      <x:c r="D994" s="7" t="str">
        <x:v>L03</x:v>
      </x:c>
      <x:c r="E994" s="7" t="str">
        <x:v>Floor slab gross</x:v>
      </x:c>
      <x:c r="F994" s="20" t="n">
        <x:v>1</x:v>
      </x:c>
      <x:c r="G994" s="20" t="n">
        <x:f>'Controls'!$B$10</x:f>
        <x:v>30</x:v>
      </x:c>
      <x:c r="H994" s="20" t="n">
        <x:f>'Controls'!$B$11</x:f>
        <x:v>24</x:v>
      </x:c>
      <x:c r="I994" s="20" t="n">
        <x:f>'Controls'!$B$13</x:f>
        <x:v>0.22</x:v>
      </x:c>
      <x:c r="J994" s="20" t="n">
        <x:v>1</x:v>
      </x:c>
      <x:c r="K994" s="20" t="n">
        <x:f>F994*G994*H994*I994*J994</x:f>
        <x:v>158.4</x:v>
      </x:c>
      <x:c r="L994" s="7" t="str">
        <x:v>Slab includes beam top flange; downstand separate</x:v>
      </x:c>
      <x:c r="M994" s="2"/>
      <x:c r="N994" s="2"/>
      <x:c r="O994" s="2"/>
      <x:c r="P994" s="2"/>
      <x:c r="Q994" s="2"/>
    </x:row>
    <x:row r="995" ht="22" customHeight="1">
      <x:c r="A995" s="2" t="str">
        <x:v>M0988</x:v>
      </x:c>
      <x:c r="B995" s="2" t="str">
        <x:v>RC03</x:v>
      </x:c>
      <x:c r="C995" s="2" t="str">
        <x:v>T4</x:v>
      </x:c>
      <x:c r="D995" s="2" t="str">
        <x:v>L03</x:v>
      </x:c>
      <x:c r="E995" s="2" t="str">
        <x:v>Stair opening deduction</x:v>
      </x:c>
      <x:c r="F995" s="21" t="n">
        <x:v>1</x:v>
      </x:c>
      <x:c r="G995" s="21" t="n">
        <x:f>'Controls'!$B$20</x:f>
        <x:v>4</x:v>
      </x:c>
      <x:c r="H995" s="21" t="n">
        <x:f>'Controls'!$B$21</x:f>
        <x:v>6</x:v>
      </x:c>
      <x:c r="I995" s="21" t="n">
        <x:f>'Controls'!$B$13</x:f>
        <x:v>0.22</x:v>
      </x:c>
      <x:c r="J995" s="21" t="n">
        <x:v>-1</x:v>
      </x:c>
      <x:c r="K995" s="21" t="n">
        <x:f>F995*G995*H995*I995*J995</x:f>
        <x:v>-5.28</x:v>
      </x:c>
      <x:c r="L995" s="2" t="str">
        <x:v>Opening OP-01</x:v>
      </x:c>
      <x:c r="M995" s="2"/>
      <x:c r="N995" s="2"/>
      <x:c r="O995" s="2"/>
      <x:c r="P995" s="2"/>
      <x:c r="Q995" s="2"/>
    </x:row>
    <x:row r="996" ht="22" customHeight="1">
      <x:c r="A996" s="7" t="str">
        <x:v>M0989</x:v>
      </x:c>
      <x:c r="B996" s="7" t="str">
        <x:v>RC04</x:v>
      </x:c>
      <x:c r="C996" s="7" t="str">
        <x:v>T4</x:v>
      </x:c>
      <x:c r="D996" s="7" t="str">
        <x:v>L03</x:v>
      </x:c>
      <x:c r="E996" s="7" t="str">
        <x:v>Beam downstands X</x:v>
      </x:c>
      <x:c r="F996" s="20" t="n">
        <x:v>1</x:v>
      </x:c>
      <x:c r="G996" s="20" t="n">
        <x:f>5*5*('Controls'!$B$10/5-'Controls'!$B$14)</x:f>
        <x:v>137.5</x:v>
      </x:c>
      <x:c r="H996" s="20" t="n">
        <x:f>'Controls'!$B$16</x:f>
        <x:v>0.3</x:v>
      </x:c>
      <x:c r="I996" s="20" t="n">
        <x:f>'Controls'!$B$17-'Controls'!$B$13</x:f>
        <x:v>0.38</x:v>
      </x:c>
      <x:c r="J996" s="20" t="n">
        <x:v>1</x:v>
      </x:c>
      <x:c r="K996" s="20" t="n">
        <x:f>F996*G996*H996*I996*J996</x:f>
        <x:v>15.675</x:v>
      </x:c>
      <x:c r="L996" s="7" t="str">
        <x:v>Clear spans between column faces; no joint overlap</x:v>
      </x:c>
      <x:c r="M996" s="2"/>
      <x:c r="N996" s="2"/>
      <x:c r="O996" s="2"/>
      <x:c r="P996" s="2"/>
      <x:c r="Q996" s="2"/>
    </x:row>
    <x:row r="997" ht="22" customHeight="1">
      <x:c r="A997" s="2" t="str">
        <x:v>M0990</x:v>
      </x:c>
      <x:c r="B997" s="2" t="str">
        <x:v>FW02</x:v>
      </x:c>
      <x:c r="C997" s="2" t="str">
        <x:v>T4</x:v>
      </x:c>
      <x:c r="D997" s="2" t="str">
        <x:v>L03</x:v>
      </x:c>
      <x:c r="E997" s="2" t="str">
        <x:v>Beam forms X</x:v>
      </x:c>
      <x:c r="F997" s="21" t="n">
        <x:v>1</x:v>
      </x:c>
      <x:c r="G997" s="21" t="n">
        <x:f>5*5*('Controls'!$B$10/5-'Controls'!$B$14)</x:f>
        <x:v>137.5</x:v>
      </x:c>
      <x:c r="H997" s="21" t="n">
        <x:f>'Controls'!$B$16+2*('Controls'!$B$17-'Controls'!$B$13)</x:f>
        <x:v>1.06</x:v>
      </x:c>
      <x:c r="I997" s="21" t="n">
        <x:v>1</x:v>
      </x:c>
      <x:c r="J997" s="21" t="n">
        <x:v>1</x:v>
      </x:c>
      <x:c r="K997" s="21" t="n">
        <x:f>F997*G997*H997*I997*J997</x:f>
        <x:v>145.75</x:v>
      </x:c>
      <x:c r="L997" s="2" t="str">
        <x:v>Soffit plus two downstand sides</x:v>
      </x:c>
      <x:c r="M997" s="2"/>
      <x:c r="N997" s="2"/>
      <x:c r="O997" s="2"/>
      <x:c r="P997" s="2"/>
      <x:c r="Q997" s="2"/>
    </x:row>
    <x:row r="998" ht="22" customHeight="1">
      <x:c r="A998" s="7" t="str">
        <x:v>M0991</x:v>
      </x:c>
      <x:c r="B998" s="7" t="str">
        <x:v>RC04</x:v>
      </x:c>
      <x:c r="C998" s="7" t="str">
        <x:v>T4</x:v>
      </x:c>
      <x:c r="D998" s="7" t="str">
        <x:v>L03</x:v>
      </x:c>
      <x:c r="E998" s="7" t="str">
        <x:v>Beam downstands Y</x:v>
      </x:c>
      <x:c r="F998" s="20" t="n">
        <x:v>1</x:v>
      </x:c>
      <x:c r="G998" s="20" t="n">
        <x:f>6*4*('Controls'!$B$11/4-'Controls'!$B$15)</x:f>
        <x:v>132</x:v>
      </x:c>
      <x:c r="H998" s="20" t="n">
        <x:f>'Controls'!$B$16</x:f>
        <x:v>0.3</x:v>
      </x:c>
      <x:c r="I998" s="20" t="n">
        <x:f>'Controls'!$B$17-'Controls'!$B$13</x:f>
        <x:v>0.38</x:v>
      </x:c>
      <x:c r="J998" s="20" t="n">
        <x:v>1</x:v>
      </x:c>
      <x:c r="K998" s="20" t="n">
        <x:f>F998*G998*H998*I998*J998</x:f>
        <x:v>15.048</x:v>
      </x:c>
      <x:c r="L998" s="7" t="str">
        <x:v>Clear spans between column faces; no joint overlap</x:v>
      </x:c>
      <x:c r="M998" s="2"/>
      <x:c r="N998" s="2"/>
      <x:c r="O998" s="2"/>
      <x:c r="P998" s="2"/>
      <x:c r="Q998" s="2"/>
    </x:row>
    <x:row r="999" ht="22" customHeight="1">
      <x:c r="A999" s="2" t="str">
        <x:v>M0992</x:v>
      </x:c>
      <x:c r="B999" s="2" t="str">
        <x:v>FW02</x:v>
      </x:c>
      <x:c r="C999" s="2" t="str">
        <x:v>T4</x:v>
      </x:c>
      <x:c r="D999" s="2" t="str">
        <x:v>L03</x:v>
      </x:c>
      <x:c r="E999" s="2" t="str">
        <x:v>Beam forms Y</x:v>
      </x:c>
      <x:c r="F999" s="21" t="n">
        <x:v>1</x:v>
      </x:c>
      <x:c r="G999" s="21" t="n">
        <x:f>6*4*('Controls'!$B$11/4-'Controls'!$B$15)</x:f>
        <x:v>132</x:v>
      </x:c>
      <x:c r="H999" s="21" t="n">
        <x:f>'Controls'!$B$16+2*('Controls'!$B$17-'Controls'!$B$13)</x:f>
        <x:v>1.06</x:v>
      </x:c>
      <x:c r="I999" s="21" t="n">
        <x:v>1</x:v>
      </x:c>
      <x:c r="J999" s="21" t="n">
        <x:v>1</x:v>
      </x:c>
      <x:c r="K999" s="21" t="n">
        <x:f>F999*G999*H999*I999*J999</x:f>
        <x:v>139.92000000000002</x:v>
      </x:c>
      <x:c r="L999" s="2" t="str">
        <x:v>Soffit plus two downstand sides</x:v>
      </x:c>
      <x:c r="M999" s="2"/>
      <x:c r="N999" s="2"/>
      <x:c r="O999" s="2"/>
      <x:c r="P999" s="2"/>
      <x:c r="Q999" s="2"/>
    </x:row>
    <x:row r="1000" ht="22" customHeight="1">
      <x:c r="A1000" s="7" t="str">
        <x:v>M0993</x:v>
      </x:c>
      <x:c r="B1000" s="7" t="str">
        <x:v>RC05</x:v>
      </x:c>
      <x:c r="C1000" s="7" t="str">
        <x:v>T4</x:v>
      </x:c>
      <x:c r="D1000" s="7" t="str">
        <x:v>L03</x:v>
      </x:c>
      <x:c r="E1000" s="7" t="str">
        <x:v>Thirty columns, clear storey</x:v>
      </x:c>
      <x:c r="F1000" s="20" t="n">
        <x:v>30</x:v>
      </x:c>
      <x:c r="G1000" s="20" t="n">
        <x:f>'Controls'!$B$14</x:f>
        <x:v>0.5</x:v>
      </x:c>
      <x:c r="H1000" s="20" t="n">
        <x:f>'Controls'!$B$15</x:f>
        <x:v>0.5</x:v>
      </x:c>
      <x:c r="I1000" s="20" t="n">
        <x:f>'Controls'!$B$12-'Controls'!$B$13</x:f>
        <x:v>2.98</x:v>
      </x:c>
      <x:c r="J1000" s="20" t="n">
        <x:v>1</x:v>
      </x:c>
      <x:c r="K1000" s="20" t="n">
        <x:f>F1000*G1000*H1000*I1000*J1000</x:f>
        <x:v>22.35</x:v>
      </x:c>
      <x:c r="L1000" s="7" t="str">
        <x:v>Slab volume excluded from columns</x:v>
      </x:c>
      <x:c r="M1000" s="2"/>
      <x:c r="N1000" s="2"/>
      <x:c r="O1000" s="2"/>
      <x:c r="P1000" s="2"/>
      <x:c r="Q1000" s="2"/>
    </x:row>
    <x:row r="1001" ht="22" customHeight="1">
      <x:c r="A1001" s="2" t="str">
        <x:v>M0994</x:v>
      </x:c>
      <x:c r="B1001" s="2" t="str">
        <x:v>RC06</x:v>
      </x:c>
      <x:c r="C1001" s="2" t="str">
        <x:v>T4</x:v>
      </x:c>
      <x:c r="D1001" s="2" t="str">
        <x:v>L03</x:v>
      </x:c>
      <x:c r="E1001" s="2" t="str">
        <x:v>Core walls clear storey</x:v>
      </x:c>
      <x:c r="F1001" s="21" t="n">
        <x:v>1</x:v>
      </x:c>
      <x:c r="G1001" s="21" t="n">
        <x:f>'Controls'!$B$19</x:f>
        <x:v>24</x:v>
      </x:c>
      <x:c r="H1001" s="21" t="n">
        <x:f>'Controls'!$B$18</x:f>
        <x:v>0.25</x:v>
      </x:c>
      <x:c r="I1001" s="21" t="n">
        <x:f>'Controls'!$B$12-'Controls'!$B$13</x:f>
        <x:v>2.98</x:v>
      </x:c>
      <x:c r="J1001" s="21" t="n">
        <x:v>1</x:v>
      </x:c>
      <x:c r="K1001" s="21" t="n">
        <x:f>F1001*G1001*H1001*I1001*J1001</x:f>
        <x:v>17.88</x:v>
      </x:c>
      <x:c r="L1001" s="2" t="str">
        <x:v>Net clear wall length excludes corners</x:v>
      </x:c>
      <x:c r="M1001" s="2"/>
      <x:c r="N1001" s="2"/>
      <x:c r="O1001" s="2"/>
      <x:c r="P1001" s="2"/>
      <x:c r="Q1001" s="2"/>
    </x:row>
    <x:row r="1002" ht="22" customHeight="1">
      <x:c r="A1002" s="7" t="str">
        <x:v>M0995</x:v>
      </x:c>
      <x:c r="B1002" s="7" t="str">
        <x:v>RC07</x:v>
      </x:c>
      <x:c r="C1002" s="7" t="str">
        <x:v>T4</x:v>
      </x:c>
      <x:c r="D1002" s="7" t="str">
        <x:v>L03</x:v>
      </x:c>
      <x:c r="E1002" s="7" t="str">
        <x:v>Stair flights waist</x:v>
      </x:c>
      <x:c r="F1002" s="20" t="n">
        <x:v>2</x:v>
      </x:c>
      <x:c r="G1002" s="20" t="n">
        <x:v>4.1</x:v>
      </x:c>
      <x:c r="H1002" s="20" t="n">
        <x:v>1.2</x:v>
      </x:c>
      <x:c r="I1002" s="20" t="n">
        <x:v>0.18</x:v>
      </x:c>
      <x:c r="J1002" s="20" t="n">
        <x:v>1</x:v>
      </x:c>
      <x:c r="K1002" s="20" t="n">
        <x:f>F1002*G1002*H1002*I1002*J1002</x:f>
        <x:v>1.7711999999999997</x:v>
      </x:c>
      <x:c r="L1002" s="7" t="str">
        <x:v>Two flights; geometry separate from floor slab</x:v>
      </x:c>
      <x:c r="M1002" s="2"/>
      <x:c r="N1002" s="2"/>
      <x:c r="O1002" s="2"/>
      <x:c r="P1002" s="2"/>
      <x:c r="Q1002" s="2"/>
    </x:row>
    <x:row r="1003" ht="22" customHeight="1">
      <x:c r="A1003" s="2" t="str">
        <x:v>M0996</x:v>
      </x:c>
      <x:c r="B1003" s="2" t="str">
        <x:v>RC07</x:v>
      </x:c>
      <x:c r="C1003" s="2" t="str">
        <x:v>T4</x:v>
      </x:c>
      <x:c r="D1003" s="2" t="str">
        <x:v>L03</x:v>
      </x:c>
      <x:c r="E1003" s="2" t="str">
        <x:v>Stair landings</x:v>
      </x:c>
      <x:c r="F1003" s="21" t="n">
        <x:v>2</x:v>
      </x:c>
      <x:c r="G1003" s="21" t="n">
        <x:v>2</x:v>
      </x:c>
      <x:c r="H1003" s="21" t="n">
        <x:v>1.2</x:v>
      </x:c>
      <x:c r="I1003" s="21" t="n">
        <x:v>0.18</x:v>
      </x:c>
      <x:c r="J1003" s="21" t="n">
        <x:v>1</x:v>
      </x:c>
      <x:c r="K1003" s="21" t="n">
        <x:f>F1003*G1003*H1003*I1003*J1003</x:f>
        <x:v>0.864</x:v>
      </x:c>
      <x:c r="L1003" s="2" t="str">
        <x:v>Within stair opening</x:v>
      </x:c>
      <x:c r="M1003" s="2"/>
      <x:c r="N1003" s="2"/>
      <x:c r="O1003" s="2"/>
      <x:c r="P1003" s="2"/>
      <x:c r="Q1003" s="2"/>
    </x:row>
    <x:row r="1004" ht="22" customHeight="1">
      <x:c r="A1004" s="7" t="str">
        <x:v>M0997</x:v>
      </x:c>
      <x:c r="B1004" s="7" t="str">
        <x:v>FW01</x:v>
      </x:c>
      <x:c r="C1004" s="7" t="str">
        <x:v>T4</x:v>
      </x:c>
      <x:c r="D1004" s="7" t="str">
        <x:v>L03</x:v>
      </x:c>
      <x:c r="E1004" s="7" t="str">
        <x:v>Slab soffit gross</x:v>
      </x:c>
      <x:c r="F1004" s="20" t="n">
        <x:v>1</x:v>
      </x:c>
      <x:c r="G1004" s="20" t="n">
        <x:f>'Controls'!$B$10</x:f>
        <x:v>30</x:v>
      </x:c>
      <x:c r="H1004" s="20" t="n">
        <x:f>'Controls'!$B$11</x:f>
        <x:v>24</x:v>
      </x:c>
      <x:c r="I1004" s="20" t="n">
        <x:v>1</x:v>
      </x:c>
      <x:c r="J1004" s="20" t="n">
        <x:v>1</x:v>
      </x:c>
      <x:c r="K1004" s="20" t="n">
        <x:f>F1004*G1004*H1004*I1004*J1004</x:f>
        <x:v>720</x:v>
      </x:c>
      <x:c r="L1004" s="7" t="str">
        <x:v>Beam soffit deducted below</x:v>
      </x:c>
      <x:c r="M1004" s="2"/>
      <x:c r="N1004" s="2"/>
      <x:c r="O1004" s="2"/>
      <x:c r="P1004" s="2"/>
      <x:c r="Q1004" s="2"/>
    </x:row>
    <x:row r="1005" ht="22" customHeight="1">
      <x:c r="A1005" s="2" t="str">
        <x:v>M0998</x:v>
      </x:c>
      <x:c r="B1005" s="2" t="str">
        <x:v>FW01</x:v>
      </x:c>
      <x:c r="C1005" s="2" t="str">
        <x:v>T4</x:v>
      </x:c>
      <x:c r="D1005" s="2" t="str">
        <x:v>L03</x:v>
      </x:c>
      <x:c r="E1005" s="2" t="str">
        <x:v>Stair opening deduction</x:v>
      </x:c>
      <x:c r="F1005" s="21" t="n">
        <x:v>1</x:v>
      </x:c>
      <x:c r="G1005" s="21" t="n">
        <x:f>'Controls'!$B$20</x:f>
        <x:v>4</x:v>
      </x:c>
      <x:c r="H1005" s="21" t="n">
        <x:f>'Controls'!$B$21</x:f>
        <x:v>6</x:v>
      </x:c>
      <x:c r="I1005" s="21" t="n">
        <x:v>1</x:v>
      </x:c>
      <x:c r="J1005" s="21" t="n">
        <x:v>-1</x:v>
      </x:c>
      <x:c r="K1005" s="21" t="n">
        <x:f>F1005*G1005*H1005*I1005*J1005</x:f>
        <x:v>-24</x:v>
      </x:c>
      <x:c r="L1005" s="2" t="str">
        <x:v>OP-01</x:v>
      </x:c>
      <x:c r="M1005" s="2"/>
      <x:c r="N1005" s="2"/>
      <x:c r="O1005" s="2"/>
      <x:c r="P1005" s="2"/>
      <x:c r="Q1005" s="2"/>
    </x:row>
    <x:row r="1006" ht="22" customHeight="1">
      <x:c r="A1006" s="7" t="str">
        <x:v>M0999</x:v>
      </x:c>
      <x:c r="B1006" s="7" t="str">
        <x:v>FW01</x:v>
      </x:c>
      <x:c r="C1006" s="7" t="str">
        <x:v>T4</x:v>
      </x:c>
      <x:c r="D1006" s="7" t="str">
        <x:v>L03</x:v>
      </x:c>
      <x:c r="E1006" s="7" t="str">
        <x:v>Beam soffit deduction</x:v>
      </x:c>
      <x:c r="F1006" s="20" t="n">
        <x:v>1</x:v>
      </x:c>
      <x:c r="G1006" s="20" t="n">
        <x:f>5*5*('Controls'!$B$10/5-'Controls'!$B$14)+6*4*('Controls'!$B$11/4-'Controls'!$B$15)</x:f>
        <x:v>269.5</x:v>
      </x:c>
      <x:c r="H1006" s="20" t="n">
        <x:f>'Controls'!$B$16</x:f>
        <x:v>0.3</x:v>
      </x:c>
      <x:c r="I1006" s="20" t="n">
        <x:v>1</x:v>
      </x:c>
      <x:c r="J1006" s="20" t="n">
        <x:v>-1</x:v>
      </x:c>
      <x:c r="K1006" s="20" t="n">
        <x:f>F1006*G1006*H1006*I1006*J1006</x:f>
        <x:v>-80.85</x:v>
      </x:c>
      <x:c r="L1006" s="7" t="str">
        <x:v>Beam forms measured in FW02</x:v>
      </x:c>
      <x:c r="M1006" s="2"/>
      <x:c r="N1006" s="2"/>
      <x:c r="O1006" s="2"/>
      <x:c r="P1006" s="2"/>
      <x:c r="Q1006" s="2"/>
    </x:row>
    <x:row r="1007" ht="22" customHeight="1">
      <x:c r="A1007" s="2" t="str">
        <x:v>M1000</x:v>
      </x:c>
      <x:c r="B1007" s="2" t="str">
        <x:v>FW03</x:v>
      </x:c>
      <x:c r="C1007" s="2" t="str">
        <x:v>T4</x:v>
      </x:c>
      <x:c r="D1007" s="2" t="str">
        <x:v>L03</x:v>
      </x:c>
      <x:c r="E1007" s="2" t="str">
        <x:v>Column four faces</x:v>
      </x:c>
      <x:c r="F1007" s="21" t="n">
        <x:v>30</x:v>
      </x:c>
      <x:c r="G1007" s="21" t="n">
        <x:f>2*('Controls'!$B$14+'Controls'!$B$15)</x:f>
        <x:v>2</x:v>
      </x:c>
      <x:c r="H1007" s="21" t="n">
        <x:f>'Controls'!$B$12-'Controls'!$B$13</x:f>
        <x:v>2.98</x:v>
      </x:c>
      <x:c r="I1007" s="21" t="n">
        <x:v>1</x:v>
      </x:c>
      <x:c r="J1007" s="21" t="n">
        <x:v>1</x:v>
      </x:c>
      <x:c r="K1007" s="21" t="n">
        <x:f>F1007*G1007*H1007*I1007*J1007</x:f>
        <x:v>178.8</x:v>
      </x:c>
      <x:c r="L1007" s="2" t="str">
        <x:v>Clear floor-to-soffit</x:v>
      </x:c>
      <x:c r="M1007" s="2"/>
      <x:c r="N1007" s="2"/>
      <x:c r="O1007" s="2"/>
      <x:c r="P1007" s="2"/>
      <x:c r="Q1007" s="2"/>
    </x:row>
    <x:row r="1008" ht="22" customHeight="1">
      <x:c r="A1008" s="7" t="str">
        <x:v>M1001</x:v>
      </x:c>
      <x:c r="B1008" s="7" t="str">
        <x:v>FW04</x:v>
      </x:c>
      <x:c r="C1008" s="7" t="str">
        <x:v>T4</x:v>
      </x:c>
      <x:c r="D1008" s="7" t="str">
        <x:v>L03</x:v>
      </x:c>
      <x:c r="E1008" s="7" t="str">
        <x:v>Core wall two faces</x:v>
      </x:c>
      <x:c r="F1008" s="20" t="n">
        <x:v>2</x:v>
      </x:c>
      <x:c r="G1008" s="20" t="n">
        <x:f>'Controls'!$B$19</x:f>
        <x:v>24</x:v>
      </x:c>
      <x:c r="H1008" s="20" t="n">
        <x:f>'Controls'!$B$12-'Controls'!$B$13</x:f>
        <x:v>2.98</x:v>
      </x:c>
      <x:c r="I1008" s="20" t="n">
        <x:v>1</x:v>
      </x:c>
      <x:c r="J1008" s="20" t="n">
        <x:v>1</x:v>
      </x:c>
      <x:c r="K1008" s="20" t="n">
        <x:f>F1008*G1008*H1008*I1008*J1008</x:f>
        <x:v>143.04</x:v>
      </x:c>
      <x:c r="L1008" s="7" t="str">
        <x:v>Net perimeter, no repeated corners</x:v>
      </x:c>
      <x:c r="M1008" s="2"/>
      <x:c r="N1008" s="2"/>
      <x:c r="O1008" s="2"/>
      <x:c r="P1008" s="2"/>
      <x:c r="Q1008" s="2"/>
    </x:row>
    <x:row r="1009" ht="22" customHeight="1">
      <x:c r="A1009" s="2" t="str">
        <x:v>M1002</x:v>
      </x:c>
      <x:c r="B1009" s="2" t="str">
        <x:v>AR01</x:v>
      </x:c>
      <x:c r="C1009" s="2" t="str">
        <x:v>T4</x:v>
      </x:c>
      <x:c r="D1009" s="2" t="str">
        <x:v>L03</x:v>
      </x:c>
      <x:c r="E1009" s="2" t="str">
        <x:v>Partition walls gross</x:v>
      </x:c>
      <x:c r="F1009" s="21" t="n">
        <x:v>1</x:v>
      </x:c>
      <x:c r="G1009" s="21" t="n">
        <x:f>'Controls'!$B$45</x:f>
        <x:v>220</x:v>
      </x:c>
      <x:c r="H1009" s="21" t="n">
        <x:f>'Controls'!$B$12-'Controls'!$B$13</x:f>
        <x:v>2.98</x:v>
      </x:c>
      <x:c r="I1009" s="21" t="n">
        <x:f>'Controls'!$B$46</x:f>
        <x:v>0.15</x:v>
      </x:c>
      <x:c r="J1009" s="21" t="n">
        <x:v>1</x:v>
      </x:c>
      <x:c r="K1009" s="21" t="n">
        <x:f>F1009*G1009*H1009*I1009*J1009</x:f>
        <x:v>98.34</x:v>
      </x:c>
      <x:c r="L1009" s="2" t="str">
        <x:v>Net openings deducted below</x:v>
      </x:c>
      <x:c r="M1009" s="2"/>
      <x:c r="N1009" s="2"/>
      <x:c r="O1009" s="2"/>
      <x:c r="P1009" s="2"/>
      <x:c r="Q1009" s="2"/>
    </x:row>
    <x:row r="1010" ht="22" customHeight="1">
      <x:c r="A1010" s="7" t="str">
        <x:v>M1003</x:v>
      </x:c>
      <x:c r="B1010" s="7" t="str">
        <x:v>AR01</x:v>
      </x:c>
      <x:c r="C1010" s="7" t="str">
        <x:v>T4</x:v>
      </x:c>
      <x:c r="D1010" s="7" t="str">
        <x:v>L03</x:v>
      </x:c>
      <x:c r="E1010" s="7" t="str">
        <x:v>Internal doors deduction</x:v>
      </x:c>
      <x:c r="F1010" s="20" t="n">
        <x:f>'Controls'!$B$48</x:f>
        <x:v>28</x:v>
      </x:c>
      <x:c r="G1010" s="20" t="n">
        <x:f>'Controls'!$B$49</x:f>
        <x:v>0.9</x:v>
      </x:c>
      <x:c r="H1010" s="20" t="n">
        <x:f>'Controls'!$B$50</x:f>
        <x:v>2.1</x:v>
      </x:c>
      <x:c r="I1010" s="20" t="n">
        <x:f>'Controls'!$B$46</x:f>
        <x:v>0.15</x:v>
      </x:c>
      <x:c r="J1010" s="20" t="n">
        <x:v>-1</x:v>
      </x:c>
      <x:c r="K1010" s="20" t="n">
        <x:f>F1010*G1010*H1010*I1010*J1010</x:f>
        <x:v>-7.938</x:v>
      </x:c>
      <x:c r="L1010" s="7" t="str">
        <x:v>28 doors per floor, OP-02</x:v>
      </x:c>
      <x:c r="M1010" s="2"/>
      <x:c r="N1010" s="2"/>
      <x:c r="O1010" s="2"/>
      <x:c r="P1010" s="2"/>
      <x:c r="Q1010" s="2"/>
    </x:row>
    <x:row r="1011" ht="22" customHeight="1">
      <x:c r="A1011" s="2" t="str">
        <x:v>M1004</x:v>
      </x:c>
      <x:c r="B1011" s="2" t="str">
        <x:v>AR02</x:v>
      </x:c>
      <x:c r="C1011" s="2" t="str">
        <x:v>T4</x:v>
      </x:c>
      <x:c r="D1011" s="2" t="str">
        <x:v>L03</x:v>
      </x:c>
      <x:c r="E1011" s="2" t="str">
        <x:v>Internal plaster gross</x:v>
      </x:c>
      <x:c r="F1011" s="21" t="n">
        <x:v>2</x:v>
      </x:c>
      <x:c r="G1011" s="21" t="n">
        <x:f>'Controls'!$B$45</x:f>
        <x:v>220</x:v>
      </x:c>
      <x:c r="H1011" s="21" t="n">
        <x:f>'Controls'!$B$12-'Controls'!$B$13</x:f>
        <x:v>2.98</x:v>
      </x:c>
      <x:c r="I1011" s="21" t="n">
        <x:v>1</x:v>
      </x:c>
      <x:c r="J1011" s="21" t="n">
        <x:v>1</x:v>
      </x:c>
      <x:c r="K1011" s="21" t="n">
        <x:f>F1011*G1011*H1011*I1011*J1011</x:f>
        <x:v>1311.2</x:v>
      </x:c>
      <x:c r="L1011" s="2" t="str">
        <x:v>Both faces of partition walls</x:v>
      </x:c>
      <x:c r="M1011" s="2"/>
      <x:c r="N1011" s="2"/>
      <x:c r="O1011" s="2"/>
      <x:c r="P1011" s="2"/>
      <x:c r="Q1011" s="2"/>
    </x:row>
    <x:row r="1012" ht="22" customHeight="1">
      <x:c r="A1012" s="7" t="str">
        <x:v>M1005</x:v>
      </x:c>
      <x:c r="B1012" s="7" t="str">
        <x:v>AR02</x:v>
      </x:c>
      <x:c r="C1012" s="7" t="str">
        <x:v>T4</x:v>
      </x:c>
      <x:c r="D1012" s="7" t="str">
        <x:v>L03</x:v>
      </x:c>
      <x:c r="E1012" s="7" t="str">
        <x:v>Door area deduction both faces</x:v>
      </x:c>
      <x:c r="F1012" s="20" t="n">
        <x:f>2*'Controls'!$B$48</x:f>
        <x:v>56</x:v>
      </x:c>
      <x:c r="G1012" s="20" t="n">
        <x:f>'Controls'!$B$49</x:f>
        <x:v>0.9</x:v>
      </x:c>
      <x:c r="H1012" s="20" t="n">
        <x:f>'Controls'!$B$50</x:f>
        <x:v>2.1</x:v>
      </x:c>
      <x:c r="I1012" s="20" t="n">
        <x:v>1</x:v>
      </x:c>
      <x:c r="J1012" s="20" t="n">
        <x:v>-1</x:v>
      </x:c>
      <x:c r="K1012" s="20" t="n">
        <x:f>F1012*G1012*H1012*I1012*J1012</x:f>
        <x:v>-105.84</x:v>
      </x:c>
      <x:c r="L1012" s="7" t="str">
        <x:v>No plaster over openings</x:v>
      </x:c>
      <x:c r="M1012" s="2"/>
      <x:c r="N1012" s="2"/>
      <x:c r="O1012" s="2"/>
      <x:c r="P1012" s="2"/>
      <x:c r="Q1012" s="2"/>
    </x:row>
    <x:row r="1013" ht="22" customHeight="1">
      <x:c r="A1013" s="2" t="str">
        <x:v>M1006</x:v>
      </x:c>
      <x:c r="B1013" s="2" t="str">
        <x:v>AR03</x:v>
      </x:c>
      <x:c r="C1013" s="2" t="str">
        <x:v>T4</x:v>
      </x:c>
      <x:c r="D1013" s="2" t="str">
        <x:v>L03</x:v>
      </x:c>
      <x:c r="E1013" s="2" t="str">
        <x:v>Floor screed net</x:v>
      </x:c>
      <x:c r="F1013" s="21" t="n">
        <x:v>1</x:v>
      </x:c>
      <x:c r="G1013" s="21" t="n">
        <x:f>'Controls'!$B$10*'Controls'!$B$11-'Controls'!$B$20*'Controls'!$B$21</x:f>
        <x:v>696</x:v>
      </x:c>
      <x:c r="H1013" s="21" t="n">
        <x:v>1</x:v>
      </x:c>
      <x:c r="I1013" s="21" t="n">
        <x:v>1</x:v>
      </x:c>
      <x:c r="J1013" s="21" t="n">
        <x:v>1</x:v>
      </x:c>
      <x:c r="K1013" s="21" t="n">
        <x:f>F1013*G1013*H1013*I1013*J1013</x:f>
        <x:v>696</x:v>
      </x:c>
      <x:c r="L1013" s="2" t="str">
        <x:v>Net structural floor area</x:v>
      </x:c>
      <x:c r="M1013" s="2"/>
      <x:c r="N1013" s="2"/>
      <x:c r="O1013" s="2"/>
      <x:c r="P1013" s="2"/>
      <x:c r="Q1013" s="2"/>
    </x:row>
    <x:row r="1014" ht="22" customHeight="1">
      <x:c r="A1014" s="7" t="str">
        <x:v>M1007</x:v>
      </x:c>
      <x:c r="B1014" s="7" t="str">
        <x:v>AR04</x:v>
      </x:c>
      <x:c r="C1014" s="7" t="str">
        <x:v>T4</x:v>
      </x:c>
      <x:c r="D1014" s="7" t="str">
        <x:v>L03</x:v>
      </x:c>
      <x:c r="E1014" s="7" t="str">
        <x:v>Floor finish net</x:v>
      </x:c>
      <x:c r="F1014" s="20" t="n">
        <x:v>1</x:v>
      </x:c>
      <x:c r="G1014" s="20" t="n">
        <x:f>'Controls'!$B$10*'Controls'!$B$11-'Controls'!$B$20*'Controls'!$B$21</x:f>
        <x:v>696</x:v>
      </x:c>
      <x:c r="H1014" s="20" t="n">
        <x:v>1</x:v>
      </x:c>
      <x:c r="I1014" s="20" t="n">
        <x:v>1</x:v>
      </x:c>
      <x:c r="J1014" s="20" t="n">
        <x:v>1</x:v>
      </x:c>
      <x:c r="K1014" s="20" t="n">
        <x:f>F1014*G1014*H1014*I1014*J1014</x:f>
        <x:v>696</x:v>
      </x:c>
      <x:c r="L1014" s="7" t="str">
        <x:v>Waste excluded from BOQ</x:v>
      </x:c>
      <x:c r="M1014" s="2"/>
      <x:c r="N1014" s="2"/>
      <x:c r="O1014" s="2"/>
      <x:c r="P1014" s="2"/>
      <x:c r="Q1014" s="2"/>
    </x:row>
    <x:row r="1015" ht="22" customHeight="1">
      <x:c r="A1015" s="2" t="str">
        <x:v>M1008</x:v>
      </x:c>
      <x:c r="B1015" s="2" t="str">
        <x:v>AR05</x:v>
      </x:c>
      <x:c r="C1015" s="2" t="str">
        <x:v>T4</x:v>
      </x:c>
      <x:c r="D1015" s="2" t="str">
        <x:v>L03</x:v>
      </x:c>
      <x:c r="E1015" s="2" t="str">
        <x:v>Internal wall paint net</x:v>
      </x:c>
      <x:c r="F1015" s="21" t="n">
        <x:v>2</x:v>
      </x:c>
      <x:c r="G1015" s="21" t="n">
        <x:f>'Controls'!$B$45*('Controls'!$B$12-'Controls'!$B$13)-'Controls'!$B$48*'Controls'!$B$49*'Controls'!$B$50</x:f>
        <x:v>602.6800000000001</x:v>
      </x:c>
      <x:c r="H1015" s="21" t="n">
        <x:v>1</x:v>
      </x:c>
      <x:c r="I1015" s="21" t="n">
        <x:v>1</x:v>
      </x:c>
      <x:c r="J1015" s="21" t="n">
        <x:v>1</x:v>
      </x:c>
      <x:c r="K1015" s="21" t="n">
        <x:f>F1015*G1015*H1015*I1015*J1015</x:f>
        <x:v>1205.3600000000001</x:v>
      </x:c>
      <x:c r="L1015" s="2" t="str">
        <x:v>Finished area; two coats priced in rate</x:v>
      </x:c>
      <x:c r="M1015" s="2"/>
      <x:c r="N1015" s="2"/>
      <x:c r="O1015" s="2"/>
      <x:c r="P1015" s="2"/>
      <x:c r="Q1015" s="2"/>
    </x:row>
    <x:row r="1016" ht="22" customHeight="1">
      <x:c r="A1016" s="7" t="str">
        <x:v>M1009</x:v>
      </x:c>
      <x:c r="B1016" s="7" t="str">
        <x:v>AR06</x:v>
      </x:c>
      <x:c r="C1016" s="7" t="str">
        <x:v>T4</x:v>
      </x:c>
      <x:c r="D1016" s="7" t="str">
        <x:v>L03</x:v>
      </x:c>
      <x:c r="E1016" s="7" t="str">
        <x:v>Door sets</x:v>
      </x:c>
      <x:c r="F1016" s="20" t="n">
        <x:f>'Controls'!$B$48</x:f>
        <x:v>28</x:v>
      </x:c>
      <x:c r="G1016" s="20" t="n">
        <x:v>1</x:v>
      </x:c>
      <x:c r="H1016" s="20" t="n">
        <x:v>1</x:v>
      </x:c>
      <x:c r="I1016" s="20" t="n">
        <x:v>1</x:v>
      </x:c>
      <x:c r="J1016" s="20" t="n">
        <x:v>1</x:v>
      </x:c>
      <x:c r="K1016" s="20" t="n">
        <x:f>F1016*G1016*H1016*I1016*J1016</x:f>
        <x:v>28</x:v>
      </x:c>
      <x:c r="L1016" s="7" t="str">
        <x:v>Door count, not double face</x:v>
      </x:c>
      <x:c r="M1016" s="2"/>
      <x:c r="N1016" s="2"/>
      <x:c r="O1016" s="2"/>
      <x:c r="P1016" s="2"/>
      <x:c r="Q1016" s="2"/>
    </x:row>
    <x:row r="1017" ht="22" customHeight="1">
      <x:c r="A1017" s="2" t="str">
        <x:v>M1010</x:v>
      </x:c>
      <x:c r="B1017" s="2" t="str">
        <x:v>RC03</x:v>
      </x:c>
      <x:c r="C1017" s="2" t="str">
        <x:v>T4</x:v>
      </x:c>
      <x:c r="D1017" s="2" t="str">
        <x:v>L04</x:v>
      </x:c>
      <x:c r="E1017" s="2" t="str">
        <x:v>Floor slab gross</x:v>
      </x:c>
      <x:c r="F1017" s="21" t="n">
        <x:v>1</x:v>
      </x:c>
      <x:c r="G1017" s="21" t="n">
        <x:f>'Controls'!$B$10</x:f>
        <x:v>30</x:v>
      </x:c>
      <x:c r="H1017" s="21" t="n">
        <x:f>'Controls'!$B$11</x:f>
        <x:v>24</x:v>
      </x:c>
      <x:c r="I1017" s="21" t="n">
        <x:f>'Controls'!$B$13</x:f>
        <x:v>0.22</x:v>
      </x:c>
      <x:c r="J1017" s="21" t="n">
        <x:v>1</x:v>
      </x:c>
      <x:c r="K1017" s="21" t="n">
        <x:f>F1017*G1017*H1017*I1017*J1017</x:f>
        <x:v>158.4</x:v>
      </x:c>
      <x:c r="L1017" s="2" t="str">
        <x:v>Slab includes beam top flange; downstand separate</x:v>
      </x:c>
      <x:c r="M1017" s="2"/>
      <x:c r="N1017" s="2"/>
      <x:c r="O1017" s="2"/>
      <x:c r="P1017" s="2"/>
      <x:c r="Q1017" s="2"/>
    </x:row>
    <x:row r="1018" ht="22" customHeight="1">
      <x:c r="A1018" s="7" t="str">
        <x:v>M1011</x:v>
      </x:c>
      <x:c r="B1018" s="7" t="str">
        <x:v>RC03</x:v>
      </x:c>
      <x:c r="C1018" s="7" t="str">
        <x:v>T4</x:v>
      </x:c>
      <x:c r="D1018" s="7" t="str">
        <x:v>L04</x:v>
      </x:c>
      <x:c r="E1018" s="7" t="str">
        <x:v>Stair opening deduction</x:v>
      </x:c>
      <x:c r="F1018" s="20" t="n">
        <x:v>1</x:v>
      </x:c>
      <x:c r="G1018" s="20" t="n">
        <x:f>'Controls'!$B$20</x:f>
        <x:v>4</x:v>
      </x:c>
      <x:c r="H1018" s="20" t="n">
        <x:f>'Controls'!$B$21</x:f>
        <x:v>6</x:v>
      </x:c>
      <x:c r="I1018" s="20" t="n">
        <x:f>'Controls'!$B$13</x:f>
        <x:v>0.22</x:v>
      </x:c>
      <x:c r="J1018" s="20" t="n">
        <x:v>-1</x:v>
      </x:c>
      <x:c r="K1018" s="20" t="n">
        <x:f>F1018*G1018*H1018*I1018*J1018</x:f>
        <x:v>-5.28</x:v>
      </x:c>
      <x:c r="L1018" s="7" t="str">
        <x:v>Opening OP-01</x:v>
      </x:c>
      <x:c r="M1018" s="2"/>
      <x:c r="N1018" s="2"/>
      <x:c r="O1018" s="2"/>
      <x:c r="P1018" s="2"/>
      <x:c r="Q1018" s="2"/>
    </x:row>
    <x:row r="1019" ht="22" customHeight="1">
      <x:c r="A1019" s="2" t="str">
        <x:v>M1012</x:v>
      </x:c>
      <x:c r="B1019" s="2" t="str">
        <x:v>RC04</x:v>
      </x:c>
      <x:c r="C1019" s="2" t="str">
        <x:v>T4</x:v>
      </x:c>
      <x:c r="D1019" s="2" t="str">
        <x:v>L04</x:v>
      </x:c>
      <x:c r="E1019" s="2" t="str">
        <x:v>Beam downstands X</x:v>
      </x:c>
      <x:c r="F1019" s="21" t="n">
        <x:v>1</x:v>
      </x:c>
      <x:c r="G1019" s="21" t="n">
        <x:f>5*5*('Controls'!$B$10/5-'Controls'!$B$14)</x:f>
        <x:v>137.5</x:v>
      </x:c>
      <x:c r="H1019" s="21" t="n">
        <x:f>'Controls'!$B$16</x:f>
        <x:v>0.3</x:v>
      </x:c>
      <x:c r="I1019" s="21" t="n">
        <x:f>'Controls'!$B$17-'Controls'!$B$13</x:f>
        <x:v>0.38</x:v>
      </x:c>
      <x:c r="J1019" s="21" t="n">
        <x:v>1</x:v>
      </x:c>
      <x:c r="K1019" s="21" t="n">
        <x:f>F1019*G1019*H1019*I1019*J1019</x:f>
        <x:v>15.675</x:v>
      </x:c>
      <x:c r="L1019" s="2" t="str">
        <x:v>Clear spans between column faces; no joint overlap</x:v>
      </x:c>
      <x:c r="M1019" s="2"/>
      <x:c r="N1019" s="2"/>
      <x:c r="O1019" s="2"/>
      <x:c r="P1019" s="2"/>
      <x:c r="Q1019" s="2"/>
    </x:row>
    <x:row r="1020" ht="22" customHeight="1">
      <x:c r="A1020" s="7" t="str">
        <x:v>M1013</x:v>
      </x:c>
      <x:c r="B1020" s="7" t="str">
        <x:v>FW02</x:v>
      </x:c>
      <x:c r="C1020" s="7" t="str">
        <x:v>T4</x:v>
      </x:c>
      <x:c r="D1020" s="7" t="str">
        <x:v>L04</x:v>
      </x:c>
      <x:c r="E1020" s="7" t="str">
        <x:v>Beam forms X</x:v>
      </x:c>
      <x:c r="F1020" s="20" t="n">
        <x:v>1</x:v>
      </x:c>
      <x:c r="G1020" s="20" t="n">
        <x:f>5*5*('Controls'!$B$10/5-'Controls'!$B$14)</x:f>
        <x:v>137.5</x:v>
      </x:c>
      <x:c r="H1020" s="20" t="n">
        <x:f>'Controls'!$B$16+2*('Controls'!$B$17-'Controls'!$B$13)</x:f>
        <x:v>1.06</x:v>
      </x:c>
      <x:c r="I1020" s="20" t="n">
        <x:v>1</x:v>
      </x:c>
      <x:c r="J1020" s="20" t="n">
        <x:v>1</x:v>
      </x:c>
      <x:c r="K1020" s="20" t="n">
        <x:f>F1020*G1020*H1020*I1020*J1020</x:f>
        <x:v>145.75</x:v>
      </x:c>
      <x:c r="L1020" s="7" t="str">
        <x:v>Soffit plus two downstand sides</x:v>
      </x:c>
      <x:c r="M1020" s="2"/>
      <x:c r="N1020" s="2"/>
      <x:c r="O1020" s="2"/>
      <x:c r="P1020" s="2"/>
      <x:c r="Q1020" s="2"/>
    </x:row>
    <x:row r="1021" ht="22" customHeight="1">
      <x:c r="A1021" s="2" t="str">
        <x:v>M1014</x:v>
      </x:c>
      <x:c r="B1021" s="2" t="str">
        <x:v>RC04</x:v>
      </x:c>
      <x:c r="C1021" s="2" t="str">
        <x:v>T4</x:v>
      </x:c>
      <x:c r="D1021" s="2" t="str">
        <x:v>L04</x:v>
      </x:c>
      <x:c r="E1021" s="2" t="str">
        <x:v>Beam downstands Y</x:v>
      </x:c>
      <x:c r="F1021" s="21" t="n">
        <x:v>1</x:v>
      </x:c>
      <x:c r="G1021" s="21" t="n">
        <x:f>6*4*('Controls'!$B$11/4-'Controls'!$B$15)</x:f>
        <x:v>132</x:v>
      </x:c>
      <x:c r="H1021" s="21" t="n">
        <x:f>'Controls'!$B$16</x:f>
        <x:v>0.3</x:v>
      </x:c>
      <x:c r="I1021" s="21" t="n">
        <x:f>'Controls'!$B$17-'Controls'!$B$13</x:f>
        <x:v>0.38</x:v>
      </x:c>
      <x:c r="J1021" s="21" t="n">
        <x:v>1</x:v>
      </x:c>
      <x:c r="K1021" s="21" t="n">
        <x:f>F1021*G1021*H1021*I1021*J1021</x:f>
        <x:v>15.048</x:v>
      </x:c>
      <x:c r="L1021" s="2" t="str">
        <x:v>Clear spans between column faces; no joint overlap</x:v>
      </x:c>
      <x:c r="M1021" s="2"/>
      <x:c r="N1021" s="2"/>
      <x:c r="O1021" s="2"/>
      <x:c r="P1021" s="2"/>
      <x:c r="Q1021" s="2"/>
    </x:row>
    <x:row r="1022" ht="22" customHeight="1">
      <x:c r="A1022" s="7" t="str">
        <x:v>M1015</x:v>
      </x:c>
      <x:c r="B1022" s="7" t="str">
        <x:v>FW02</x:v>
      </x:c>
      <x:c r="C1022" s="7" t="str">
        <x:v>T4</x:v>
      </x:c>
      <x:c r="D1022" s="7" t="str">
        <x:v>L04</x:v>
      </x:c>
      <x:c r="E1022" s="7" t="str">
        <x:v>Beam forms Y</x:v>
      </x:c>
      <x:c r="F1022" s="20" t="n">
        <x:v>1</x:v>
      </x:c>
      <x:c r="G1022" s="20" t="n">
        <x:f>6*4*('Controls'!$B$11/4-'Controls'!$B$15)</x:f>
        <x:v>132</x:v>
      </x:c>
      <x:c r="H1022" s="20" t="n">
        <x:f>'Controls'!$B$16+2*('Controls'!$B$17-'Controls'!$B$13)</x:f>
        <x:v>1.06</x:v>
      </x:c>
      <x:c r="I1022" s="20" t="n">
        <x:v>1</x:v>
      </x:c>
      <x:c r="J1022" s="20" t="n">
        <x:v>1</x:v>
      </x:c>
      <x:c r="K1022" s="20" t="n">
        <x:f>F1022*G1022*H1022*I1022*J1022</x:f>
        <x:v>139.92000000000002</x:v>
      </x:c>
      <x:c r="L1022" s="7" t="str">
        <x:v>Soffit plus two downstand sides</x:v>
      </x:c>
      <x:c r="M1022" s="2"/>
      <x:c r="N1022" s="2"/>
      <x:c r="O1022" s="2"/>
      <x:c r="P1022" s="2"/>
      <x:c r="Q1022" s="2"/>
    </x:row>
    <x:row r="1023" ht="22" customHeight="1">
      <x:c r="A1023" s="2" t="str">
        <x:v>M1016</x:v>
      </x:c>
      <x:c r="B1023" s="2" t="str">
        <x:v>RC05</x:v>
      </x:c>
      <x:c r="C1023" s="2" t="str">
        <x:v>T4</x:v>
      </x:c>
      <x:c r="D1023" s="2" t="str">
        <x:v>L04</x:v>
      </x:c>
      <x:c r="E1023" s="2" t="str">
        <x:v>Thirty columns, clear storey</x:v>
      </x:c>
      <x:c r="F1023" s="21" t="n">
        <x:v>30</x:v>
      </x:c>
      <x:c r="G1023" s="21" t="n">
        <x:f>'Controls'!$B$14</x:f>
        <x:v>0.5</x:v>
      </x:c>
      <x:c r="H1023" s="21" t="n">
        <x:f>'Controls'!$B$15</x:f>
        <x:v>0.5</x:v>
      </x:c>
      <x:c r="I1023" s="21" t="n">
        <x:f>'Controls'!$B$12-'Controls'!$B$13</x:f>
        <x:v>2.98</x:v>
      </x:c>
      <x:c r="J1023" s="21" t="n">
        <x:v>1</x:v>
      </x:c>
      <x:c r="K1023" s="21" t="n">
        <x:f>F1023*G1023*H1023*I1023*J1023</x:f>
        <x:v>22.35</x:v>
      </x:c>
      <x:c r="L1023" s="2" t="str">
        <x:v>Slab volume excluded from columns</x:v>
      </x:c>
      <x:c r="M1023" s="2"/>
      <x:c r="N1023" s="2"/>
      <x:c r="O1023" s="2"/>
      <x:c r="P1023" s="2"/>
      <x:c r="Q1023" s="2"/>
    </x:row>
    <x:row r="1024" ht="22" customHeight="1">
      <x:c r="A1024" s="7" t="str">
        <x:v>M1017</x:v>
      </x:c>
      <x:c r="B1024" s="7" t="str">
        <x:v>RC06</x:v>
      </x:c>
      <x:c r="C1024" s="7" t="str">
        <x:v>T4</x:v>
      </x:c>
      <x:c r="D1024" s="7" t="str">
        <x:v>L04</x:v>
      </x:c>
      <x:c r="E1024" s="7" t="str">
        <x:v>Core walls clear storey</x:v>
      </x:c>
      <x:c r="F1024" s="20" t="n">
        <x:v>1</x:v>
      </x:c>
      <x:c r="G1024" s="20" t="n">
        <x:f>'Controls'!$B$19</x:f>
        <x:v>24</x:v>
      </x:c>
      <x:c r="H1024" s="20" t="n">
        <x:f>'Controls'!$B$18</x:f>
        <x:v>0.25</x:v>
      </x:c>
      <x:c r="I1024" s="20" t="n">
        <x:f>'Controls'!$B$12-'Controls'!$B$13</x:f>
        <x:v>2.98</x:v>
      </x:c>
      <x:c r="J1024" s="20" t="n">
        <x:v>1</x:v>
      </x:c>
      <x:c r="K1024" s="20" t="n">
        <x:f>F1024*G1024*H1024*I1024*J1024</x:f>
        <x:v>17.88</x:v>
      </x:c>
      <x:c r="L1024" s="7" t="str">
        <x:v>Net clear wall length excludes corners</x:v>
      </x:c>
      <x:c r="M1024" s="2"/>
      <x:c r="N1024" s="2"/>
      <x:c r="O1024" s="2"/>
      <x:c r="P1024" s="2"/>
      <x:c r="Q1024" s="2"/>
    </x:row>
    <x:row r="1025" ht="22" customHeight="1">
      <x:c r="A1025" s="2" t="str">
        <x:v>M1018</x:v>
      </x:c>
      <x:c r="B1025" s="2" t="str">
        <x:v>RC07</x:v>
      </x:c>
      <x:c r="C1025" s="2" t="str">
        <x:v>T4</x:v>
      </x:c>
      <x:c r="D1025" s="2" t="str">
        <x:v>L04</x:v>
      </x:c>
      <x:c r="E1025" s="2" t="str">
        <x:v>Stair flights waist</x:v>
      </x:c>
      <x:c r="F1025" s="21" t="n">
        <x:v>2</x:v>
      </x:c>
      <x:c r="G1025" s="21" t="n">
        <x:v>4.1</x:v>
      </x:c>
      <x:c r="H1025" s="21" t="n">
        <x:v>1.2</x:v>
      </x:c>
      <x:c r="I1025" s="21" t="n">
        <x:v>0.18</x:v>
      </x:c>
      <x:c r="J1025" s="21" t="n">
        <x:v>1</x:v>
      </x:c>
      <x:c r="K1025" s="21" t="n">
        <x:f>F1025*G1025*H1025*I1025*J1025</x:f>
        <x:v>1.7711999999999997</x:v>
      </x:c>
      <x:c r="L1025" s="2" t="str">
        <x:v>Two flights; geometry separate from floor slab</x:v>
      </x:c>
      <x:c r="M1025" s="2"/>
      <x:c r="N1025" s="2"/>
      <x:c r="O1025" s="2"/>
      <x:c r="P1025" s="2"/>
      <x:c r="Q1025" s="2"/>
    </x:row>
    <x:row r="1026" ht="22" customHeight="1">
      <x:c r="A1026" s="7" t="str">
        <x:v>M1019</x:v>
      </x:c>
      <x:c r="B1026" s="7" t="str">
        <x:v>RC07</x:v>
      </x:c>
      <x:c r="C1026" s="7" t="str">
        <x:v>T4</x:v>
      </x:c>
      <x:c r="D1026" s="7" t="str">
        <x:v>L04</x:v>
      </x:c>
      <x:c r="E1026" s="7" t="str">
        <x:v>Stair landings</x:v>
      </x:c>
      <x:c r="F1026" s="20" t="n">
        <x:v>2</x:v>
      </x:c>
      <x:c r="G1026" s="20" t="n">
        <x:v>2</x:v>
      </x:c>
      <x:c r="H1026" s="20" t="n">
        <x:v>1.2</x:v>
      </x:c>
      <x:c r="I1026" s="20" t="n">
        <x:v>0.18</x:v>
      </x:c>
      <x:c r="J1026" s="20" t="n">
        <x:v>1</x:v>
      </x:c>
      <x:c r="K1026" s="20" t="n">
        <x:f>F1026*G1026*H1026*I1026*J1026</x:f>
        <x:v>0.864</x:v>
      </x:c>
      <x:c r="L1026" s="7" t="str">
        <x:v>Within stair opening</x:v>
      </x:c>
      <x:c r="M1026" s="2"/>
      <x:c r="N1026" s="2"/>
      <x:c r="O1026" s="2"/>
      <x:c r="P1026" s="2"/>
      <x:c r="Q1026" s="2"/>
    </x:row>
    <x:row r="1027" ht="22" customHeight="1">
      <x:c r="A1027" s="2" t="str">
        <x:v>M1020</x:v>
      </x:c>
      <x:c r="B1027" s="2" t="str">
        <x:v>FW01</x:v>
      </x:c>
      <x:c r="C1027" s="2" t="str">
        <x:v>T4</x:v>
      </x:c>
      <x:c r="D1027" s="2" t="str">
        <x:v>L04</x:v>
      </x:c>
      <x:c r="E1027" s="2" t="str">
        <x:v>Slab soffit gross</x:v>
      </x:c>
      <x:c r="F1027" s="21" t="n">
        <x:v>1</x:v>
      </x:c>
      <x:c r="G1027" s="21" t="n">
        <x:f>'Controls'!$B$10</x:f>
        <x:v>30</x:v>
      </x:c>
      <x:c r="H1027" s="21" t="n">
        <x:f>'Controls'!$B$11</x:f>
        <x:v>24</x:v>
      </x:c>
      <x:c r="I1027" s="21" t="n">
        <x:v>1</x:v>
      </x:c>
      <x:c r="J1027" s="21" t="n">
        <x:v>1</x:v>
      </x:c>
      <x:c r="K1027" s="21" t="n">
        <x:f>F1027*G1027*H1027*I1027*J1027</x:f>
        <x:v>720</x:v>
      </x:c>
      <x:c r="L1027" s="2" t="str">
        <x:v>Beam soffit deducted below</x:v>
      </x:c>
      <x:c r="M1027" s="2"/>
      <x:c r="N1027" s="2"/>
      <x:c r="O1027" s="2"/>
      <x:c r="P1027" s="2"/>
      <x:c r="Q1027" s="2"/>
    </x:row>
    <x:row r="1028" ht="22" customHeight="1">
      <x:c r="A1028" s="7" t="str">
        <x:v>M1021</x:v>
      </x:c>
      <x:c r="B1028" s="7" t="str">
        <x:v>FW01</x:v>
      </x:c>
      <x:c r="C1028" s="7" t="str">
        <x:v>T4</x:v>
      </x:c>
      <x:c r="D1028" s="7" t="str">
        <x:v>L04</x:v>
      </x:c>
      <x:c r="E1028" s="7" t="str">
        <x:v>Stair opening deduction</x:v>
      </x:c>
      <x:c r="F1028" s="20" t="n">
        <x:v>1</x:v>
      </x:c>
      <x:c r="G1028" s="20" t="n">
        <x:f>'Controls'!$B$20</x:f>
        <x:v>4</x:v>
      </x:c>
      <x:c r="H1028" s="20" t="n">
        <x:f>'Controls'!$B$21</x:f>
        <x:v>6</x:v>
      </x:c>
      <x:c r="I1028" s="20" t="n">
        <x:v>1</x:v>
      </x:c>
      <x:c r="J1028" s="20" t="n">
        <x:v>-1</x:v>
      </x:c>
      <x:c r="K1028" s="20" t="n">
        <x:f>F1028*G1028*H1028*I1028*J1028</x:f>
        <x:v>-24</x:v>
      </x:c>
      <x:c r="L1028" s="7" t="str">
        <x:v>OP-01</x:v>
      </x:c>
      <x:c r="M1028" s="2"/>
      <x:c r="N1028" s="2"/>
      <x:c r="O1028" s="2"/>
      <x:c r="P1028" s="2"/>
      <x:c r="Q1028" s="2"/>
    </x:row>
    <x:row r="1029" ht="22" customHeight="1">
      <x:c r="A1029" s="2" t="str">
        <x:v>M1022</x:v>
      </x:c>
      <x:c r="B1029" s="2" t="str">
        <x:v>FW01</x:v>
      </x:c>
      <x:c r="C1029" s="2" t="str">
        <x:v>T4</x:v>
      </x:c>
      <x:c r="D1029" s="2" t="str">
        <x:v>L04</x:v>
      </x:c>
      <x:c r="E1029" s="2" t="str">
        <x:v>Beam soffit deduction</x:v>
      </x:c>
      <x:c r="F1029" s="21" t="n">
        <x:v>1</x:v>
      </x:c>
      <x:c r="G1029" s="21" t="n">
        <x:f>5*5*('Controls'!$B$10/5-'Controls'!$B$14)+6*4*('Controls'!$B$11/4-'Controls'!$B$15)</x:f>
        <x:v>269.5</x:v>
      </x:c>
      <x:c r="H1029" s="21" t="n">
        <x:f>'Controls'!$B$16</x:f>
        <x:v>0.3</x:v>
      </x:c>
      <x:c r="I1029" s="21" t="n">
        <x:v>1</x:v>
      </x:c>
      <x:c r="J1029" s="21" t="n">
        <x:v>-1</x:v>
      </x:c>
      <x:c r="K1029" s="21" t="n">
        <x:f>F1029*G1029*H1029*I1029*J1029</x:f>
        <x:v>-80.85</x:v>
      </x:c>
      <x:c r="L1029" s="2" t="str">
        <x:v>Beam forms measured in FW02</x:v>
      </x:c>
      <x:c r="M1029" s="2"/>
      <x:c r="N1029" s="2"/>
      <x:c r="O1029" s="2"/>
      <x:c r="P1029" s="2"/>
      <x:c r="Q1029" s="2"/>
    </x:row>
    <x:row r="1030" ht="22" customHeight="1">
      <x:c r="A1030" s="7" t="str">
        <x:v>M1023</x:v>
      </x:c>
      <x:c r="B1030" s="7" t="str">
        <x:v>FW03</x:v>
      </x:c>
      <x:c r="C1030" s="7" t="str">
        <x:v>T4</x:v>
      </x:c>
      <x:c r="D1030" s="7" t="str">
        <x:v>L04</x:v>
      </x:c>
      <x:c r="E1030" s="7" t="str">
        <x:v>Column four faces</x:v>
      </x:c>
      <x:c r="F1030" s="20" t="n">
        <x:v>30</x:v>
      </x:c>
      <x:c r="G1030" s="20" t="n">
        <x:f>2*('Controls'!$B$14+'Controls'!$B$15)</x:f>
        <x:v>2</x:v>
      </x:c>
      <x:c r="H1030" s="20" t="n">
        <x:f>'Controls'!$B$12-'Controls'!$B$13</x:f>
        <x:v>2.98</x:v>
      </x:c>
      <x:c r="I1030" s="20" t="n">
        <x:v>1</x:v>
      </x:c>
      <x:c r="J1030" s="20" t="n">
        <x:v>1</x:v>
      </x:c>
      <x:c r="K1030" s="20" t="n">
        <x:f>F1030*G1030*H1030*I1030*J1030</x:f>
        <x:v>178.8</x:v>
      </x:c>
      <x:c r="L1030" s="7" t="str">
        <x:v>Clear floor-to-soffit</x:v>
      </x:c>
      <x:c r="M1030" s="2"/>
      <x:c r="N1030" s="2"/>
      <x:c r="O1030" s="2"/>
      <x:c r="P1030" s="2"/>
      <x:c r="Q1030" s="2"/>
    </x:row>
    <x:row r="1031" ht="22" customHeight="1">
      <x:c r="A1031" s="2" t="str">
        <x:v>M1024</x:v>
      </x:c>
      <x:c r="B1031" s="2" t="str">
        <x:v>FW04</x:v>
      </x:c>
      <x:c r="C1031" s="2" t="str">
        <x:v>T4</x:v>
      </x:c>
      <x:c r="D1031" s="2" t="str">
        <x:v>L04</x:v>
      </x:c>
      <x:c r="E1031" s="2" t="str">
        <x:v>Core wall two faces</x:v>
      </x:c>
      <x:c r="F1031" s="21" t="n">
        <x:v>2</x:v>
      </x:c>
      <x:c r="G1031" s="21" t="n">
        <x:f>'Controls'!$B$19</x:f>
        <x:v>24</x:v>
      </x:c>
      <x:c r="H1031" s="21" t="n">
        <x:f>'Controls'!$B$12-'Controls'!$B$13</x:f>
        <x:v>2.98</x:v>
      </x:c>
      <x:c r="I1031" s="21" t="n">
        <x:v>1</x:v>
      </x:c>
      <x:c r="J1031" s="21" t="n">
        <x:v>1</x:v>
      </x:c>
      <x:c r="K1031" s="21" t="n">
        <x:f>F1031*G1031*H1031*I1031*J1031</x:f>
        <x:v>143.04</x:v>
      </x:c>
      <x:c r="L1031" s="2" t="str">
        <x:v>Net perimeter, no repeated corners</x:v>
      </x:c>
      <x:c r="M1031" s="2"/>
      <x:c r="N1031" s="2"/>
      <x:c r="O1031" s="2"/>
      <x:c r="P1031" s="2"/>
      <x:c r="Q1031" s="2"/>
    </x:row>
    <x:row r="1032" ht="22" customHeight="1">
      <x:c r="A1032" s="7" t="str">
        <x:v>M1025</x:v>
      </x:c>
      <x:c r="B1032" s="7" t="str">
        <x:v>AR01</x:v>
      </x:c>
      <x:c r="C1032" s="7" t="str">
        <x:v>T4</x:v>
      </x:c>
      <x:c r="D1032" s="7" t="str">
        <x:v>L04</x:v>
      </x:c>
      <x:c r="E1032" s="7" t="str">
        <x:v>Partition walls gross</x:v>
      </x:c>
      <x:c r="F1032" s="20" t="n">
        <x:v>1</x:v>
      </x:c>
      <x:c r="G1032" s="20" t="n">
        <x:f>'Controls'!$B$45</x:f>
        <x:v>220</x:v>
      </x:c>
      <x:c r="H1032" s="20" t="n">
        <x:f>'Controls'!$B$12-'Controls'!$B$13</x:f>
        <x:v>2.98</x:v>
      </x:c>
      <x:c r="I1032" s="20" t="n">
        <x:f>'Controls'!$B$46</x:f>
        <x:v>0.15</x:v>
      </x:c>
      <x:c r="J1032" s="20" t="n">
        <x:v>1</x:v>
      </x:c>
      <x:c r="K1032" s="20" t="n">
        <x:f>F1032*G1032*H1032*I1032*J1032</x:f>
        <x:v>98.34</x:v>
      </x:c>
      <x:c r="L1032" s="7" t="str">
        <x:v>Net openings deducted below</x:v>
      </x:c>
      <x:c r="M1032" s="2"/>
      <x:c r="N1032" s="2"/>
      <x:c r="O1032" s="2"/>
      <x:c r="P1032" s="2"/>
      <x:c r="Q1032" s="2"/>
    </x:row>
    <x:row r="1033" ht="22" customHeight="1">
      <x:c r="A1033" s="2" t="str">
        <x:v>M1026</x:v>
      </x:c>
      <x:c r="B1033" s="2" t="str">
        <x:v>AR01</x:v>
      </x:c>
      <x:c r="C1033" s="2" t="str">
        <x:v>T4</x:v>
      </x:c>
      <x:c r="D1033" s="2" t="str">
        <x:v>L04</x:v>
      </x:c>
      <x:c r="E1033" s="2" t="str">
        <x:v>Internal doors deduction</x:v>
      </x:c>
      <x:c r="F1033" s="21" t="n">
        <x:f>'Controls'!$B$48</x:f>
        <x:v>28</x:v>
      </x:c>
      <x:c r="G1033" s="21" t="n">
        <x:f>'Controls'!$B$49</x:f>
        <x:v>0.9</x:v>
      </x:c>
      <x:c r="H1033" s="21" t="n">
        <x:f>'Controls'!$B$50</x:f>
        <x:v>2.1</x:v>
      </x:c>
      <x:c r="I1033" s="21" t="n">
        <x:f>'Controls'!$B$46</x:f>
        <x:v>0.15</x:v>
      </x:c>
      <x:c r="J1033" s="21" t="n">
        <x:v>-1</x:v>
      </x:c>
      <x:c r="K1033" s="21" t="n">
        <x:f>F1033*G1033*H1033*I1033*J1033</x:f>
        <x:v>-7.938</x:v>
      </x:c>
      <x:c r="L1033" s="2" t="str">
        <x:v>28 doors per floor, OP-02</x:v>
      </x:c>
      <x:c r="M1033" s="2"/>
      <x:c r="N1033" s="2"/>
      <x:c r="O1033" s="2"/>
      <x:c r="P1033" s="2"/>
      <x:c r="Q1033" s="2"/>
    </x:row>
    <x:row r="1034" ht="22" customHeight="1">
      <x:c r="A1034" s="7" t="str">
        <x:v>M1027</x:v>
      </x:c>
      <x:c r="B1034" s="7" t="str">
        <x:v>AR02</x:v>
      </x:c>
      <x:c r="C1034" s="7" t="str">
        <x:v>T4</x:v>
      </x:c>
      <x:c r="D1034" s="7" t="str">
        <x:v>L04</x:v>
      </x:c>
      <x:c r="E1034" s="7" t="str">
        <x:v>Internal plaster gross</x:v>
      </x:c>
      <x:c r="F1034" s="20" t="n">
        <x:v>2</x:v>
      </x:c>
      <x:c r="G1034" s="20" t="n">
        <x:f>'Controls'!$B$45</x:f>
        <x:v>220</x:v>
      </x:c>
      <x:c r="H1034" s="20" t="n">
        <x:f>'Controls'!$B$12-'Controls'!$B$13</x:f>
        <x:v>2.98</x:v>
      </x:c>
      <x:c r="I1034" s="20" t="n">
        <x:v>1</x:v>
      </x:c>
      <x:c r="J1034" s="20" t="n">
        <x:v>1</x:v>
      </x:c>
      <x:c r="K1034" s="20" t="n">
        <x:f>F1034*G1034*H1034*I1034*J1034</x:f>
        <x:v>1311.2</x:v>
      </x:c>
      <x:c r="L1034" s="7" t="str">
        <x:v>Both faces of partition walls</x:v>
      </x:c>
      <x:c r="M1034" s="2"/>
      <x:c r="N1034" s="2"/>
      <x:c r="O1034" s="2"/>
      <x:c r="P1034" s="2"/>
      <x:c r="Q1034" s="2"/>
    </x:row>
    <x:row r="1035" ht="22" customHeight="1">
      <x:c r="A1035" s="2" t="str">
        <x:v>M1028</x:v>
      </x:c>
      <x:c r="B1035" s="2" t="str">
        <x:v>AR02</x:v>
      </x:c>
      <x:c r="C1035" s="2" t="str">
        <x:v>T4</x:v>
      </x:c>
      <x:c r="D1035" s="2" t="str">
        <x:v>L04</x:v>
      </x:c>
      <x:c r="E1035" s="2" t="str">
        <x:v>Door area deduction both faces</x:v>
      </x:c>
      <x:c r="F1035" s="21" t="n">
        <x:f>2*'Controls'!$B$48</x:f>
        <x:v>56</x:v>
      </x:c>
      <x:c r="G1035" s="21" t="n">
        <x:f>'Controls'!$B$49</x:f>
        <x:v>0.9</x:v>
      </x:c>
      <x:c r="H1035" s="21" t="n">
        <x:f>'Controls'!$B$50</x:f>
        <x:v>2.1</x:v>
      </x:c>
      <x:c r="I1035" s="21" t="n">
        <x:v>1</x:v>
      </x:c>
      <x:c r="J1035" s="21" t="n">
        <x:v>-1</x:v>
      </x:c>
      <x:c r="K1035" s="21" t="n">
        <x:f>F1035*G1035*H1035*I1035*J1035</x:f>
        <x:v>-105.84</x:v>
      </x:c>
      <x:c r="L1035" s="2" t="str">
        <x:v>No plaster over openings</x:v>
      </x:c>
      <x:c r="M1035" s="2"/>
      <x:c r="N1035" s="2"/>
      <x:c r="O1035" s="2"/>
      <x:c r="P1035" s="2"/>
      <x:c r="Q1035" s="2"/>
    </x:row>
    <x:row r="1036" ht="22" customHeight="1">
      <x:c r="A1036" s="7" t="str">
        <x:v>M1029</x:v>
      </x:c>
      <x:c r="B1036" s="7" t="str">
        <x:v>AR03</x:v>
      </x:c>
      <x:c r="C1036" s="7" t="str">
        <x:v>T4</x:v>
      </x:c>
      <x:c r="D1036" s="7" t="str">
        <x:v>L04</x:v>
      </x:c>
      <x:c r="E1036" s="7" t="str">
        <x:v>Floor screed net</x:v>
      </x:c>
      <x:c r="F1036" s="20" t="n">
        <x:v>1</x:v>
      </x:c>
      <x:c r="G1036" s="20" t="n">
        <x:f>'Controls'!$B$10*'Controls'!$B$11-'Controls'!$B$20*'Controls'!$B$21</x:f>
        <x:v>696</x:v>
      </x:c>
      <x:c r="H1036" s="20" t="n">
        <x:v>1</x:v>
      </x:c>
      <x:c r="I1036" s="20" t="n">
        <x:v>1</x:v>
      </x:c>
      <x:c r="J1036" s="20" t="n">
        <x:v>1</x:v>
      </x:c>
      <x:c r="K1036" s="20" t="n">
        <x:f>F1036*G1036*H1036*I1036*J1036</x:f>
        <x:v>696</x:v>
      </x:c>
      <x:c r="L1036" s="7" t="str">
        <x:v>Net structural floor area</x:v>
      </x:c>
      <x:c r="M1036" s="2"/>
      <x:c r="N1036" s="2"/>
      <x:c r="O1036" s="2"/>
      <x:c r="P1036" s="2"/>
      <x:c r="Q1036" s="2"/>
    </x:row>
    <x:row r="1037" ht="22" customHeight="1">
      <x:c r="A1037" s="2" t="str">
        <x:v>M1030</x:v>
      </x:c>
      <x:c r="B1037" s="2" t="str">
        <x:v>AR04</x:v>
      </x:c>
      <x:c r="C1037" s="2" t="str">
        <x:v>T4</x:v>
      </x:c>
      <x:c r="D1037" s="2" t="str">
        <x:v>L04</x:v>
      </x:c>
      <x:c r="E1037" s="2" t="str">
        <x:v>Floor finish net</x:v>
      </x:c>
      <x:c r="F1037" s="21" t="n">
        <x:v>1</x:v>
      </x:c>
      <x:c r="G1037" s="21" t="n">
        <x:f>'Controls'!$B$10*'Controls'!$B$11-'Controls'!$B$20*'Controls'!$B$21</x:f>
        <x:v>696</x:v>
      </x:c>
      <x:c r="H1037" s="21" t="n">
        <x:v>1</x:v>
      </x:c>
      <x:c r="I1037" s="21" t="n">
        <x:v>1</x:v>
      </x:c>
      <x:c r="J1037" s="21" t="n">
        <x:v>1</x:v>
      </x:c>
      <x:c r="K1037" s="21" t="n">
        <x:f>F1037*G1037*H1037*I1037*J1037</x:f>
        <x:v>696</x:v>
      </x:c>
      <x:c r="L1037" s="2" t="str">
        <x:v>Waste excluded from BOQ</x:v>
      </x:c>
      <x:c r="M1037" s="2"/>
      <x:c r="N1037" s="2"/>
      <x:c r="O1037" s="2"/>
      <x:c r="P1037" s="2"/>
      <x:c r="Q1037" s="2"/>
    </x:row>
    <x:row r="1038" ht="22" customHeight="1">
      <x:c r="A1038" s="7" t="str">
        <x:v>M1031</x:v>
      </x:c>
      <x:c r="B1038" s="7" t="str">
        <x:v>AR05</x:v>
      </x:c>
      <x:c r="C1038" s="7" t="str">
        <x:v>T4</x:v>
      </x:c>
      <x:c r="D1038" s="7" t="str">
        <x:v>L04</x:v>
      </x:c>
      <x:c r="E1038" s="7" t="str">
        <x:v>Internal wall paint net</x:v>
      </x:c>
      <x:c r="F1038" s="20" t="n">
        <x:v>2</x:v>
      </x:c>
      <x:c r="G1038" s="20" t="n">
        <x:f>'Controls'!$B$45*('Controls'!$B$12-'Controls'!$B$13)-'Controls'!$B$48*'Controls'!$B$49*'Controls'!$B$50</x:f>
        <x:v>602.6800000000001</x:v>
      </x:c>
      <x:c r="H1038" s="20" t="n">
        <x:v>1</x:v>
      </x:c>
      <x:c r="I1038" s="20" t="n">
        <x:v>1</x:v>
      </x:c>
      <x:c r="J1038" s="20" t="n">
        <x:v>1</x:v>
      </x:c>
      <x:c r="K1038" s="20" t="n">
        <x:f>F1038*G1038*H1038*I1038*J1038</x:f>
        <x:v>1205.3600000000001</x:v>
      </x:c>
      <x:c r="L1038" s="7" t="str">
        <x:v>Finished area; two coats priced in rate</x:v>
      </x:c>
      <x:c r="M1038" s="2"/>
      <x:c r="N1038" s="2"/>
      <x:c r="O1038" s="2"/>
      <x:c r="P1038" s="2"/>
      <x:c r="Q1038" s="2"/>
    </x:row>
    <x:row r="1039" ht="22" customHeight="1">
      <x:c r="A1039" s="2" t="str">
        <x:v>M1032</x:v>
      </x:c>
      <x:c r="B1039" s="2" t="str">
        <x:v>AR06</x:v>
      </x:c>
      <x:c r="C1039" s="2" t="str">
        <x:v>T4</x:v>
      </x:c>
      <x:c r="D1039" s="2" t="str">
        <x:v>L04</x:v>
      </x:c>
      <x:c r="E1039" s="2" t="str">
        <x:v>Door sets</x:v>
      </x:c>
      <x:c r="F1039" s="21" t="n">
        <x:f>'Controls'!$B$48</x:f>
        <x:v>28</x:v>
      </x:c>
      <x:c r="G1039" s="21" t="n">
        <x:v>1</x:v>
      </x:c>
      <x:c r="H1039" s="21" t="n">
        <x:v>1</x:v>
      </x:c>
      <x:c r="I1039" s="21" t="n">
        <x:v>1</x:v>
      </x:c>
      <x:c r="J1039" s="21" t="n">
        <x:v>1</x:v>
      </x:c>
      <x:c r="K1039" s="21" t="n">
        <x:f>F1039*G1039*H1039*I1039*J1039</x:f>
        <x:v>28</x:v>
      </x:c>
      <x:c r="L1039" s="2" t="str">
        <x:v>Door count, not double face</x:v>
      </x:c>
      <x:c r="M1039" s="2"/>
      <x:c r="N1039" s="2"/>
      <x:c r="O1039" s="2"/>
      <x:c r="P1039" s="2"/>
      <x:c r="Q1039" s="2"/>
    </x:row>
    <x:row r="1040" ht="22" customHeight="1">
      <x:c r="A1040" s="7" t="str">
        <x:v>M1033</x:v>
      </x:c>
      <x:c r="B1040" s="7" t="str">
        <x:v>RC03</x:v>
      </x:c>
      <x:c r="C1040" s="7" t="str">
        <x:v>T4</x:v>
      </x:c>
      <x:c r="D1040" s="7" t="str">
        <x:v>L05</x:v>
      </x:c>
      <x:c r="E1040" s="7" t="str">
        <x:v>Floor slab gross</x:v>
      </x:c>
      <x:c r="F1040" s="20" t="n">
        <x:v>1</x:v>
      </x:c>
      <x:c r="G1040" s="20" t="n">
        <x:f>'Controls'!$B$10</x:f>
        <x:v>30</x:v>
      </x:c>
      <x:c r="H1040" s="20" t="n">
        <x:f>'Controls'!$B$11</x:f>
        <x:v>24</x:v>
      </x:c>
      <x:c r="I1040" s="20" t="n">
        <x:f>'Controls'!$B$13</x:f>
        <x:v>0.22</x:v>
      </x:c>
      <x:c r="J1040" s="20" t="n">
        <x:v>1</x:v>
      </x:c>
      <x:c r="K1040" s="20" t="n">
        <x:f>F1040*G1040*H1040*I1040*J1040</x:f>
        <x:v>158.4</x:v>
      </x:c>
      <x:c r="L1040" s="7" t="str">
        <x:v>Slab includes beam top flange; downstand separate</x:v>
      </x:c>
      <x:c r="M1040" s="2"/>
      <x:c r="N1040" s="2"/>
      <x:c r="O1040" s="2"/>
      <x:c r="P1040" s="2"/>
      <x:c r="Q1040" s="2"/>
    </x:row>
    <x:row r="1041" ht="22" customHeight="1">
      <x:c r="A1041" s="2" t="str">
        <x:v>M1034</x:v>
      </x:c>
      <x:c r="B1041" s="2" t="str">
        <x:v>RC03</x:v>
      </x:c>
      <x:c r="C1041" s="2" t="str">
        <x:v>T4</x:v>
      </x:c>
      <x:c r="D1041" s="2" t="str">
        <x:v>L05</x:v>
      </x:c>
      <x:c r="E1041" s="2" t="str">
        <x:v>Stair opening deduction</x:v>
      </x:c>
      <x:c r="F1041" s="21" t="n">
        <x:v>1</x:v>
      </x:c>
      <x:c r="G1041" s="21" t="n">
        <x:f>'Controls'!$B$20</x:f>
        <x:v>4</x:v>
      </x:c>
      <x:c r="H1041" s="21" t="n">
        <x:f>'Controls'!$B$21</x:f>
        <x:v>6</x:v>
      </x:c>
      <x:c r="I1041" s="21" t="n">
        <x:f>'Controls'!$B$13</x:f>
        <x:v>0.22</x:v>
      </x:c>
      <x:c r="J1041" s="21" t="n">
        <x:v>-1</x:v>
      </x:c>
      <x:c r="K1041" s="21" t="n">
        <x:f>F1041*G1041*H1041*I1041*J1041</x:f>
        <x:v>-5.28</x:v>
      </x:c>
      <x:c r="L1041" s="2" t="str">
        <x:v>Opening OP-01</x:v>
      </x:c>
      <x:c r="M1041" s="2"/>
      <x:c r="N1041" s="2"/>
      <x:c r="O1041" s="2"/>
      <x:c r="P1041" s="2"/>
      <x:c r="Q1041" s="2"/>
    </x:row>
    <x:row r="1042" ht="22" customHeight="1">
      <x:c r="A1042" s="7" t="str">
        <x:v>M1035</x:v>
      </x:c>
      <x:c r="B1042" s="7" t="str">
        <x:v>RC04</x:v>
      </x:c>
      <x:c r="C1042" s="7" t="str">
        <x:v>T4</x:v>
      </x:c>
      <x:c r="D1042" s="7" t="str">
        <x:v>L05</x:v>
      </x:c>
      <x:c r="E1042" s="7" t="str">
        <x:v>Beam downstands X</x:v>
      </x:c>
      <x:c r="F1042" s="20" t="n">
        <x:v>1</x:v>
      </x:c>
      <x:c r="G1042" s="20" t="n">
        <x:f>5*5*('Controls'!$B$10/5-'Controls'!$B$14)</x:f>
        <x:v>137.5</x:v>
      </x:c>
      <x:c r="H1042" s="20" t="n">
        <x:f>'Controls'!$B$16</x:f>
        <x:v>0.3</x:v>
      </x:c>
      <x:c r="I1042" s="20" t="n">
        <x:f>'Controls'!$B$17-'Controls'!$B$13</x:f>
        <x:v>0.38</x:v>
      </x:c>
      <x:c r="J1042" s="20" t="n">
        <x:v>1</x:v>
      </x:c>
      <x:c r="K1042" s="20" t="n">
        <x:f>F1042*G1042*H1042*I1042*J1042</x:f>
        <x:v>15.675</x:v>
      </x:c>
      <x:c r="L1042" s="7" t="str">
        <x:v>Clear spans between column faces; no joint overlap</x:v>
      </x:c>
      <x:c r="M1042" s="2"/>
      <x:c r="N1042" s="2"/>
      <x:c r="O1042" s="2"/>
      <x:c r="P1042" s="2"/>
      <x:c r="Q1042" s="2"/>
    </x:row>
    <x:row r="1043" ht="22" customHeight="1">
      <x:c r="A1043" s="2" t="str">
        <x:v>M1036</x:v>
      </x:c>
      <x:c r="B1043" s="2" t="str">
        <x:v>FW02</x:v>
      </x:c>
      <x:c r="C1043" s="2" t="str">
        <x:v>T4</x:v>
      </x:c>
      <x:c r="D1043" s="2" t="str">
        <x:v>L05</x:v>
      </x:c>
      <x:c r="E1043" s="2" t="str">
        <x:v>Beam forms X</x:v>
      </x:c>
      <x:c r="F1043" s="21" t="n">
        <x:v>1</x:v>
      </x:c>
      <x:c r="G1043" s="21" t="n">
        <x:f>5*5*('Controls'!$B$10/5-'Controls'!$B$14)</x:f>
        <x:v>137.5</x:v>
      </x:c>
      <x:c r="H1043" s="21" t="n">
        <x:f>'Controls'!$B$16+2*('Controls'!$B$17-'Controls'!$B$13)</x:f>
        <x:v>1.06</x:v>
      </x:c>
      <x:c r="I1043" s="21" t="n">
        <x:v>1</x:v>
      </x:c>
      <x:c r="J1043" s="21" t="n">
        <x:v>1</x:v>
      </x:c>
      <x:c r="K1043" s="21" t="n">
        <x:f>F1043*G1043*H1043*I1043*J1043</x:f>
        <x:v>145.75</x:v>
      </x:c>
      <x:c r="L1043" s="2" t="str">
        <x:v>Soffit plus two downstand sides</x:v>
      </x:c>
      <x:c r="M1043" s="2"/>
      <x:c r="N1043" s="2"/>
      <x:c r="O1043" s="2"/>
      <x:c r="P1043" s="2"/>
      <x:c r="Q1043" s="2"/>
    </x:row>
    <x:row r="1044" ht="22" customHeight="1">
      <x:c r="A1044" s="7" t="str">
        <x:v>M1037</x:v>
      </x:c>
      <x:c r="B1044" s="7" t="str">
        <x:v>RC04</x:v>
      </x:c>
      <x:c r="C1044" s="7" t="str">
        <x:v>T4</x:v>
      </x:c>
      <x:c r="D1044" s="7" t="str">
        <x:v>L05</x:v>
      </x:c>
      <x:c r="E1044" s="7" t="str">
        <x:v>Beam downstands Y</x:v>
      </x:c>
      <x:c r="F1044" s="20" t="n">
        <x:v>1</x:v>
      </x:c>
      <x:c r="G1044" s="20" t="n">
        <x:f>6*4*('Controls'!$B$11/4-'Controls'!$B$15)</x:f>
        <x:v>132</x:v>
      </x:c>
      <x:c r="H1044" s="20" t="n">
        <x:f>'Controls'!$B$16</x:f>
        <x:v>0.3</x:v>
      </x:c>
      <x:c r="I1044" s="20" t="n">
        <x:f>'Controls'!$B$17-'Controls'!$B$13</x:f>
        <x:v>0.38</x:v>
      </x:c>
      <x:c r="J1044" s="20" t="n">
        <x:v>1</x:v>
      </x:c>
      <x:c r="K1044" s="20" t="n">
        <x:f>F1044*G1044*H1044*I1044*J1044</x:f>
        <x:v>15.048</x:v>
      </x:c>
      <x:c r="L1044" s="7" t="str">
        <x:v>Clear spans between column faces; no joint overlap</x:v>
      </x:c>
      <x:c r="M1044" s="2"/>
      <x:c r="N1044" s="2"/>
      <x:c r="O1044" s="2"/>
      <x:c r="P1044" s="2"/>
      <x:c r="Q1044" s="2"/>
    </x:row>
    <x:row r="1045" ht="22" customHeight="1">
      <x:c r="A1045" s="2" t="str">
        <x:v>M1038</x:v>
      </x:c>
      <x:c r="B1045" s="2" t="str">
        <x:v>FW02</x:v>
      </x:c>
      <x:c r="C1045" s="2" t="str">
        <x:v>T4</x:v>
      </x:c>
      <x:c r="D1045" s="2" t="str">
        <x:v>L05</x:v>
      </x:c>
      <x:c r="E1045" s="2" t="str">
        <x:v>Beam forms Y</x:v>
      </x:c>
      <x:c r="F1045" s="21" t="n">
        <x:v>1</x:v>
      </x:c>
      <x:c r="G1045" s="21" t="n">
        <x:f>6*4*('Controls'!$B$11/4-'Controls'!$B$15)</x:f>
        <x:v>132</x:v>
      </x:c>
      <x:c r="H1045" s="21" t="n">
        <x:f>'Controls'!$B$16+2*('Controls'!$B$17-'Controls'!$B$13)</x:f>
        <x:v>1.06</x:v>
      </x:c>
      <x:c r="I1045" s="21" t="n">
        <x:v>1</x:v>
      </x:c>
      <x:c r="J1045" s="21" t="n">
        <x:v>1</x:v>
      </x:c>
      <x:c r="K1045" s="21" t="n">
        <x:f>F1045*G1045*H1045*I1045*J1045</x:f>
        <x:v>139.92000000000002</x:v>
      </x:c>
      <x:c r="L1045" s="2" t="str">
        <x:v>Soffit plus two downstand sides</x:v>
      </x:c>
      <x:c r="M1045" s="2"/>
      <x:c r="N1045" s="2"/>
      <x:c r="O1045" s="2"/>
      <x:c r="P1045" s="2"/>
      <x:c r="Q1045" s="2"/>
    </x:row>
    <x:row r="1046" ht="22" customHeight="1">
      <x:c r="A1046" s="7" t="str">
        <x:v>M1039</x:v>
      </x:c>
      <x:c r="B1046" s="7" t="str">
        <x:v>RC05</x:v>
      </x:c>
      <x:c r="C1046" s="7" t="str">
        <x:v>T4</x:v>
      </x:c>
      <x:c r="D1046" s="7" t="str">
        <x:v>L05</x:v>
      </x:c>
      <x:c r="E1046" s="7" t="str">
        <x:v>Thirty columns, clear storey</x:v>
      </x:c>
      <x:c r="F1046" s="20" t="n">
        <x:v>30</x:v>
      </x:c>
      <x:c r="G1046" s="20" t="n">
        <x:f>'Controls'!$B$14</x:f>
        <x:v>0.5</x:v>
      </x:c>
      <x:c r="H1046" s="20" t="n">
        <x:f>'Controls'!$B$15</x:f>
        <x:v>0.5</x:v>
      </x:c>
      <x:c r="I1046" s="20" t="n">
        <x:f>'Controls'!$B$12-'Controls'!$B$13</x:f>
        <x:v>2.98</x:v>
      </x:c>
      <x:c r="J1046" s="20" t="n">
        <x:v>1</x:v>
      </x:c>
      <x:c r="K1046" s="20" t="n">
        <x:f>F1046*G1046*H1046*I1046*J1046</x:f>
        <x:v>22.35</x:v>
      </x:c>
      <x:c r="L1046" s="7" t="str">
        <x:v>Slab volume excluded from columns</x:v>
      </x:c>
      <x:c r="M1046" s="2"/>
      <x:c r="N1046" s="2"/>
      <x:c r="O1046" s="2"/>
      <x:c r="P1046" s="2"/>
      <x:c r="Q1046" s="2"/>
    </x:row>
    <x:row r="1047" ht="22" customHeight="1">
      <x:c r="A1047" s="2" t="str">
        <x:v>M1040</x:v>
      </x:c>
      <x:c r="B1047" s="2" t="str">
        <x:v>RC06</x:v>
      </x:c>
      <x:c r="C1047" s="2" t="str">
        <x:v>T4</x:v>
      </x:c>
      <x:c r="D1047" s="2" t="str">
        <x:v>L05</x:v>
      </x:c>
      <x:c r="E1047" s="2" t="str">
        <x:v>Core walls clear storey</x:v>
      </x:c>
      <x:c r="F1047" s="21" t="n">
        <x:v>1</x:v>
      </x:c>
      <x:c r="G1047" s="21" t="n">
        <x:f>'Controls'!$B$19</x:f>
        <x:v>24</x:v>
      </x:c>
      <x:c r="H1047" s="21" t="n">
        <x:f>'Controls'!$B$18</x:f>
        <x:v>0.25</x:v>
      </x:c>
      <x:c r="I1047" s="21" t="n">
        <x:f>'Controls'!$B$12-'Controls'!$B$13</x:f>
        <x:v>2.98</x:v>
      </x:c>
      <x:c r="J1047" s="21" t="n">
        <x:v>1</x:v>
      </x:c>
      <x:c r="K1047" s="21" t="n">
        <x:f>F1047*G1047*H1047*I1047*J1047</x:f>
        <x:v>17.88</x:v>
      </x:c>
      <x:c r="L1047" s="2" t="str">
        <x:v>Net clear wall length excludes corners</x:v>
      </x:c>
      <x:c r="M1047" s="2"/>
      <x:c r="N1047" s="2"/>
      <x:c r="O1047" s="2"/>
      <x:c r="P1047" s="2"/>
      <x:c r="Q1047" s="2"/>
    </x:row>
    <x:row r="1048" ht="22" customHeight="1">
      <x:c r="A1048" s="7" t="str">
        <x:v>M1041</x:v>
      </x:c>
      <x:c r="B1048" s="7" t="str">
        <x:v>RC07</x:v>
      </x:c>
      <x:c r="C1048" s="7" t="str">
        <x:v>T4</x:v>
      </x:c>
      <x:c r="D1048" s="7" t="str">
        <x:v>L05</x:v>
      </x:c>
      <x:c r="E1048" s="7" t="str">
        <x:v>Stair flights waist</x:v>
      </x:c>
      <x:c r="F1048" s="20" t="n">
        <x:v>2</x:v>
      </x:c>
      <x:c r="G1048" s="20" t="n">
        <x:v>4.1</x:v>
      </x:c>
      <x:c r="H1048" s="20" t="n">
        <x:v>1.2</x:v>
      </x:c>
      <x:c r="I1048" s="20" t="n">
        <x:v>0.18</x:v>
      </x:c>
      <x:c r="J1048" s="20" t="n">
        <x:v>1</x:v>
      </x:c>
      <x:c r="K1048" s="20" t="n">
        <x:f>F1048*G1048*H1048*I1048*J1048</x:f>
        <x:v>1.7711999999999997</x:v>
      </x:c>
      <x:c r="L1048" s="7" t="str">
        <x:v>Two flights; geometry separate from floor slab</x:v>
      </x:c>
      <x:c r="M1048" s="2"/>
      <x:c r="N1048" s="2"/>
      <x:c r="O1048" s="2"/>
      <x:c r="P1048" s="2"/>
      <x:c r="Q1048" s="2"/>
    </x:row>
    <x:row r="1049" ht="22" customHeight="1">
      <x:c r="A1049" s="2" t="str">
        <x:v>M1042</x:v>
      </x:c>
      <x:c r="B1049" s="2" t="str">
        <x:v>RC07</x:v>
      </x:c>
      <x:c r="C1049" s="2" t="str">
        <x:v>T4</x:v>
      </x:c>
      <x:c r="D1049" s="2" t="str">
        <x:v>L05</x:v>
      </x:c>
      <x:c r="E1049" s="2" t="str">
        <x:v>Stair landings</x:v>
      </x:c>
      <x:c r="F1049" s="21" t="n">
        <x:v>2</x:v>
      </x:c>
      <x:c r="G1049" s="21" t="n">
        <x:v>2</x:v>
      </x:c>
      <x:c r="H1049" s="21" t="n">
        <x:v>1.2</x:v>
      </x:c>
      <x:c r="I1049" s="21" t="n">
        <x:v>0.18</x:v>
      </x:c>
      <x:c r="J1049" s="21" t="n">
        <x:v>1</x:v>
      </x:c>
      <x:c r="K1049" s="21" t="n">
        <x:f>F1049*G1049*H1049*I1049*J1049</x:f>
        <x:v>0.864</x:v>
      </x:c>
      <x:c r="L1049" s="2" t="str">
        <x:v>Within stair opening</x:v>
      </x:c>
      <x:c r="M1049" s="2"/>
      <x:c r="N1049" s="2"/>
      <x:c r="O1049" s="2"/>
      <x:c r="P1049" s="2"/>
      <x:c r="Q1049" s="2"/>
    </x:row>
    <x:row r="1050" ht="22" customHeight="1">
      <x:c r="A1050" s="7" t="str">
        <x:v>M1043</x:v>
      </x:c>
      <x:c r="B1050" s="7" t="str">
        <x:v>FW01</x:v>
      </x:c>
      <x:c r="C1050" s="7" t="str">
        <x:v>T4</x:v>
      </x:c>
      <x:c r="D1050" s="7" t="str">
        <x:v>L05</x:v>
      </x:c>
      <x:c r="E1050" s="7" t="str">
        <x:v>Slab soffit gross</x:v>
      </x:c>
      <x:c r="F1050" s="20" t="n">
        <x:v>1</x:v>
      </x:c>
      <x:c r="G1050" s="20" t="n">
        <x:f>'Controls'!$B$10</x:f>
        <x:v>30</x:v>
      </x:c>
      <x:c r="H1050" s="20" t="n">
        <x:f>'Controls'!$B$11</x:f>
        <x:v>24</x:v>
      </x:c>
      <x:c r="I1050" s="20" t="n">
        <x:v>1</x:v>
      </x:c>
      <x:c r="J1050" s="20" t="n">
        <x:v>1</x:v>
      </x:c>
      <x:c r="K1050" s="20" t="n">
        <x:f>F1050*G1050*H1050*I1050*J1050</x:f>
        <x:v>720</x:v>
      </x:c>
      <x:c r="L1050" s="7" t="str">
        <x:v>Beam soffit deducted below</x:v>
      </x:c>
      <x:c r="M1050" s="2"/>
      <x:c r="N1050" s="2"/>
      <x:c r="O1050" s="2"/>
      <x:c r="P1050" s="2"/>
      <x:c r="Q1050" s="2"/>
    </x:row>
    <x:row r="1051" ht="22" customHeight="1">
      <x:c r="A1051" s="2" t="str">
        <x:v>M1044</x:v>
      </x:c>
      <x:c r="B1051" s="2" t="str">
        <x:v>FW01</x:v>
      </x:c>
      <x:c r="C1051" s="2" t="str">
        <x:v>T4</x:v>
      </x:c>
      <x:c r="D1051" s="2" t="str">
        <x:v>L05</x:v>
      </x:c>
      <x:c r="E1051" s="2" t="str">
        <x:v>Stair opening deduction</x:v>
      </x:c>
      <x:c r="F1051" s="21" t="n">
        <x:v>1</x:v>
      </x:c>
      <x:c r="G1051" s="21" t="n">
        <x:f>'Controls'!$B$20</x:f>
        <x:v>4</x:v>
      </x:c>
      <x:c r="H1051" s="21" t="n">
        <x:f>'Controls'!$B$21</x:f>
        <x:v>6</x:v>
      </x:c>
      <x:c r="I1051" s="21" t="n">
        <x:v>1</x:v>
      </x:c>
      <x:c r="J1051" s="21" t="n">
        <x:v>-1</x:v>
      </x:c>
      <x:c r="K1051" s="21" t="n">
        <x:f>F1051*G1051*H1051*I1051*J1051</x:f>
        <x:v>-24</x:v>
      </x:c>
      <x:c r="L1051" s="2" t="str">
        <x:v>OP-01</x:v>
      </x:c>
      <x:c r="M1051" s="2"/>
      <x:c r="N1051" s="2"/>
      <x:c r="O1051" s="2"/>
      <x:c r="P1051" s="2"/>
      <x:c r="Q1051" s="2"/>
    </x:row>
    <x:row r="1052" ht="22" customHeight="1">
      <x:c r="A1052" s="7" t="str">
        <x:v>M1045</x:v>
      </x:c>
      <x:c r="B1052" s="7" t="str">
        <x:v>FW01</x:v>
      </x:c>
      <x:c r="C1052" s="7" t="str">
        <x:v>T4</x:v>
      </x:c>
      <x:c r="D1052" s="7" t="str">
        <x:v>L05</x:v>
      </x:c>
      <x:c r="E1052" s="7" t="str">
        <x:v>Beam soffit deduction</x:v>
      </x:c>
      <x:c r="F1052" s="20" t="n">
        <x:v>1</x:v>
      </x:c>
      <x:c r="G1052" s="20" t="n">
        <x:f>5*5*('Controls'!$B$10/5-'Controls'!$B$14)+6*4*('Controls'!$B$11/4-'Controls'!$B$15)</x:f>
        <x:v>269.5</x:v>
      </x:c>
      <x:c r="H1052" s="20" t="n">
        <x:f>'Controls'!$B$16</x:f>
        <x:v>0.3</x:v>
      </x:c>
      <x:c r="I1052" s="20" t="n">
        <x:v>1</x:v>
      </x:c>
      <x:c r="J1052" s="20" t="n">
        <x:v>-1</x:v>
      </x:c>
      <x:c r="K1052" s="20" t="n">
        <x:f>F1052*G1052*H1052*I1052*J1052</x:f>
        <x:v>-80.85</x:v>
      </x:c>
      <x:c r="L1052" s="7" t="str">
        <x:v>Beam forms measured in FW02</x:v>
      </x:c>
      <x:c r="M1052" s="2"/>
      <x:c r="N1052" s="2"/>
      <x:c r="O1052" s="2"/>
      <x:c r="P1052" s="2"/>
      <x:c r="Q1052" s="2"/>
    </x:row>
    <x:row r="1053" ht="22" customHeight="1">
      <x:c r="A1053" s="2" t="str">
        <x:v>M1046</x:v>
      </x:c>
      <x:c r="B1053" s="2" t="str">
        <x:v>FW03</x:v>
      </x:c>
      <x:c r="C1053" s="2" t="str">
        <x:v>T4</x:v>
      </x:c>
      <x:c r="D1053" s="2" t="str">
        <x:v>L05</x:v>
      </x:c>
      <x:c r="E1053" s="2" t="str">
        <x:v>Column four faces</x:v>
      </x:c>
      <x:c r="F1053" s="21" t="n">
        <x:v>30</x:v>
      </x:c>
      <x:c r="G1053" s="21" t="n">
        <x:f>2*('Controls'!$B$14+'Controls'!$B$15)</x:f>
        <x:v>2</x:v>
      </x:c>
      <x:c r="H1053" s="21" t="n">
        <x:f>'Controls'!$B$12-'Controls'!$B$13</x:f>
        <x:v>2.98</x:v>
      </x:c>
      <x:c r="I1053" s="21" t="n">
        <x:v>1</x:v>
      </x:c>
      <x:c r="J1053" s="21" t="n">
        <x:v>1</x:v>
      </x:c>
      <x:c r="K1053" s="21" t="n">
        <x:f>F1053*G1053*H1053*I1053*J1053</x:f>
        <x:v>178.8</x:v>
      </x:c>
      <x:c r="L1053" s="2" t="str">
        <x:v>Clear floor-to-soffit</x:v>
      </x:c>
      <x:c r="M1053" s="2"/>
      <x:c r="N1053" s="2"/>
      <x:c r="O1053" s="2"/>
      <x:c r="P1053" s="2"/>
      <x:c r="Q1053" s="2"/>
    </x:row>
    <x:row r="1054" ht="22" customHeight="1">
      <x:c r="A1054" s="7" t="str">
        <x:v>M1047</x:v>
      </x:c>
      <x:c r="B1054" s="7" t="str">
        <x:v>FW04</x:v>
      </x:c>
      <x:c r="C1054" s="7" t="str">
        <x:v>T4</x:v>
      </x:c>
      <x:c r="D1054" s="7" t="str">
        <x:v>L05</x:v>
      </x:c>
      <x:c r="E1054" s="7" t="str">
        <x:v>Core wall two faces</x:v>
      </x:c>
      <x:c r="F1054" s="20" t="n">
        <x:v>2</x:v>
      </x:c>
      <x:c r="G1054" s="20" t="n">
        <x:f>'Controls'!$B$19</x:f>
        <x:v>24</x:v>
      </x:c>
      <x:c r="H1054" s="20" t="n">
        <x:f>'Controls'!$B$12-'Controls'!$B$13</x:f>
        <x:v>2.98</x:v>
      </x:c>
      <x:c r="I1054" s="20" t="n">
        <x:v>1</x:v>
      </x:c>
      <x:c r="J1054" s="20" t="n">
        <x:v>1</x:v>
      </x:c>
      <x:c r="K1054" s="20" t="n">
        <x:f>F1054*G1054*H1054*I1054*J1054</x:f>
        <x:v>143.04</x:v>
      </x:c>
      <x:c r="L1054" s="7" t="str">
        <x:v>Net perimeter, no repeated corners</x:v>
      </x:c>
      <x:c r="M1054" s="2"/>
      <x:c r="N1054" s="2"/>
      <x:c r="O1054" s="2"/>
      <x:c r="P1054" s="2"/>
      <x:c r="Q1054" s="2"/>
    </x:row>
    <x:row r="1055" ht="22" customHeight="1">
      <x:c r="A1055" s="2" t="str">
        <x:v>M1048</x:v>
      </x:c>
      <x:c r="B1055" s="2" t="str">
        <x:v>AR01</x:v>
      </x:c>
      <x:c r="C1055" s="2" t="str">
        <x:v>T4</x:v>
      </x:c>
      <x:c r="D1055" s="2" t="str">
        <x:v>L05</x:v>
      </x:c>
      <x:c r="E1055" s="2" t="str">
        <x:v>Partition walls gross</x:v>
      </x:c>
      <x:c r="F1055" s="21" t="n">
        <x:v>1</x:v>
      </x:c>
      <x:c r="G1055" s="21" t="n">
        <x:f>'Controls'!$B$45</x:f>
        <x:v>220</x:v>
      </x:c>
      <x:c r="H1055" s="21" t="n">
        <x:f>'Controls'!$B$12-'Controls'!$B$13</x:f>
        <x:v>2.98</x:v>
      </x:c>
      <x:c r="I1055" s="21" t="n">
        <x:f>'Controls'!$B$46</x:f>
        <x:v>0.15</x:v>
      </x:c>
      <x:c r="J1055" s="21" t="n">
        <x:v>1</x:v>
      </x:c>
      <x:c r="K1055" s="21" t="n">
        <x:f>F1055*G1055*H1055*I1055*J1055</x:f>
        <x:v>98.34</x:v>
      </x:c>
      <x:c r="L1055" s="2" t="str">
        <x:v>Net openings deducted below</x:v>
      </x:c>
      <x:c r="M1055" s="2"/>
      <x:c r="N1055" s="2"/>
      <x:c r="O1055" s="2"/>
      <x:c r="P1055" s="2"/>
      <x:c r="Q1055" s="2"/>
    </x:row>
    <x:row r="1056" ht="22" customHeight="1">
      <x:c r="A1056" s="7" t="str">
        <x:v>M1049</x:v>
      </x:c>
      <x:c r="B1056" s="7" t="str">
        <x:v>AR01</x:v>
      </x:c>
      <x:c r="C1056" s="7" t="str">
        <x:v>T4</x:v>
      </x:c>
      <x:c r="D1056" s="7" t="str">
        <x:v>L05</x:v>
      </x:c>
      <x:c r="E1056" s="7" t="str">
        <x:v>Internal doors deduction</x:v>
      </x:c>
      <x:c r="F1056" s="20" t="n">
        <x:f>'Controls'!$B$48</x:f>
        <x:v>28</x:v>
      </x:c>
      <x:c r="G1056" s="20" t="n">
        <x:f>'Controls'!$B$49</x:f>
        <x:v>0.9</x:v>
      </x:c>
      <x:c r="H1056" s="20" t="n">
        <x:f>'Controls'!$B$50</x:f>
        <x:v>2.1</x:v>
      </x:c>
      <x:c r="I1056" s="20" t="n">
        <x:f>'Controls'!$B$46</x:f>
        <x:v>0.15</x:v>
      </x:c>
      <x:c r="J1056" s="20" t="n">
        <x:v>-1</x:v>
      </x:c>
      <x:c r="K1056" s="20" t="n">
        <x:f>F1056*G1056*H1056*I1056*J1056</x:f>
        <x:v>-7.938</x:v>
      </x:c>
      <x:c r="L1056" s="7" t="str">
        <x:v>28 doors per floor, OP-02</x:v>
      </x:c>
      <x:c r="M1056" s="2"/>
      <x:c r="N1056" s="2"/>
      <x:c r="O1056" s="2"/>
      <x:c r="P1056" s="2"/>
      <x:c r="Q1056" s="2"/>
    </x:row>
    <x:row r="1057" ht="22" customHeight="1">
      <x:c r="A1057" s="2" t="str">
        <x:v>M1050</x:v>
      </x:c>
      <x:c r="B1057" s="2" t="str">
        <x:v>AR02</x:v>
      </x:c>
      <x:c r="C1057" s="2" t="str">
        <x:v>T4</x:v>
      </x:c>
      <x:c r="D1057" s="2" t="str">
        <x:v>L05</x:v>
      </x:c>
      <x:c r="E1057" s="2" t="str">
        <x:v>Internal plaster gross</x:v>
      </x:c>
      <x:c r="F1057" s="21" t="n">
        <x:v>2</x:v>
      </x:c>
      <x:c r="G1057" s="21" t="n">
        <x:f>'Controls'!$B$45</x:f>
        <x:v>220</x:v>
      </x:c>
      <x:c r="H1057" s="21" t="n">
        <x:f>'Controls'!$B$12-'Controls'!$B$13</x:f>
        <x:v>2.98</x:v>
      </x:c>
      <x:c r="I1057" s="21" t="n">
        <x:v>1</x:v>
      </x:c>
      <x:c r="J1057" s="21" t="n">
        <x:v>1</x:v>
      </x:c>
      <x:c r="K1057" s="21" t="n">
        <x:f>F1057*G1057*H1057*I1057*J1057</x:f>
        <x:v>1311.2</x:v>
      </x:c>
      <x:c r="L1057" s="2" t="str">
        <x:v>Both faces of partition walls</x:v>
      </x:c>
      <x:c r="M1057" s="2"/>
      <x:c r="N1057" s="2"/>
      <x:c r="O1057" s="2"/>
      <x:c r="P1057" s="2"/>
      <x:c r="Q1057" s="2"/>
    </x:row>
    <x:row r="1058" ht="22" customHeight="1">
      <x:c r="A1058" s="7" t="str">
        <x:v>M1051</x:v>
      </x:c>
      <x:c r="B1058" s="7" t="str">
        <x:v>AR02</x:v>
      </x:c>
      <x:c r="C1058" s="7" t="str">
        <x:v>T4</x:v>
      </x:c>
      <x:c r="D1058" s="7" t="str">
        <x:v>L05</x:v>
      </x:c>
      <x:c r="E1058" s="7" t="str">
        <x:v>Door area deduction both faces</x:v>
      </x:c>
      <x:c r="F1058" s="20" t="n">
        <x:f>2*'Controls'!$B$48</x:f>
        <x:v>56</x:v>
      </x:c>
      <x:c r="G1058" s="20" t="n">
        <x:f>'Controls'!$B$49</x:f>
        <x:v>0.9</x:v>
      </x:c>
      <x:c r="H1058" s="20" t="n">
        <x:f>'Controls'!$B$50</x:f>
        <x:v>2.1</x:v>
      </x:c>
      <x:c r="I1058" s="20" t="n">
        <x:v>1</x:v>
      </x:c>
      <x:c r="J1058" s="20" t="n">
        <x:v>-1</x:v>
      </x:c>
      <x:c r="K1058" s="20" t="n">
        <x:f>F1058*G1058*H1058*I1058*J1058</x:f>
        <x:v>-105.84</x:v>
      </x:c>
      <x:c r="L1058" s="7" t="str">
        <x:v>No plaster over openings</x:v>
      </x:c>
      <x:c r="M1058" s="2"/>
      <x:c r="N1058" s="2"/>
      <x:c r="O1058" s="2"/>
      <x:c r="P1058" s="2"/>
      <x:c r="Q1058" s="2"/>
    </x:row>
    <x:row r="1059" ht="22" customHeight="1">
      <x:c r="A1059" s="2" t="str">
        <x:v>M1052</x:v>
      </x:c>
      <x:c r="B1059" s="2" t="str">
        <x:v>AR03</x:v>
      </x:c>
      <x:c r="C1059" s="2" t="str">
        <x:v>T4</x:v>
      </x:c>
      <x:c r="D1059" s="2" t="str">
        <x:v>L05</x:v>
      </x:c>
      <x:c r="E1059" s="2" t="str">
        <x:v>Floor screed net</x:v>
      </x:c>
      <x:c r="F1059" s="21" t="n">
        <x:v>1</x:v>
      </x:c>
      <x:c r="G1059" s="21" t="n">
        <x:f>'Controls'!$B$10*'Controls'!$B$11-'Controls'!$B$20*'Controls'!$B$21</x:f>
        <x:v>696</x:v>
      </x:c>
      <x:c r="H1059" s="21" t="n">
        <x:v>1</x:v>
      </x:c>
      <x:c r="I1059" s="21" t="n">
        <x:v>1</x:v>
      </x:c>
      <x:c r="J1059" s="21" t="n">
        <x:v>1</x:v>
      </x:c>
      <x:c r="K1059" s="21" t="n">
        <x:f>F1059*G1059*H1059*I1059*J1059</x:f>
        <x:v>696</x:v>
      </x:c>
      <x:c r="L1059" s="2" t="str">
        <x:v>Net structural floor area</x:v>
      </x:c>
      <x:c r="M1059" s="2"/>
      <x:c r="N1059" s="2"/>
      <x:c r="O1059" s="2"/>
      <x:c r="P1059" s="2"/>
      <x:c r="Q1059" s="2"/>
    </x:row>
    <x:row r="1060" ht="22" customHeight="1">
      <x:c r="A1060" s="7" t="str">
        <x:v>M1053</x:v>
      </x:c>
      <x:c r="B1060" s="7" t="str">
        <x:v>AR04</x:v>
      </x:c>
      <x:c r="C1060" s="7" t="str">
        <x:v>T4</x:v>
      </x:c>
      <x:c r="D1060" s="7" t="str">
        <x:v>L05</x:v>
      </x:c>
      <x:c r="E1060" s="7" t="str">
        <x:v>Floor finish net</x:v>
      </x:c>
      <x:c r="F1060" s="20" t="n">
        <x:v>1</x:v>
      </x:c>
      <x:c r="G1060" s="20" t="n">
        <x:f>'Controls'!$B$10*'Controls'!$B$11-'Controls'!$B$20*'Controls'!$B$21</x:f>
        <x:v>696</x:v>
      </x:c>
      <x:c r="H1060" s="20" t="n">
        <x:v>1</x:v>
      </x:c>
      <x:c r="I1060" s="20" t="n">
        <x:v>1</x:v>
      </x:c>
      <x:c r="J1060" s="20" t="n">
        <x:v>1</x:v>
      </x:c>
      <x:c r="K1060" s="20" t="n">
        <x:f>F1060*G1060*H1060*I1060*J1060</x:f>
        <x:v>696</x:v>
      </x:c>
      <x:c r="L1060" s="7" t="str">
        <x:v>Waste excluded from BOQ</x:v>
      </x:c>
      <x:c r="M1060" s="2"/>
      <x:c r="N1060" s="2"/>
      <x:c r="O1060" s="2"/>
      <x:c r="P1060" s="2"/>
      <x:c r="Q1060" s="2"/>
    </x:row>
    <x:row r="1061" ht="22" customHeight="1">
      <x:c r="A1061" s="2" t="str">
        <x:v>M1054</x:v>
      </x:c>
      <x:c r="B1061" s="2" t="str">
        <x:v>AR05</x:v>
      </x:c>
      <x:c r="C1061" s="2" t="str">
        <x:v>T4</x:v>
      </x:c>
      <x:c r="D1061" s="2" t="str">
        <x:v>L05</x:v>
      </x:c>
      <x:c r="E1061" s="2" t="str">
        <x:v>Internal wall paint net</x:v>
      </x:c>
      <x:c r="F1061" s="21" t="n">
        <x:v>2</x:v>
      </x:c>
      <x:c r="G1061" s="21" t="n">
        <x:f>'Controls'!$B$45*('Controls'!$B$12-'Controls'!$B$13)-'Controls'!$B$48*'Controls'!$B$49*'Controls'!$B$50</x:f>
        <x:v>602.6800000000001</x:v>
      </x:c>
      <x:c r="H1061" s="21" t="n">
        <x:v>1</x:v>
      </x:c>
      <x:c r="I1061" s="21" t="n">
        <x:v>1</x:v>
      </x:c>
      <x:c r="J1061" s="21" t="n">
        <x:v>1</x:v>
      </x:c>
      <x:c r="K1061" s="21" t="n">
        <x:f>F1061*G1061*H1061*I1061*J1061</x:f>
        <x:v>1205.3600000000001</x:v>
      </x:c>
      <x:c r="L1061" s="2" t="str">
        <x:v>Finished area; two coats priced in rate</x:v>
      </x:c>
      <x:c r="M1061" s="2"/>
      <x:c r="N1061" s="2"/>
      <x:c r="O1061" s="2"/>
      <x:c r="P1061" s="2"/>
      <x:c r="Q1061" s="2"/>
    </x:row>
    <x:row r="1062" ht="22" customHeight="1">
      <x:c r="A1062" s="7" t="str">
        <x:v>M1055</x:v>
      </x:c>
      <x:c r="B1062" s="7" t="str">
        <x:v>AR06</x:v>
      </x:c>
      <x:c r="C1062" s="7" t="str">
        <x:v>T4</x:v>
      </x:c>
      <x:c r="D1062" s="7" t="str">
        <x:v>L05</x:v>
      </x:c>
      <x:c r="E1062" s="7" t="str">
        <x:v>Door sets</x:v>
      </x:c>
      <x:c r="F1062" s="20" t="n">
        <x:f>'Controls'!$B$48</x:f>
        <x:v>28</x:v>
      </x:c>
      <x:c r="G1062" s="20" t="n">
        <x:v>1</x:v>
      </x:c>
      <x:c r="H1062" s="20" t="n">
        <x:v>1</x:v>
      </x:c>
      <x:c r="I1062" s="20" t="n">
        <x:v>1</x:v>
      </x:c>
      <x:c r="J1062" s="20" t="n">
        <x:v>1</x:v>
      </x:c>
      <x:c r="K1062" s="20" t="n">
        <x:f>F1062*G1062*H1062*I1062*J1062</x:f>
        <x:v>28</x:v>
      </x:c>
      <x:c r="L1062" s="7" t="str">
        <x:v>Door count, not double face</x:v>
      </x:c>
      <x:c r="M1062" s="2"/>
      <x:c r="N1062" s="2"/>
      <x:c r="O1062" s="2"/>
      <x:c r="P1062" s="2"/>
      <x:c r="Q1062" s="2"/>
    </x:row>
    <x:row r="1063" ht="22" customHeight="1">
      <x:c r="A1063" s="2" t="str">
        <x:v>M1056</x:v>
      </x:c>
      <x:c r="B1063" s="2" t="str">
        <x:v>RC03</x:v>
      </x:c>
      <x:c r="C1063" s="2" t="str">
        <x:v>T4</x:v>
      </x:c>
      <x:c r="D1063" s="2" t="str">
        <x:v>L06</x:v>
      </x:c>
      <x:c r="E1063" s="2" t="str">
        <x:v>Floor slab gross</x:v>
      </x:c>
      <x:c r="F1063" s="21" t="n">
        <x:v>1</x:v>
      </x:c>
      <x:c r="G1063" s="21" t="n">
        <x:f>'Controls'!$B$10</x:f>
        <x:v>30</x:v>
      </x:c>
      <x:c r="H1063" s="21" t="n">
        <x:f>'Controls'!$B$11</x:f>
        <x:v>24</x:v>
      </x:c>
      <x:c r="I1063" s="21" t="n">
        <x:f>'Controls'!$B$13</x:f>
        <x:v>0.22</x:v>
      </x:c>
      <x:c r="J1063" s="21" t="n">
        <x:v>1</x:v>
      </x:c>
      <x:c r="K1063" s="21" t="n">
        <x:f>F1063*G1063*H1063*I1063*J1063</x:f>
        <x:v>158.4</x:v>
      </x:c>
      <x:c r="L1063" s="2" t="str">
        <x:v>Slab includes beam top flange; downstand separate</x:v>
      </x:c>
      <x:c r="M1063" s="2"/>
      <x:c r="N1063" s="2"/>
      <x:c r="O1063" s="2"/>
      <x:c r="P1063" s="2"/>
      <x:c r="Q1063" s="2"/>
    </x:row>
    <x:row r="1064" ht="22" customHeight="1">
      <x:c r="A1064" s="7" t="str">
        <x:v>M1057</x:v>
      </x:c>
      <x:c r="B1064" s="7" t="str">
        <x:v>RC03</x:v>
      </x:c>
      <x:c r="C1064" s="7" t="str">
        <x:v>T4</x:v>
      </x:c>
      <x:c r="D1064" s="7" t="str">
        <x:v>L06</x:v>
      </x:c>
      <x:c r="E1064" s="7" t="str">
        <x:v>Stair opening deduction</x:v>
      </x:c>
      <x:c r="F1064" s="20" t="n">
        <x:v>1</x:v>
      </x:c>
      <x:c r="G1064" s="20" t="n">
        <x:f>'Controls'!$B$20</x:f>
        <x:v>4</x:v>
      </x:c>
      <x:c r="H1064" s="20" t="n">
        <x:f>'Controls'!$B$21</x:f>
        <x:v>6</x:v>
      </x:c>
      <x:c r="I1064" s="20" t="n">
        <x:f>'Controls'!$B$13</x:f>
        <x:v>0.22</x:v>
      </x:c>
      <x:c r="J1064" s="20" t="n">
        <x:v>-1</x:v>
      </x:c>
      <x:c r="K1064" s="20" t="n">
        <x:f>F1064*G1064*H1064*I1064*J1064</x:f>
        <x:v>-5.28</x:v>
      </x:c>
      <x:c r="L1064" s="7" t="str">
        <x:v>Opening OP-01</x:v>
      </x:c>
      <x:c r="M1064" s="2"/>
      <x:c r="N1064" s="2"/>
      <x:c r="O1064" s="2"/>
      <x:c r="P1064" s="2"/>
      <x:c r="Q1064" s="2"/>
    </x:row>
    <x:row r="1065" ht="22" customHeight="1">
      <x:c r="A1065" s="2" t="str">
        <x:v>M1058</x:v>
      </x:c>
      <x:c r="B1065" s="2" t="str">
        <x:v>RC04</x:v>
      </x:c>
      <x:c r="C1065" s="2" t="str">
        <x:v>T4</x:v>
      </x:c>
      <x:c r="D1065" s="2" t="str">
        <x:v>L06</x:v>
      </x:c>
      <x:c r="E1065" s="2" t="str">
        <x:v>Beam downstands X</x:v>
      </x:c>
      <x:c r="F1065" s="21" t="n">
        <x:v>1</x:v>
      </x:c>
      <x:c r="G1065" s="21" t="n">
        <x:f>5*5*('Controls'!$B$10/5-'Controls'!$B$14)</x:f>
        <x:v>137.5</x:v>
      </x:c>
      <x:c r="H1065" s="21" t="n">
        <x:f>'Controls'!$B$16</x:f>
        <x:v>0.3</x:v>
      </x:c>
      <x:c r="I1065" s="21" t="n">
        <x:f>'Controls'!$B$17-'Controls'!$B$13</x:f>
        <x:v>0.38</x:v>
      </x:c>
      <x:c r="J1065" s="21" t="n">
        <x:v>1</x:v>
      </x:c>
      <x:c r="K1065" s="21" t="n">
        <x:f>F1065*G1065*H1065*I1065*J1065</x:f>
        <x:v>15.675</x:v>
      </x:c>
      <x:c r="L1065" s="2" t="str">
        <x:v>Clear spans between column faces; no joint overlap</x:v>
      </x:c>
      <x:c r="M1065" s="2"/>
      <x:c r="N1065" s="2"/>
      <x:c r="O1065" s="2"/>
      <x:c r="P1065" s="2"/>
      <x:c r="Q1065" s="2"/>
    </x:row>
    <x:row r="1066" ht="22" customHeight="1">
      <x:c r="A1066" s="7" t="str">
        <x:v>M1059</x:v>
      </x:c>
      <x:c r="B1066" s="7" t="str">
        <x:v>FW02</x:v>
      </x:c>
      <x:c r="C1066" s="7" t="str">
        <x:v>T4</x:v>
      </x:c>
      <x:c r="D1066" s="7" t="str">
        <x:v>L06</x:v>
      </x:c>
      <x:c r="E1066" s="7" t="str">
        <x:v>Beam forms X</x:v>
      </x:c>
      <x:c r="F1066" s="20" t="n">
        <x:v>1</x:v>
      </x:c>
      <x:c r="G1066" s="20" t="n">
        <x:f>5*5*('Controls'!$B$10/5-'Controls'!$B$14)</x:f>
        <x:v>137.5</x:v>
      </x:c>
      <x:c r="H1066" s="20" t="n">
        <x:f>'Controls'!$B$16+2*('Controls'!$B$17-'Controls'!$B$13)</x:f>
        <x:v>1.06</x:v>
      </x:c>
      <x:c r="I1066" s="20" t="n">
        <x:v>1</x:v>
      </x:c>
      <x:c r="J1066" s="20" t="n">
        <x:v>1</x:v>
      </x:c>
      <x:c r="K1066" s="20" t="n">
        <x:f>F1066*G1066*H1066*I1066*J1066</x:f>
        <x:v>145.75</x:v>
      </x:c>
      <x:c r="L1066" s="7" t="str">
        <x:v>Soffit plus two downstand sides</x:v>
      </x:c>
      <x:c r="M1066" s="2"/>
      <x:c r="N1066" s="2"/>
      <x:c r="O1066" s="2"/>
      <x:c r="P1066" s="2"/>
      <x:c r="Q1066" s="2"/>
    </x:row>
    <x:row r="1067" ht="22" customHeight="1">
      <x:c r="A1067" s="2" t="str">
        <x:v>M1060</x:v>
      </x:c>
      <x:c r="B1067" s="2" t="str">
        <x:v>RC04</x:v>
      </x:c>
      <x:c r="C1067" s="2" t="str">
        <x:v>T4</x:v>
      </x:c>
      <x:c r="D1067" s="2" t="str">
        <x:v>L06</x:v>
      </x:c>
      <x:c r="E1067" s="2" t="str">
        <x:v>Beam downstands Y</x:v>
      </x:c>
      <x:c r="F1067" s="21" t="n">
        <x:v>1</x:v>
      </x:c>
      <x:c r="G1067" s="21" t="n">
        <x:f>6*4*('Controls'!$B$11/4-'Controls'!$B$15)</x:f>
        <x:v>132</x:v>
      </x:c>
      <x:c r="H1067" s="21" t="n">
        <x:f>'Controls'!$B$16</x:f>
        <x:v>0.3</x:v>
      </x:c>
      <x:c r="I1067" s="21" t="n">
        <x:f>'Controls'!$B$17-'Controls'!$B$13</x:f>
        <x:v>0.38</x:v>
      </x:c>
      <x:c r="J1067" s="21" t="n">
        <x:v>1</x:v>
      </x:c>
      <x:c r="K1067" s="21" t="n">
        <x:f>F1067*G1067*H1067*I1067*J1067</x:f>
        <x:v>15.048</x:v>
      </x:c>
      <x:c r="L1067" s="2" t="str">
        <x:v>Clear spans between column faces; no joint overlap</x:v>
      </x:c>
      <x:c r="M1067" s="2"/>
      <x:c r="N1067" s="2"/>
      <x:c r="O1067" s="2"/>
      <x:c r="P1067" s="2"/>
      <x:c r="Q1067" s="2"/>
    </x:row>
    <x:row r="1068" ht="22" customHeight="1">
      <x:c r="A1068" s="7" t="str">
        <x:v>M1061</x:v>
      </x:c>
      <x:c r="B1068" s="7" t="str">
        <x:v>FW02</x:v>
      </x:c>
      <x:c r="C1068" s="7" t="str">
        <x:v>T4</x:v>
      </x:c>
      <x:c r="D1068" s="7" t="str">
        <x:v>L06</x:v>
      </x:c>
      <x:c r="E1068" s="7" t="str">
        <x:v>Beam forms Y</x:v>
      </x:c>
      <x:c r="F1068" s="20" t="n">
        <x:v>1</x:v>
      </x:c>
      <x:c r="G1068" s="20" t="n">
        <x:f>6*4*('Controls'!$B$11/4-'Controls'!$B$15)</x:f>
        <x:v>132</x:v>
      </x:c>
      <x:c r="H1068" s="20" t="n">
        <x:f>'Controls'!$B$16+2*('Controls'!$B$17-'Controls'!$B$13)</x:f>
        <x:v>1.06</x:v>
      </x:c>
      <x:c r="I1068" s="20" t="n">
        <x:v>1</x:v>
      </x:c>
      <x:c r="J1068" s="20" t="n">
        <x:v>1</x:v>
      </x:c>
      <x:c r="K1068" s="20" t="n">
        <x:f>F1068*G1068*H1068*I1068*J1068</x:f>
        <x:v>139.92000000000002</x:v>
      </x:c>
      <x:c r="L1068" s="7" t="str">
        <x:v>Soffit plus two downstand sides</x:v>
      </x:c>
      <x:c r="M1068" s="2"/>
      <x:c r="N1068" s="2"/>
      <x:c r="O1068" s="2"/>
      <x:c r="P1068" s="2"/>
      <x:c r="Q1068" s="2"/>
    </x:row>
    <x:row r="1069" ht="22" customHeight="1">
      <x:c r="A1069" s="2" t="str">
        <x:v>M1062</x:v>
      </x:c>
      <x:c r="B1069" s="2" t="str">
        <x:v>RC05</x:v>
      </x:c>
      <x:c r="C1069" s="2" t="str">
        <x:v>T4</x:v>
      </x:c>
      <x:c r="D1069" s="2" t="str">
        <x:v>L06</x:v>
      </x:c>
      <x:c r="E1069" s="2" t="str">
        <x:v>Thirty columns, clear storey</x:v>
      </x:c>
      <x:c r="F1069" s="21" t="n">
        <x:v>30</x:v>
      </x:c>
      <x:c r="G1069" s="21" t="n">
        <x:f>'Controls'!$B$14</x:f>
        <x:v>0.5</x:v>
      </x:c>
      <x:c r="H1069" s="21" t="n">
        <x:f>'Controls'!$B$15</x:f>
        <x:v>0.5</x:v>
      </x:c>
      <x:c r="I1069" s="21" t="n">
        <x:f>'Controls'!$B$12-'Controls'!$B$13</x:f>
        <x:v>2.98</x:v>
      </x:c>
      <x:c r="J1069" s="21" t="n">
        <x:v>1</x:v>
      </x:c>
      <x:c r="K1069" s="21" t="n">
        <x:f>F1069*G1069*H1069*I1069*J1069</x:f>
        <x:v>22.35</x:v>
      </x:c>
      <x:c r="L1069" s="2" t="str">
        <x:v>Slab volume excluded from columns</x:v>
      </x:c>
      <x:c r="M1069" s="2"/>
      <x:c r="N1069" s="2"/>
      <x:c r="O1069" s="2"/>
      <x:c r="P1069" s="2"/>
      <x:c r="Q1069" s="2"/>
    </x:row>
    <x:row r="1070" ht="22" customHeight="1">
      <x:c r="A1070" s="7" t="str">
        <x:v>M1063</x:v>
      </x:c>
      <x:c r="B1070" s="7" t="str">
        <x:v>RC06</x:v>
      </x:c>
      <x:c r="C1070" s="7" t="str">
        <x:v>T4</x:v>
      </x:c>
      <x:c r="D1070" s="7" t="str">
        <x:v>L06</x:v>
      </x:c>
      <x:c r="E1070" s="7" t="str">
        <x:v>Core walls clear storey</x:v>
      </x:c>
      <x:c r="F1070" s="20" t="n">
        <x:v>1</x:v>
      </x:c>
      <x:c r="G1070" s="20" t="n">
        <x:f>'Controls'!$B$19</x:f>
        <x:v>24</x:v>
      </x:c>
      <x:c r="H1070" s="20" t="n">
        <x:f>'Controls'!$B$18</x:f>
        <x:v>0.25</x:v>
      </x:c>
      <x:c r="I1070" s="20" t="n">
        <x:f>'Controls'!$B$12-'Controls'!$B$13</x:f>
        <x:v>2.98</x:v>
      </x:c>
      <x:c r="J1070" s="20" t="n">
        <x:v>1</x:v>
      </x:c>
      <x:c r="K1070" s="20" t="n">
        <x:f>F1070*G1070*H1070*I1070*J1070</x:f>
        <x:v>17.88</x:v>
      </x:c>
      <x:c r="L1070" s="7" t="str">
        <x:v>Net clear wall length excludes corners</x:v>
      </x:c>
      <x:c r="M1070" s="2"/>
      <x:c r="N1070" s="2"/>
      <x:c r="O1070" s="2"/>
      <x:c r="P1070" s="2"/>
      <x:c r="Q1070" s="2"/>
    </x:row>
    <x:row r="1071" ht="22" customHeight="1">
      <x:c r="A1071" s="2" t="str">
        <x:v>M1064</x:v>
      </x:c>
      <x:c r="B1071" s="2" t="str">
        <x:v>RC07</x:v>
      </x:c>
      <x:c r="C1071" s="2" t="str">
        <x:v>T4</x:v>
      </x:c>
      <x:c r="D1071" s="2" t="str">
        <x:v>L06</x:v>
      </x:c>
      <x:c r="E1071" s="2" t="str">
        <x:v>Stair flights waist</x:v>
      </x:c>
      <x:c r="F1071" s="21" t="n">
        <x:v>2</x:v>
      </x:c>
      <x:c r="G1071" s="21" t="n">
        <x:v>4.1</x:v>
      </x:c>
      <x:c r="H1071" s="21" t="n">
        <x:v>1.2</x:v>
      </x:c>
      <x:c r="I1071" s="21" t="n">
        <x:v>0.18</x:v>
      </x:c>
      <x:c r="J1071" s="21" t="n">
        <x:v>1</x:v>
      </x:c>
      <x:c r="K1071" s="21" t="n">
        <x:f>F1071*G1071*H1071*I1071*J1071</x:f>
        <x:v>1.7711999999999997</x:v>
      </x:c>
      <x:c r="L1071" s="2" t="str">
        <x:v>Two flights; geometry separate from floor slab</x:v>
      </x:c>
      <x:c r="M1071" s="2"/>
      <x:c r="N1071" s="2"/>
      <x:c r="O1071" s="2"/>
      <x:c r="P1071" s="2"/>
      <x:c r="Q1071" s="2"/>
    </x:row>
    <x:row r="1072" ht="22" customHeight="1">
      <x:c r="A1072" s="7" t="str">
        <x:v>M1065</x:v>
      </x:c>
      <x:c r="B1072" s="7" t="str">
        <x:v>RC07</x:v>
      </x:c>
      <x:c r="C1072" s="7" t="str">
        <x:v>T4</x:v>
      </x:c>
      <x:c r="D1072" s="7" t="str">
        <x:v>L06</x:v>
      </x:c>
      <x:c r="E1072" s="7" t="str">
        <x:v>Stair landings</x:v>
      </x:c>
      <x:c r="F1072" s="20" t="n">
        <x:v>2</x:v>
      </x:c>
      <x:c r="G1072" s="20" t="n">
        <x:v>2</x:v>
      </x:c>
      <x:c r="H1072" s="20" t="n">
        <x:v>1.2</x:v>
      </x:c>
      <x:c r="I1072" s="20" t="n">
        <x:v>0.18</x:v>
      </x:c>
      <x:c r="J1072" s="20" t="n">
        <x:v>1</x:v>
      </x:c>
      <x:c r="K1072" s="20" t="n">
        <x:f>F1072*G1072*H1072*I1072*J1072</x:f>
        <x:v>0.864</x:v>
      </x:c>
      <x:c r="L1072" s="7" t="str">
        <x:v>Within stair opening</x:v>
      </x:c>
      <x:c r="M1072" s="2"/>
      <x:c r="N1072" s="2"/>
      <x:c r="O1072" s="2"/>
      <x:c r="P1072" s="2"/>
      <x:c r="Q1072" s="2"/>
    </x:row>
    <x:row r="1073" ht="22" customHeight="1">
      <x:c r="A1073" s="2" t="str">
        <x:v>M1066</x:v>
      </x:c>
      <x:c r="B1073" s="2" t="str">
        <x:v>FW01</x:v>
      </x:c>
      <x:c r="C1073" s="2" t="str">
        <x:v>T4</x:v>
      </x:c>
      <x:c r="D1073" s="2" t="str">
        <x:v>L06</x:v>
      </x:c>
      <x:c r="E1073" s="2" t="str">
        <x:v>Slab soffit gross</x:v>
      </x:c>
      <x:c r="F1073" s="21" t="n">
        <x:v>1</x:v>
      </x:c>
      <x:c r="G1073" s="21" t="n">
        <x:f>'Controls'!$B$10</x:f>
        <x:v>30</x:v>
      </x:c>
      <x:c r="H1073" s="21" t="n">
        <x:f>'Controls'!$B$11</x:f>
        <x:v>24</x:v>
      </x:c>
      <x:c r="I1073" s="21" t="n">
        <x:v>1</x:v>
      </x:c>
      <x:c r="J1073" s="21" t="n">
        <x:v>1</x:v>
      </x:c>
      <x:c r="K1073" s="21" t="n">
        <x:f>F1073*G1073*H1073*I1073*J1073</x:f>
        <x:v>720</x:v>
      </x:c>
      <x:c r="L1073" s="2" t="str">
        <x:v>Beam soffit deducted below</x:v>
      </x:c>
      <x:c r="M1073" s="2"/>
      <x:c r="N1073" s="2"/>
      <x:c r="O1073" s="2"/>
      <x:c r="P1073" s="2"/>
      <x:c r="Q1073" s="2"/>
    </x:row>
    <x:row r="1074" ht="22" customHeight="1">
      <x:c r="A1074" s="7" t="str">
        <x:v>M1067</x:v>
      </x:c>
      <x:c r="B1074" s="7" t="str">
        <x:v>FW01</x:v>
      </x:c>
      <x:c r="C1074" s="7" t="str">
        <x:v>T4</x:v>
      </x:c>
      <x:c r="D1074" s="7" t="str">
        <x:v>L06</x:v>
      </x:c>
      <x:c r="E1074" s="7" t="str">
        <x:v>Stair opening deduction</x:v>
      </x:c>
      <x:c r="F1074" s="20" t="n">
        <x:v>1</x:v>
      </x:c>
      <x:c r="G1074" s="20" t="n">
        <x:f>'Controls'!$B$20</x:f>
        <x:v>4</x:v>
      </x:c>
      <x:c r="H1074" s="20" t="n">
        <x:f>'Controls'!$B$21</x:f>
        <x:v>6</x:v>
      </x:c>
      <x:c r="I1074" s="20" t="n">
        <x:v>1</x:v>
      </x:c>
      <x:c r="J1074" s="20" t="n">
        <x:v>-1</x:v>
      </x:c>
      <x:c r="K1074" s="20" t="n">
        <x:f>F1074*G1074*H1074*I1074*J1074</x:f>
        <x:v>-24</x:v>
      </x:c>
      <x:c r="L1074" s="7" t="str">
        <x:v>OP-01</x:v>
      </x:c>
      <x:c r="M1074" s="2"/>
      <x:c r="N1074" s="2"/>
      <x:c r="O1074" s="2"/>
      <x:c r="P1074" s="2"/>
      <x:c r="Q1074" s="2"/>
    </x:row>
    <x:row r="1075" ht="22" customHeight="1">
      <x:c r="A1075" s="2" t="str">
        <x:v>M1068</x:v>
      </x:c>
      <x:c r="B1075" s="2" t="str">
        <x:v>FW01</x:v>
      </x:c>
      <x:c r="C1075" s="2" t="str">
        <x:v>T4</x:v>
      </x:c>
      <x:c r="D1075" s="2" t="str">
        <x:v>L06</x:v>
      </x:c>
      <x:c r="E1075" s="2" t="str">
        <x:v>Beam soffit deduction</x:v>
      </x:c>
      <x:c r="F1075" s="21" t="n">
        <x:v>1</x:v>
      </x:c>
      <x:c r="G1075" s="21" t="n">
        <x:f>5*5*('Controls'!$B$10/5-'Controls'!$B$14)+6*4*('Controls'!$B$11/4-'Controls'!$B$15)</x:f>
        <x:v>269.5</x:v>
      </x:c>
      <x:c r="H1075" s="21" t="n">
        <x:f>'Controls'!$B$16</x:f>
        <x:v>0.3</x:v>
      </x:c>
      <x:c r="I1075" s="21" t="n">
        <x:v>1</x:v>
      </x:c>
      <x:c r="J1075" s="21" t="n">
        <x:v>-1</x:v>
      </x:c>
      <x:c r="K1075" s="21" t="n">
        <x:f>F1075*G1075*H1075*I1075*J1075</x:f>
        <x:v>-80.85</x:v>
      </x:c>
      <x:c r="L1075" s="2" t="str">
        <x:v>Beam forms measured in FW02</x:v>
      </x:c>
      <x:c r="M1075" s="2"/>
      <x:c r="N1075" s="2"/>
      <x:c r="O1075" s="2"/>
      <x:c r="P1075" s="2"/>
      <x:c r="Q1075" s="2"/>
    </x:row>
    <x:row r="1076" ht="22" customHeight="1">
      <x:c r="A1076" s="7" t="str">
        <x:v>M1069</x:v>
      </x:c>
      <x:c r="B1076" s="7" t="str">
        <x:v>FW03</x:v>
      </x:c>
      <x:c r="C1076" s="7" t="str">
        <x:v>T4</x:v>
      </x:c>
      <x:c r="D1076" s="7" t="str">
        <x:v>L06</x:v>
      </x:c>
      <x:c r="E1076" s="7" t="str">
        <x:v>Column four faces</x:v>
      </x:c>
      <x:c r="F1076" s="20" t="n">
        <x:v>30</x:v>
      </x:c>
      <x:c r="G1076" s="20" t="n">
        <x:f>2*('Controls'!$B$14+'Controls'!$B$15)</x:f>
        <x:v>2</x:v>
      </x:c>
      <x:c r="H1076" s="20" t="n">
        <x:f>'Controls'!$B$12-'Controls'!$B$13</x:f>
        <x:v>2.98</x:v>
      </x:c>
      <x:c r="I1076" s="20" t="n">
        <x:v>1</x:v>
      </x:c>
      <x:c r="J1076" s="20" t="n">
        <x:v>1</x:v>
      </x:c>
      <x:c r="K1076" s="20" t="n">
        <x:f>F1076*G1076*H1076*I1076*J1076</x:f>
        <x:v>178.8</x:v>
      </x:c>
      <x:c r="L1076" s="7" t="str">
        <x:v>Clear floor-to-soffit</x:v>
      </x:c>
      <x:c r="M1076" s="2"/>
      <x:c r="N1076" s="2"/>
      <x:c r="O1076" s="2"/>
      <x:c r="P1076" s="2"/>
      <x:c r="Q1076" s="2"/>
    </x:row>
    <x:row r="1077" ht="22" customHeight="1">
      <x:c r="A1077" s="2" t="str">
        <x:v>M1070</x:v>
      </x:c>
      <x:c r="B1077" s="2" t="str">
        <x:v>FW04</x:v>
      </x:c>
      <x:c r="C1077" s="2" t="str">
        <x:v>T4</x:v>
      </x:c>
      <x:c r="D1077" s="2" t="str">
        <x:v>L06</x:v>
      </x:c>
      <x:c r="E1077" s="2" t="str">
        <x:v>Core wall two faces</x:v>
      </x:c>
      <x:c r="F1077" s="21" t="n">
        <x:v>2</x:v>
      </x:c>
      <x:c r="G1077" s="21" t="n">
        <x:f>'Controls'!$B$19</x:f>
        <x:v>24</x:v>
      </x:c>
      <x:c r="H1077" s="21" t="n">
        <x:f>'Controls'!$B$12-'Controls'!$B$13</x:f>
        <x:v>2.98</x:v>
      </x:c>
      <x:c r="I1077" s="21" t="n">
        <x:v>1</x:v>
      </x:c>
      <x:c r="J1077" s="21" t="n">
        <x:v>1</x:v>
      </x:c>
      <x:c r="K1077" s="21" t="n">
        <x:f>F1077*G1077*H1077*I1077*J1077</x:f>
        <x:v>143.04</x:v>
      </x:c>
      <x:c r="L1077" s="2" t="str">
        <x:v>Net perimeter, no repeated corners</x:v>
      </x:c>
      <x:c r="M1077" s="2"/>
      <x:c r="N1077" s="2"/>
      <x:c r="O1077" s="2"/>
      <x:c r="P1077" s="2"/>
      <x:c r="Q1077" s="2"/>
    </x:row>
    <x:row r="1078" ht="22" customHeight="1">
      <x:c r="A1078" s="7" t="str">
        <x:v>M1071</x:v>
      </x:c>
      <x:c r="B1078" s="7" t="str">
        <x:v>AR01</x:v>
      </x:c>
      <x:c r="C1078" s="7" t="str">
        <x:v>T4</x:v>
      </x:c>
      <x:c r="D1078" s="7" t="str">
        <x:v>L06</x:v>
      </x:c>
      <x:c r="E1078" s="7" t="str">
        <x:v>Partition walls gross</x:v>
      </x:c>
      <x:c r="F1078" s="20" t="n">
        <x:v>1</x:v>
      </x:c>
      <x:c r="G1078" s="20" t="n">
        <x:f>'Controls'!$B$45</x:f>
        <x:v>220</x:v>
      </x:c>
      <x:c r="H1078" s="20" t="n">
        <x:f>'Controls'!$B$12-'Controls'!$B$13</x:f>
        <x:v>2.98</x:v>
      </x:c>
      <x:c r="I1078" s="20" t="n">
        <x:f>'Controls'!$B$46</x:f>
        <x:v>0.15</x:v>
      </x:c>
      <x:c r="J1078" s="20" t="n">
        <x:v>1</x:v>
      </x:c>
      <x:c r="K1078" s="20" t="n">
        <x:f>F1078*G1078*H1078*I1078*J1078</x:f>
        <x:v>98.34</x:v>
      </x:c>
      <x:c r="L1078" s="7" t="str">
        <x:v>Net openings deducted below</x:v>
      </x:c>
      <x:c r="M1078" s="2"/>
      <x:c r="N1078" s="2"/>
      <x:c r="O1078" s="2"/>
      <x:c r="P1078" s="2"/>
      <x:c r="Q1078" s="2"/>
    </x:row>
    <x:row r="1079" ht="22" customHeight="1">
      <x:c r="A1079" s="2" t="str">
        <x:v>M1072</x:v>
      </x:c>
      <x:c r="B1079" s="2" t="str">
        <x:v>AR01</x:v>
      </x:c>
      <x:c r="C1079" s="2" t="str">
        <x:v>T4</x:v>
      </x:c>
      <x:c r="D1079" s="2" t="str">
        <x:v>L06</x:v>
      </x:c>
      <x:c r="E1079" s="2" t="str">
        <x:v>Internal doors deduction</x:v>
      </x:c>
      <x:c r="F1079" s="21" t="n">
        <x:f>'Controls'!$B$48</x:f>
        <x:v>28</x:v>
      </x:c>
      <x:c r="G1079" s="21" t="n">
        <x:f>'Controls'!$B$49</x:f>
        <x:v>0.9</x:v>
      </x:c>
      <x:c r="H1079" s="21" t="n">
        <x:f>'Controls'!$B$50</x:f>
        <x:v>2.1</x:v>
      </x:c>
      <x:c r="I1079" s="21" t="n">
        <x:f>'Controls'!$B$46</x:f>
        <x:v>0.15</x:v>
      </x:c>
      <x:c r="J1079" s="21" t="n">
        <x:v>-1</x:v>
      </x:c>
      <x:c r="K1079" s="21" t="n">
        <x:f>F1079*G1079*H1079*I1079*J1079</x:f>
        <x:v>-7.938</x:v>
      </x:c>
      <x:c r="L1079" s="2" t="str">
        <x:v>28 doors per floor, OP-02</x:v>
      </x:c>
      <x:c r="M1079" s="2"/>
      <x:c r="N1079" s="2"/>
      <x:c r="O1079" s="2"/>
      <x:c r="P1079" s="2"/>
      <x:c r="Q1079" s="2"/>
    </x:row>
    <x:row r="1080" ht="22" customHeight="1">
      <x:c r="A1080" s="7" t="str">
        <x:v>M1073</x:v>
      </x:c>
      <x:c r="B1080" s="7" t="str">
        <x:v>AR02</x:v>
      </x:c>
      <x:c r="C1080" s="7" t="str">
        <x:v>T4</x:v>
      </x:c>
      <x:c r="D1080" s="7" t="str">
        <x:v>L06</x:v>
      </x:c>
      <x:c r="E1080" s="7" t="str">
        <x:v>Internal plaster gross</x:v>
      </x:c>
      <x:c r="F1080" s="20" t="n">
        <x:v>2</x:v>
      </x:c>
      <x:c r="G1080" s="20" t="n">
        <x:f>'Controls'!$B$45</x:f>
        <x:v>220</x:v>
      </x:c>
      <x:c r="H1080" s="20" t="n">
        <x:f>'Controls'!$B$12-'Controls'!$B$13</x:f>
        <x:v>2.98</x:v>
      </x:c>
      <x:c r="I1080" s="20" t="n">
        <x:v>1</x:v>
      </x:c>
      <x:c r="J1080" s="20" t="n">
        <x:v>1</x:v>
      </x:c>
      <x:c r="K1080" s="20" t="n">
        <x:f>F1080*G1080*H1080*I1080*J1080</x:f>
        <x:v>1311.2</x:v>
      </x:c>
      <x:c r="L1080" s="7" t="str">
        <x:v>Both faces of partition walls</x:v>
      </x:c>
      <x:c r="M1080" s="2"/>
      <x:c r="N1080" s="2"/>
      <x:c r="O1080" s="2"/>
      <x:c r="P1080" s="2"/>
      <x:c r="Q1080" s="2"/>
    </x:row>
    <x:row r="1081" ht="22" customHeight="1">
      <x:c r="A1081" s="2" t="str">
        <x:v>M1074</x:v>
      </x:c>
      <x:c r="B1081" s="2" t="str">
        <x:v>AR02</x:v>
      </x:c>
      <x:c r="C1081" s="2" t="str">
        <x:v>T4</x:v>
      </x:c>
      <x:c r="D1081" s="2" t="str">
        <x:v>L06</x:v>
      </x:c>
      <x:c r="E1081" s="2" t="str">
        <x:v>Door area deduction both faces</x:v>
      </x:c>
      <x:c r="F1081" s="21" t="n">
        <x:f>2*'Controls'!$B$48</x:f>
        <x:v>56</x:v>
      </x:c>
      <x:c r="G1081" s="21" t="n">
        <x:f>'Controls'!$B$49</x:f>
        <x:v>0.9</x:v>
      </x:c>
      <x:c r="H1081" s="21" t="n">
        <x:f>'Controls'!$B$50</x:f>
        <x:v>2.1</x:v>
      </x:c>
      <x:c r="I1081" s="21" t="n">
        <x:v>1</x:v>
      </x:c>
      <x:c r="J1081" s="21" t="n">
        <x:v>-1</x:v>
      </x:c>
      <x:c r="K1081" s="21" t="n">
        <x:f>F1081*G1081*H1081*I1081*J1081</x:f>
        <x:v>-105.84</x:v>
      </x:c>
      <x:c r="L1081" s="2" t="str">
        <x:v>No plaster over openings</x:v>
      </x:c>
      <x:c r="M1081" s="2"/>
      <x:c r="N1081" s="2"/>
      <x:c r="O1081" s="2"/>
      <x:c r="P1081" s="2"/>
      <x:c r="Q1081" s="2"/>
    </x:row>
    <x:row r="1082" ht="22" customHeight="1">
      <x:c r="A1082" s="7" t="str">
        <x:v>M1075</x:v>
      </x:c>
      <x:c r="B1082" s="7" t="str">
        <x:v>AR03</x:v>
      </x:c>
      <x:c r="C1082" s="7" t="str">
        <x:v>T4</x:v>
      </x:c>
      <x:c r="D1082" s="7" t="str">
        <x:v>L06</x:v>
      </x:c>
      <x:c r="E1082" s="7" t="str">
        <x:v>Floor screed net</x:v>
      </x:c>
      <x:c r="F1082" s="20" t="n">
        <x:v>1</x:v>
      </x:c>
      <x:c r="G1082" s="20" t="n">
        <x:f>'Controls'!$B$10*'Controls'!$B$11-'Controls'!$B$20*'Controls'!$B$21</x:f>
        <x:v>696</x:v>
      </x:c>
      <x:c r="H1082" s="20" t="n">
        <x:v>1</x:v>
      </x:c>
      <x:c r="I1082" s="20" t="n">
        <x:v>1</x:v>
      </x:c>
      <x:c r="J1082" s="20" t="n">
        <x:v>1</x:v>
      </x:c>
      <x:c r="K1082" s="20" t="n">
        <x:f>F1082*G1082*H1082*I1082*J1082</x:f>
        <x:v>696</x:v>
      </x:c>
      <x:c r="L1082" s="7" t="str">
        <x:v>Net structural floor area</x:v>
      </x:c>
      <x:c r="M1082" s="2"/>
      <x:c r="N1082" s="2"/>
      <x:c r="O1082" s="2"/>
      <x:c r="P1082" s="2"/>
      <x:c r="Q1082" s="2"/>
    </x:row>
    <x:row r="1083" ht="22" customHeight="1">
      <x:c r="A1083" s="2" t="str">
        <x:v>M1076</x:v>
      </x:c>
      <x:c r="B1083" s="2" t="str">
        <x:v>AR04</x:v>
      </x:c>
      <x:c r="C1083" s="2" t="str">
        <x:v>T4</x:v>
      </x:c>
      <x:c r="D1083" s="2" t="str">
        <x:v>L06</x:v>
      </x:c>
      <x:c r="E1083" s="2" t="str">
        <x:v>Floor finish net</x:v>
      </x:c>
      <x:c r="F1083" s="21" t="n">
        <x:v>1</x:v>
      </x:c>
      <x:c r="G1083" s="21" t="n">
        <x:f>'Controls'!$B$10*'Controls'!$B$11-'Controls'!$B$20*'Controls'!$B$21</x:f>
        <x:v>696</x:v>
      </x:c>
      <x:c r="H1083" s="21" t="n">
        <x:v>1</x:v>
      </x:c>
      <x:c r="I1083" s="21" t="n">
        <x:v>1</x:v>
      </x:c>
      <x:c r="J1083" s="21" t="n">
        <x:v>1</x:v>
      </x:c>
      <x:c r="K1083" s="21" t="n">
        <x:f>F1083*G1083*H1083*I1083*J1083</x:f>
        <x:v>696</x:v>
      </x:c>
      <x:c r="L1083" s="2" t="str">
        <x:v>Waste excluded from BOQ</x:v>
      </x:c>
      <x:c r="M1083" s="2"/>
      <x:c r="N1083" s="2"/>
      <x:c r="O1083" s="2"/>
      <x:c r="P1083" s="2"/>
      <x:c r="Q1083" s="2"/>
    </x:row>
    <x:row r="1084" ht="22" customHeight="1">
      <x:c r="A1084" s="7" t="str">
        <x:v>M1077</x:v>
      </x:c>
      <x:c r="B1084" s="7" t="str">
        <x:v>AR05</x:v>
      </x:c>
      <x:c r="C1084" s="7" t="str">
        <x:v>T4</x:v>
      </x:c>
      <x:c r="D1084" s="7" t="str">
        <x:v>L06</x:v>
      </x:c>
      <x:c r="E1084" s="7" t="str">
        <x:v>Internal wall paint net</x:v>
      </x:c>
      <x:c r="F1084" s="20" t="n">
        <x:v>2</x:v>
      </x:c>
      <x:c r="G1084" s="20" t="n">
        <x:f>'Controls'!$B$45*('Controls'!$B$12-'Controls'!$B$13)-'Controls'!$B$48*'Controls'!$B$49*'Controls'!$B$50</x:f>
        <x:v>602.6800000000001</x:v>
      </x:c>
      <x:c r="H1084" s="20" t="n">
        <x:v>1</x:v>
      </x:c>
      <x:c r="I1084" s="20" t="n">
        <x:v>1</x:v>
      </x:c>
      <x:c r="J1084" s="20" t="n">
        <x:v>1</x:v>
      </x:c>
      <x:c r="K1084" s="20" t="n">
        <x:f>F1084*G1084*H1084*I1084*J1084</x:f>
        <x:v>1205.3600000000001</x:v>
      </x:c>
      <x:c r="L1084" s="7" t="str">
        <x:v>Finished area; two coats priced in rate</x:v>
      </x:c>
      <x:c r="M1084" s="2"/>
      <x:c r="N1084" s="2"/>
      <x:c r="O1084" s="2"/>
      <x:c r="P1084" s="2"/>
      <x:c r="Q1084" s="2"/>
    </x:row>
    <x:row r="1085" ht="22" customHeight="1">
      <x:c r="A1085" s="2" t="str">
        <x:v>M1078</x:v>
      </x:c>
      <x:c r="B1085" s="2" t="str">
        <x:v>AR06</x:v>
      </x:c>
      <x:c r="C1085" s="2" t="str">
        <x:v>T4</x:v>
      </x:c>
      <x:c r="D1085" s="2" t="str">
        <x:v>L06</x:v>
      </x:c>
      <x:c r="E1085" s="2" t="str">
        <x:v>Door sets</x:v>
      </x:c>
      <x:c r="F1085" s="21" t="n">
        <x:f>'Controls'!$B$48</x:f>
        <x:v>28</x:v>
      </x:c>
      <x:c r="G1085" s="21" t="n">
        <x:v>1</x:v>
      </x:c>
      <x:c r="H1085" s="21" t="n">
        <x:v>1</x:v>
      </x:c>
      <x:c r="I1085" s="21" t="n">
        <x:v>1</x:v>
      </x:c>
      <x:c r="J1085" s="21" t="n">
        <x:v>1</x:v>
      </x:c>
      <x:c r="K1085" s="21" t="n">
        <x:f>F1085*G1085*H1085*I1085*J1085</x:f>
        <x:v>28</x:v>
      </x:c>
      <x:c r="L1085" s="2" t="str">
        <x:v>Door count, not double face</x:v>
      </x:c>
      <x:c r="M1085" s="2"/>
      <x:c r="N1085" s="2"/>
      <x:c r="O1085" s="2"/>
      <x:c r="P1085" s="2"/>
      <x:c r="Q1085" s="2"/>
    </x:row>
    <x:row r="1086" ht="22" customHeight="1">
      <x:c r="A1086" s="7" t="str">
        <x:v>M1079</x:v>
      </x:c>
      <x:c r="B1086" s="7" t="str">
        <x:v>RC03</x:v>
      </x:c>
      <x:c r="C1086" s="7" t="str">
        <x:v>T4</x:v>
      </x:c>
      <x:c r="D1086" s="7" t="str">
        <x:v>L07</x:v>
      </x:c>
      <x:c r="E1086" s="7" t="str">
        <x:v>Floor slab gross</x:v>
      </x:c>
      <x:c r="F1086" s="20" t="n">
        <x:v>1</x:v>
      </x:c>
      <x:c r="G1086" s="20" t="n">
        <x:f>'Controls'!$B$10</x:f>
        <x:v>30</x:v>
      </x:c>
      <x:c r="H1086" s="20" t="n">
        <x:f>'Controls'!$B$11</x:f>
        <x:v>24</x:v>
      </x:c>
      <x:c r="I1086" s="20" t="n">
        <x:f>'Controls'!$B$13</x:f>
        <x:v>0.22</x:v>
      </x:c>
      <x:c r="J1086" s="20" t="n">
        <x:v>1</x:v>
      </x:c>
      <x:c r="K1086" s="20" t="n">
        <x:f>F1086*G1086*H1086*I1086*J1086</x:f>
        <x:v>158.4</x:v>
      </x:c>
      <x:c r="L1086" s="7" t="str">
        <x:v>Slab includes beam top flange; downstand separate</x:v>
      </x:c>
      <x:c r="M1086" s="2"/>
      <x:c r="N1086" s="2"/>
      <x:c r="O1086" s="2"/>
      <x:c r="P1086" s="2"/>
      <x:c r="Q1086" s="2"/>
    </x:row>
    <x:row r="1087" ht="22" customHeight="1">
      <x:c r="A1087" s="2" t="str">
        <x:v>M1080</x:v>
      </x:c>
      <x:c r="B1087" s="2" t="str">
        <x:v>RC03</x:v>
      </x:c>
      <x:c r="C1087" s="2" t="str">
        <x:v>T4</x:v>
      </x:c>
      <x:c r="D1087" s="2" t="str">
        <x:v>L07</x:v>
      </x:c>
      <x:c r="E1087" s="2" t="str">
        <x:v>Stair opening deduction</x:v>
      </x:c>
      <x:c r="F1087" s="21" t="n">
        <x:v>1</x:v>
      </x:c>
      <x:c r="G1087" s="21" t="n">
        <x:f>'Controls'!$B$20</x:f>
        <x:v>4</x:v>
      </x:c>
      <x:c r="H1087" s="21" t="n">
        <x:f>'Controls'!$B$21</x:f>
        <x:v>6</x:v>
      </x:c>
      <x:c r="I1087" s="21" t="n">
        <x:f>'Controls'!$B$13</x:f>
        <x:v>0.22</x:v>
      </x:c>
      <x:c r="J1087" s="21" t="n">
        <x:v>-1</x:v>
      </x:c>
      <x:c r="K1087" s="21" t="n">
        <x:f>F1087*G1087*H1087*I1087*J1087</x:f>
        <x:v>-5.28</x:v>
      </x:c>
      <x:c r="L1087" s="2" t="str">
        <x:v>Opening OP-01</x:v>
      </x:c>
      <x:c r="M1087" s="2"/>
      <x:c r="N1087" s="2"/>
      <x:c r="O1087" s="2"/>
      <x:c r="P1087" s="2"/>
      <x:c r="Q1087" s="2"/>
    </x:row>
    <x:row r="1088" ht="22" customHeight="1">
      <x:c r="A1088" s="7" t="str">
        <x:v>M1081</x:v>
      </x:c>
      <x:c r="B1088" s="7" t="str">
        <x:v>RC04</x:v>
      </x:c>
      <x:c r="C1088" s="7" t="str">
        <x:v>T4</x:v>
      </x:c>
      <x:c r="D1088" s="7" t="str">
        <x:v>L07</x:v>
      </x:c>
      <x:c r="E1088" s="7" t="str">
        <x:v>Beam downstands X</x:v>
      </x:c>
      <x:c r="F1088" s="20" t="n">
        <x:v>1</x:v>
      </x:c>
      <x:c r="G1088" s="20" t="n">
        <x:f>5*5*('Controls'!$B$10/5-'Controls'!$B$14)</x:f>
        <x:v>137.5</x:v>
      </x:c>
      <x:c r="H1088" s="20" t="n">
        <x:f>'Controls'!$B$16</x:f>
        <x:v>0.3</x:v>
      </x:c>
      <x:c r="I1088" s="20" t="n">
        <x:f>'Controls'!$B$17-'Controls'!$B$13</x:f>
        <x:v>0.38</x:v>
      </x:c>
      <x:c r="J1088" s="20" t="n">
        <x:v>1</x:v>
      </x:c>
      <x:c r="K1088" s="20" t="n">
        <x:f>F1088*G1088*H1088*I1088*J1088</x:f>
        <x:v>15.675</x:v>
      </x:c>
      <x:c r="L1088" s="7" t="str">
        <x:v>Clear spans between column faces; no joint overlap</x:v>
      </x:c>
      <x:c r="M1088" s="2"/>
      <x:c r="N1088" s="2"/>
      <x:c r="O1088" s="2"/>
      <x:c r="P1088" s="2"/>
      <x:c r="Q1088" s="2"/>
    </x:row>
    <x:row r="1089" ht="22" customHeight="1">
      <x:c r="A1089" s="2" t="str">
        <x:v>M1082</x:v>
      </x:c>
      <x:c r="B1089" s="2" t="str">
        <x:v>FW02</x:v>
      </x:c>
      <x:c r="C1089" s="2" t="str">
        <x:v>T4</x:v>
      </x:c>
      <x:c r="D1089" s="2" t="str">
        <x:v>L07</x:v>
      </x:c>
      <x:c r="E1089" s="2" t="str">
        <x:v>Beam forms X</x:v>
      </x:c>
      <x:c r="F1089" s="21" t="n">
        <x:v>1</x:v>
      </x:c>
      <x:c r="G1089" s="21" t="n">
        <x:f>5*5*('Controls'!$B$10/5-'Controls'!$B$14)</x:f>
        <x:v>137.5</x:v>
      </x:c>
      <x:c r="H1089" s="21" t="n">
        <x:f>'Controls'!$B$16+2*('Controls'!$B$17-'Controls'!$B$13)</x:f>
        <x:v>1.06</x:v>
      </x:c>
      <x:c r="I1089" s="21" t="n">
        <x:v>1</x:v>
      </x:c>
      <x:c r="J1089" s="21" t="n">
        <x:v>1</x:v>
      </x:c>
      <x:c r="K1089" s="21" t="n">
        <x:f>F1089*G1089*H1089*I1089*J1089</x:f>
        <x:v>145.75</x:v>
      </x:c>
      <x:c r="L1089" s="2" t="str">
        <x:v>Soffit plus two downstand sides</x:v>
      </x:c>
      <x:c r="M1089" s="2"/>
      <x:c r="N1089" s="2"/>
      <x:c r="O1089" s="2"/>
      <x:c r="P1089" s="2"/>
      <x:c r="Q1089" s="2"/>
    </x:row>
    <x:row r="1090" ht="22" customHeight="1">
      <x:c r="A1090" s="7" t="str">
        <x:v>M1083</x:v>
      </x:c>
      <x:c r="B1090" s="7" t="str">
        <x:v>RC04</x:v>
      </x:c>
      <x:c r="C1090" s="7" t="str">
        <x:v>T4</x:v>
      </x:c>
      <x:c r="D1090" s="7" t="str">
        <x:v>L07</x:v>
      </x:c>
      <x:c r="E1090" s="7" t="str">
        <x:v>Beam downstands Y</x:v>
      </x:c>
      <x:c r="F1090" s="20" t="n">
        <x:v>1</x:v>
      </x:c>
      <x:c r="G1090" s="20" t="n">
        <x:f>6*4*('Controls'!$B$11/4-'Controls'!$B$15)</x:f>
        <x:v>132</x:v>
      </x:c>
      <x:c r="H1090" s="20" t="n">
        <x:f>'Controls'!$B$16</x:f>
        <x:v>0.3</x:v>
      </x:c>
      <x:c r="I1090" s="20" t="n">
        <x:f>'Controls'!$B$17-'Controls'!$B$13</x:f>
        <x:v>0.38</x:v>
      </x:c>
      <x:c r="J1090" s="20" t="n">
        <x:v>1</x:v>
      </x:c>
      <x:c r="K1090" s="20" t="n">
        <x:f>F1090*G1090*H1090*I1090*J1090</x:f>
        <x:v>15.048</x:v>
      </x:c>
      <x:c r="L1090" s="7" t="str">
        <x:v>Clear spans between column faces; no joint overlap</x:v>
      </x:c>
      <x:c r="M1090" s="2"/>
      <x:c r="N1090" s="2"/>
      <x:c r="O1090" s="2"/>
      <x:c r="P1090" s="2"/>
      <x:c r="Q1090" s="2"/>
    </x:row>
    <x:row r="1091" ht="22" customHeight="1">
      <x:c r="A1091" s="2" t="str">
        <x:v>M1084</x:v>
      </x:c>
      <x:c r="B1091" s="2" t="str">
        <x:v>FW02</x:v>
      </x:c>
      <x:c r="C1091" s="2" t="str">
        <x:v>T4</x:v>
      </x:c>
      <x:c r="D1091" s="2" t="str">
        <x:v>L07</x:v>
      </x:c>
      <x:c r="E1091" s="2" t="str">
        <x:v>Beam forms Y</x:v>
      </x:c>
      <x:c r="F1091" s="21" t="n">
        <x:v>1</x:v>
      </x:c>
      <x:c r="G1091" s="21" t="n">
        <x:f>6*4*('Controls'!$B$11/4-'Controls'!$B$15)</x:f>
        <x:v>132</x:v>
      </x:c>
      <x:c r="H1091" s="21" t="n">
        <x:f>'Controls'!$B$16+2*('Controls'!$B$17-'Controls'!$B$13)</x:f>
        <x:v>1.06</x:v>
      </x:c>
      <x:c r="I1091" s="21" t="n">
        <x:v>1</x:v>
      </x:c>
      <x:c r="J1091" s="21" t="n">
        <x:v>1</x:v>
      </x:c>
      <x:c r="K1091" s="21" t="n">
        <x:f>F1091*G1091*H1091*I1091*J1091</x:f>
        <x:v>139.92000000000002</x:v>
      </x:c>
      <x:c r="L1091" s="2" t="str">
        <x:v>Soffit plus two downstand sides</x:v>
      </x:c>
      <x:c r="M1091" s="2"/>
      <x:c r="N1091" s="2"/>
      <x:c r="O1091" s="2"/>
      <x:c r="P1091" s="2"/>
      <x:c r="Q1091" s="2"/>
    </x:row>
    <x:row r="1092" ht="22" customHeight="1">
      <x:c r="A1092" s="7" t="str">
        <x:v>M1085</x:v>
      </x:c>
      <x:c r="B1092" s="7" t="str">
        <x:v>RC05</x:v>
      </x:c>
      <x:c r="C1092" s="7" t="str">
        <x:v>T4</x:v>
      </x:c>
      <x:c r="D1092" s="7" t="str">
        <x:v>L07</x:v>
      </x:c>
      <x:c r="E1092" s="7" t="str">
        <x:v>Thirty columns, clear storey</x:v>
      </x:c>
      <x:c r="F1092" s="20" t="n">
        <x:v>30</x:v>
      </x:c>
      <x:c r="G1092" s="20" t="n">
        <x:f>'Controls'!$B$14</x:f>
        <x:v>0.5</x:v>
      </x:c>
      <x:c r="H1092" s="20" t="n">
        <x:f>'Controls'!$B$15</x:f>
        <x:v>0.5</x:v>
      </x:c>
      <x:c r="I1092" s="20" t="n">
        <x:f>'Controls'!$B$12-'Controls'!$B$13</x:f>
        <x:v>2.98</x:v>
      </x:c>
      <x:c r="J1092" s="20" t="n">
        <x:v>1</x:v>
      </x:c>
      <x:c r="K1092" s="20" t="n">
        <x:f>F1092*G1092*H1092*I1092*J1092</x:f>
        <x:v>22.35</x:v>
      </x:c>
      <x:c r="L1092" s="7" t="str">
        <x:v>Slab volume excluded from columns</x:v>
      </x:c>
      <x:c r="M1092" s="2"/>
      <x:c r="N1092" s="2"/>
      <x:c r="O1092" s="2"/>
      <x:c r="P1092" s="2"/>
      <x:c r="Q1092" s="2"/>
    </x:row>
    <x:row r="1093" ht="22" customHeight="1">
      <x:c r="A1093" s="2" t="str">
        <x:v>M1086</x:v>
      </x:c>
      <x:c r="B1093" s="2" t="str">
        <x:v>RC06</x:v>
      </x:c>
      <x:c r="C1093" s="2" t="str">
        <x:v>T4</x:v>
      </x:c>
      <x:c r="D1093" s="2" t="str">
        <x:v>L07</x:v>
      </x:c>
      <x:c r="E1093" s="2" t="str">
        <x:v>Core walls clear storey</x:v>
      </x:c>
      <x:c r="F1093" s="21" t="n">
        <x:v>1</x:v>
      </x:c>
      <x:c r="G1093" s="21" t="n">
        <x:f>'Controls'!$B$19</x:f>
        <x:v>24</x:v>
      </x:c>
      <x:c r="H1093" s="21" t="n">
        <x:f>'Controls'!$B$18</x:f>
        <x:v>0.25</x:v>
      </x:c>
      <x:c r="I1093" s="21" t="n">
        <x:f>'Controls'!$B$12-'Controls'!$B$13</x:f>
        <x:v>2.98</x:v>
      </x:c>
      <x:c r="J1093" s="21" t="n">
        <x:v>1</x:v>
      </x:c>
      <x:c r="K1093" s="21" t="n">
        <x:f>F1093*G1093*H1093*I1093*J1093</x:f>
        <x:v>17.88</x:v>
      </x:c>
      <x:c r="L1093" s="2" t="str">
        <x:v>Net clear wall length excludes corners</x:v>
      </x:c>
      <x:c r="M1093" s="2"/>
      <x:c r="N1093" s="2"/>
      <x:c r="O1093" s="2"/>
      <x:c r="P1093" s="2"/>
      <x:c r="Q1093" s="2"/>
    </x:row>
    <x:row r="1094" ht="22" customHeight="1">
      <x:c r="A1094" s="7" t="str">
        <x:v>M1087</x:v>
      </x:c>
      <x:c r="B1094" s="7" t="str">
        <x:v>RC07</x:v>
      </x:c>
      <x:c r="C1094" s="7" t="str">
        <x:v>T4</x:v>
      </x:c>
      <x:c r="D1094" s="7" t="str">
        <x:v>L07</x:v>
      </x:c>
      <x:c r="E1094" s="7" t="str">
        <x:v>Stair flights waist</x:v>
      </x:c>
      <x:c r="F1094" s="20" t="n">
        <x:v>2</x:v>
      </x:c>
      <x:c r="G1094" s="20" t="n">
        <x:v>4.1</x:v>
      </x:c>
      <x:c r="H1094" s="20" t="n">
        <x:v>1.2</x:v>
      </x:c>
      <x:c r="I1094" s="20" t="n">
        <x:v>0.18</x:v>
      </x:c>
      <x:c r="J1094" s="20" t="n">
        <x:v>1</x:v>
      </x:c>
      <x:c r="K1094" s="20" t="n">
        <x:f>F1094*G1094*H1094*I1094*J1094</x:f>
        <x:v>1.7711999999999997</x:v>
      </x:c>
      <x:c r="L1094" s="7" t="str">
        <x:v>Two flights; geometry separate from floor slab</x:v>
      </x:c>
      <x:c r="M1094" s="2"/>
      <x:c r="N1094" s="2"/>
      <x:c r="O1094" s="2"/>
      <x:c r="P1094" s="2"/>
      <x:c r="Q1094" s="2"/>
    </x:row>
    <x:row r="1095" ht="22" customHeight="1">
      <x:c r="A1095" s="2" t="str">
        <x:v>M1088</x:v>
      </x:c>
      <x:c r="B1095" s="2" t="str">
        <x:v>RC07</x:v>
      </x:c>
      <x:c r="C1095" s="2" t="str">
        <x:v>T4</x:v>
      </x:c>
      <x:c r="D1095" s="2" t="str">
        <x:v>L07</x:v>
      </x:c>
      <x:c r="E1095" s="2" t="str">
        <x:v>Stair landings</x:v>
      </x:c>
      <x:c r="F1095" s="21" t="n">
        <x:v>2</x:v>
      </x:c>
      <x:c r="G1095" s="21" t="n">
        <x:v>2</x:v>
      </x:c>
      <x:c r="H1095" s="21" t="n">
        <x:v>1.2</x:v>
      </x:c>
      <x:c r="I1095" s="21" t="n">
        <x:v>0.18</x:v>
      </x:c>
      <x:c r="J1095" s="21" t="n">
        <x:v>1</x:v>
      </x:c>
      <x:c r="K1095" s="21" t="n">
        <x:f>F1095*G1095*H1095*I1095*J1095</x:f>
        <x:v>0.864</x:v>
      </x:c>
      <x:c r="L1095" s="2" t="str">
        <x:v>Within stair opening</x:v>
      </x:c>
      <x:c r="M1095" s="2"/>
      <x:c r="N1095" s="2"/>
      <x:c r="O1095" s="2"/>
      <x:c r="P1095" s="2"/>
      <x:c r="Q1095" s="2"/>
    </x:row>
    <x:row r="1096" ht="22" customHeight="1">
      <x:c r="A1096" s="7" t="str">
        <x:v>M1089</x:v>
      </x:c>
      <x:c r="B1096" s="7" t="str">
        <x:v>FW01</x:v>
      </x:c>
      <x:c r="C1096" s="7" t="str">
        <x:v>T4</x:v>
      </x:c>
      <x:c r="D1096" s="7" t="str">
        <x:v>L07</x:v>
      </x:c>
      <x:c r="E1096" s="7" t="str">
        <x:v>Slab soffit gross</x:v>
      </x:c>
      <x:c r="F1096" s="20" t="n">
        <x:v>1</x:v>
      </x:c>
      <x:c r="G1096" s="20" t="n">
        <x:f>'Controls'!$B$10</x:f>
        <x:v>30</x:v>
      </x:c>
      <x:c r="H1096" s="20" t="n">
        <x:f>'Controls'!$B$11</x:f>
        <x:v>24</x:v>
      </x:c>
      <x:c r="I1096" s="20" t="n">
        <x:v>1</x:v>
      </x:c>
      <x:c r="J1096" s="20" t="n">
        <x:v>1</x:v>
      </x:c>
      <x:c r="K1096" s="20" t="n">
        <x:f>F1096*G1096*H1096*I1096*J1096</x:f>
        <x:v>720</x:v>
      </x:c>
      <x:c r="L1096" s="7" t="str">
        <x:v>Beam soffit deducted below</x:v>
      </x:c>
      <x:c r="M1096" s="2"/>
      <x:c r="N1096" s="2"/>
      <x:c r="O1096" s="2"/>
      <x:c r="P1096" s="2"/>
      <x:c r="Q1096" s="2"/>
    </x:row>
    <x:row r="1097" ht="22" customHeight="1">
      <x:c r="A1097" s="2" t="str">
        <x:v>M1090</x:v>
      </x:c>
      <x:c r="B1097" s="2" t="str">
        <x:v>FW01</x:v>
      </x:c>
      <x:c r="C1097" s="2" t="str">
        <x:v>T4</x:v>
      </x:c>
      <x:c r="D1097" s="2" t="str">
        <x:v>L07</x:v>
      </x:c>
      <x:c r="E1097" s="2" t="str">
        <x:v>Stair opening deduction</x:v>
      </x:c>
      <x:c r="F1097" s="21" t="n">
        <x:v>1</x:v>
      </x:c>
      <x:c r="G1097" s="21" t="n">
        <x:f>'Controls'!$B$20</x:f>
        <x:v>4</x:v>
      </x:c>
      <x:c r="H1097" s="21" t="n">
        <x:f>'Controls'!$B$21</x:f>
        <x:v>6</x:v>
      </x:c>
      <x:c r="I1097" s="21" t="n">
        <x:v>1</x:v>
      </x:c>
      <x:c r="J1097" s="21" t="n">
        <x:v>-1</x:v>
      </x:c>
      <x:c r="K1097" s="21" t="n">
        <x:f>F1097*G1097*H1097*I1097*J1097</x:f>
        <x:v>-24</x:v>
      </x:c>
      <x:c r="L1097" s="2" t="str">
        <x:v>OP-01</x:v>
      </x:c>
      <x:c r="M1097" s="2"/>
      <x:c r="N1097" s="2"/>
      <x:c r="O1097" s="2"/>
      <x:c r="P1097" s="2"/>
      <x:c r="Q1097" s="2"/>
    </x:row>
    <x:row r="1098" ht="22" customHeight="1">
      <x:c r="A1098" s="7" t="str">
        <x:v>M1091</x:v>
      </x:c>
      <x:c r="B1098" s="7" t="str">
        <x:v>FW01</x:v>
      </x:c>
      <x:c r="C1098" s="7" t="str">
        <x:v>T4</x:v>
      </x:c>
      <x:c r="D1098" s="7" t="str">
        <x:v>L07</x:v>
      </x:c>
      <x:c r="E1098" s="7" t="str">
        <x:v>Beam soffit deduction</x:v>
      </x:c>
      <x:c r="F1098" s="20" t="n">
        <x:v>1</x:v>
      </x:c>
      <x:c r="G1098" s="20" t="n">
        <x:f>5*5*('Controls'!$B$10/5-'Controls'!$B$14)+6*4*('Controls'!$B$11/4-'Controls'!$B$15)</x:f>
        <x:v>269.5</x:v>
      </x:c>
      <x:c r="H1098" s="20" t="n">
        <x:f>'Controls'!$B$16</x:f>
        <x:v>0.3</x:v>
      </x:c>
      <x:c r="I1098" s="20" t="n">
        <x:v>1</x:v>
      </x:c>
      <x:c r="J1098" s="20" t="n">
        <x:v>-1</x:v>
      </x:c>
      <x:c r="K1098" s="20" t="n">
        <x:f>F1098*G1098*H1098*I1098*J1098</x:f>
        <x:v>-80.85</x:v>
      </x:c>
      <x:c r="L1098" s="7" t="str">
        <x:v>Beam forms measured in FW02</x:v>
      </x:c>
      <x:c r="M1098" s="2"/>
      <x:c r="N1098" s="2"/>
      <x:c r="O1098" s="2"/>
      <x:c r="P1098" s="2"/>
      <x:c r="Q1098" s="2"/>
    </x:row>
    <x:row r="1099" ht="22" customHeight="1">
      <x:c r="A1099" s="2" t="str">
        <x:v>M1092</x:v>
      </x:c>
      <x:c r="B1099" s="2" t="str">
        <x:v>FW03</x:v>
      </x:c>
      <x:c r="C1099" s="2" t="str">
        <x:v>T4</x:v>
      </x:c>
      <x:c r="D1099" s="2" t="str">
        <x:v>L07</x:v>
      </x:c>
      <x:c r="E1099" s="2" t="str">
        <x:v>Column four faces</x:v>
      </x:c>
      <x:c r="F1099" s="21" t="n">
        <x:v>30</x:v>
      </x:c>
      <x:c r="G1099" s="21" t="n">
        <x:f>2*('Controls'!$B$14+'Controls'!$B$15)</x:f>
        <x:v>2</x:v>
      </x:c>
      <x:c r="H1099" s="21" t="n">
        <x:f>'Controls'!$B$12-'Controls'!$B$13</x:f>
        <x:v>2.98</x:v>
      </x:c>
      <x:c r="I1099" s="21" t="n">
        <x:v>1</x:v>
      </x:c>
      <x:c r="J1099" s="21" t="n">
        <x:v>1</x:v>
      </x:c>
      <x:c r="K1099" s="21" t="n">
        <x:f>F1099*G1099*H1099*I1099*J1099</x:f>
        <x:v>178.8</x:v>
      </x:c>
      <x:c r="L1099" s="2" t="str">
        <x:v>Clear floor-to-soffit</x:v>
      </x:c>
      <x:c r="M1099" s="2"/>
      <x:c r="N1099" s="2"/>
      <x:c r="O1099" s="2"/>
      <x:c r="P1099" s="2"/>
      <x:c r="Q1099" s="2"/>
    </x:row>
    <x:row r="1100" ht="22" customHeight="1">
      <x:c r="A1100" s="7" t="str">
        <x:v>M1093</x:v>
      </x:c>
      <x:c r="B1100" s="7" t="str">
        <x:v>FW04</x:v>
      </x:c>
      <x:c r="C1100" s="7" t="str">
        <x:v>T4</x:v>
      </x:c>
      <x:c r="D1100" s="7" t="str">
        <x:v>L07</x:v>
      </x:c>
      <x:c r="E1100" s="7" t="str">
        <x:v>Core wall two faces</x:v>
      </x:c>
      <x:c r="F1100" s="20" t="n">
        <x:v>2</x:v>
      </x:c>
      <x:c r="G1100" s="20" t="n">
        <x:f>'Controls'!$B$19</x:f>
        <x:v>24</x:v>
      </x:c>
      <x:c r="H1100" s="20" t="n">
        <x:f>'Controls'!$B$12-'Controls'!$B$13</x:f>
        <x:v>2.98</x:v>
      </x:c>
      <x:c r="I1100" s="20" t="n">
        <x:v>1</x:v>
      </x:c>
      <x:c r="J1100" s="20" t="n">
        <x:v>1</x:v>
      </x:c>
      <x:c r="K1100" s="20" t="n">
        <x:f>F1100*G1100*H1100*I1100*J1100</x:f>
        <x:v>143.04</x:v>
      </x:c>
      <x:c r="L1100" s="7" t="str">
        <x:v>Net perimeter, no repeated corners</x:v>
      </x:c>
      <x:c r="M1100" s="2"/>
      <x:c r="N1100" s="2"/>
      <x:c r="O1100" s="2"/>
      <x:c r="P1100" s="2"/>
      <x:c r="Q1100" s="2"/>
    </x:row>
    <x:row r="1101" ht="22" customHeight="1">
      <x:c r="A1101" s="2" t="str">
        <x:v>M1094</x:v>
      </x:c>
      <x:c r="B1101" s="2" t="str">
        <x:v>AR01</x:v>
      </x:c>
      <x:c r="C1101" s="2" t="str">
        <x:v>T4</x:v>
      </x:c>
      <x:c r="D1101" s="2" t="str">
        <x:v>L07</x:v>
      </x:c>
      <x:c r="E1101" s="2" t="str">
        <x:v>Partition walls gross</x:v>
      </x:c>
      <x:c r="F1101" s="21" t="n">
        <x:v>1</x:v>
      </x:c>
      <x:c r="G1101" s="21" t="n">
        <x:f>'Controls'!$B$45</x:f>
        <x:v>220</x:v>
      </x:c>
      <x:c r="H1101" s="21" t="n">
        <x:f>'Controls'!$B$12-'Controls'!$B$13</x:f>
        <x:v>2.98</x:v>
      </x:c>
      <x:c r="I1101" s="21" t="n">
        <x:f>'Controls'!$B$46</x:f>
        <x:v>0.15</x:v>
      </x:c>
      <x:c r="J1101" s="21" t="n">
        <x:v>1</x:v>
      </x:c>
      <x:c r="K1101" s="21" t="n">
        <x:f>F1101*G1101*H1101*I1101*J1101</x:f>
        <x:v>98.34</x:v>
      </x:c>
      <x:c r="L1101" s="2" t="str">
        <x:v>Net openings deducted below</x:v>
      </x:c>
      <x:c r="M1101" s="2"/>
      <x:c r="N1101" s="2"/>
      <x:c r="O1101" s="2"/>
      <x:c r="P1101" s="2"/>
      <x:c r="Q1101" s="2"/>
    </x:row>
    <x:row r="1102" ht="22" customHeight="1">
      <x:c r="A1102" s="7" t="str">
        <x:v>M1095</x:v>
      </x:c>
      <x:c r="B1102" s="7" t="str">
        <x:v>AR01</x:v>
      </x:c>
      <x:c r="C1102" s="7" t="str">
        <x:v>T4</x:v>
      </x:c>
      <x:c r="D1102" s="7" t="str">
        <x:v>L07</x:v>
      </x:c>
      <x:c r="E1102" s="7" t="str">
        <x:v>Internal doors deduction</x:v>
      </x:c>
      <x:c r="F1102" s="20" t="n">
        <x:f>'Controls'!$B$48</x:f>
        <x:v>28</x:v>
      </x:c>
      <x:c r="G1102" s="20" t="n">
        <x:f>'Controls'!$B$49</x:f>
        <x:v>0.9</x:v>
      </x:c>
      <x:c r="H1102" s="20" t="n">
        <x:f>'Controls'!$B$50</x:f>
        <x:v>2.1</x:v>
      </x:c>
      <x:c r="I1102" s="20" t="n">
        <x:f>'Controls'!$B$46</x:f>
        <x:v>0.15</x:v>
      </x:c>
      <x:c r="J1102" s="20" t="n">
        <x:v>-1</x:v>
      </x:c>
      <x:c r="K1102" s="20" t="n">
        <x:f>F1102*G1102*H1102*I1102*J1102</x:f>
        <x:v>-7.938</x:v>
      </x:c>
      <x:c r="L1102" s="7" t="str">
        <x:v>28 doors per floor, OP-02</x:v>
      </x:c>
      <x:c r="M1102" s="2"/>
      <x:c r="N1102" s="2"/>
      <x:c r="O1102" s="2"/>
      <x:c r="P1102" s="2"/>
      <x:c r="Q1102" s="2"/>
    </x:row>
    <x:row r="1103" ht="22" customHeight="1">
      <x:c r="A1103" s="2" t="str">
        <x:v>M1096</x:v>
      </x:c>
      <x:c r="B1103" s="2" t="str">
        <x:v>AR02</x:v>
      </x:c>
      <x:c r="C1103" s="2" t="str">
        <x:v>T4</x:v>
      </x:c>
      <x:c r="D1103" s="2" t="str">
        <x:v>L07</x:v>
      </x:c>
      <x:c r="E1103" s="2" t="str">
        <x:v>Internal plaster gross</x:v>
      </x:c>
      <x:c r="F1103" s="21" t="n">
        <x:v>2</x:v>
      </x:c>
      <x:c r="G1103" s="21" t="n">
        <x:f>'Controls'!$B$45</x:f>
        <x:v>220</x:v>
      </x:c>
      <x:c r="H1103" s="21" t="n">
        <x:f>'Controls'!$B$12-'Controls'!$B$13</x:f>
        <x:v>2.98</x:v>
      </x:c>
      <x:c r="I1103" s="21" t="n">
        <x:v>1</x:v>
      </x:c>
      <x:c r="J1103" s="21" t="n">
        <x:v>1</x:v>
      </x:c>
      <x:c r="K1103" s="21" t="n">
        <x:f>F1103*G1103*H1103*I1103*J1103</x:f>
        <x:v>1311.2</x:v>
      </x:c>
      <x:c r="L1103" s="2" t="str">
        <x:v>Both faces of partition walls</x:v>
      </x:c>
      <x:c r="M1103" s="2"/>
      <x:c r="N1103" s="2"/>
      <x:c r="O1103" s="2"/>
      <x:c r="P1103" s="2"/>
      <x:c r="Q1103" s="2"/>
    </x:row>
    <x:row r="1104" ht="22" customHeight="1">
      <x:c r="A1104" s="7" t="str">
        <x:v>M1097</x:v>
      </x:c>
      <x:c r="B1104" s="7" t="str">
        <x:v>AR02</x:v>
      </x:c>
      <x:c r="C1104" s="7" t="str">
        <x:v>T4</x:v>
      </x:c>
      <x:c r="D1104" s="7" t="str">
        <x:v>L07</x:v>
      </x:c>
      <x:c r="E1104" s="7" t="str">
        <x:v>Door area deduction both faces</x:v>
      </x:c>
      <x:c r="F1104" s="20" t="n">
        <x:f>2*'Controls'!$B$48</x:f>
        <x:v>56</x:v>
      </x:c>
      <x:c r="G1104" s="20" t="n">
        <x:f>'Controls'!$B$49</x:f>
        <x:v>0.9</x:v>
      </x:c>
      <x:c r="H1104" s="20" t="n">
        <x:f>'Controls'!$B$50</x:f>
        <x:v>2.1</x:v>
      </x:c>
      <x:c r="I1104" s="20" t="n">
        <x:v>1</x:v>
      </x:c>
      <x:c r="J1104" s="20" t="n">
        <x:v>-1</x:v>
      </x:c>
      <x:c r="K1104" s="20" t="n">
        <x:f>F1104*G1104*H1104*I1104*J1104</x:f>
        <x:v>-105.84</x:v>
      </x:c>
      <x:c r="L1104" s="7" t="str">
        <x:v>No plaster over openings</x:v>
      </x:c>
      <x:c r="M1104" s="2"/>
      <x:c r="N1104" s="2"/>
      <x:c r="O1104" s="2"/>
      <x:c r="P1104" s="2"/>
      <x:c r="Q1104" s="2"/>
    </x:row>
    <x:row r="1105" ht="22" customHeight="1">
      <x:c r="A1105" s="2" t="str">
        <x:v>M1098</x:v>
      </x:c>
      <x:c r="B1105" s="2" t="str">
        <x:v>AR03</x:v>
      </x:c>
      <x:c r="C1105" s="2" t="str">
        <x:v>T4</x:v>
      </x:c>
      <x:c r="D1105" s="2" t="str">
        <x:v>L07</x:v>
      </x:c>
      <x:c r="E1105" s="2" t="str">
        <x:v>Floor screed net</x:v>
      </x:c>
      <x:c r="F1105" s="21" t="n">
        <x:v>1</x:v>
      </x:c>
      <x:c r="G1105" s="21" t="n">
        <x:f>'Controls'!$B$10*'Controls'!$B$11-'Controls'!$B$20*'Controls'!$B$21</x:f>
        <x:v>696</x:v>
      </x:c>
      <x:c r="H1105" s="21" t="n">
        <x:v>1</x:v>
      </x:c>
      <x:c r="I1105" s="21" t="n">
        <x:v>1</x:v>
      </x:c>
      <x:c r="J1105" s="21" t="n">
        <x:v>1</x:v>
      </x:c>
      <x:c r="K1105" s="21" t="n">
        <x:f>F1105*G1105*H1105*I1105*J1105</x:f>
        <x:v>696</x:v>
      </x:c>
      <x:c r="L1105" s="2" t="str">
        <x:v>Net structural floor area</x:v>
      </x:c>
      <x:c r="M1105" s="2"/>
      <x:c r="N1105" s="2"/>
      <x:c r="O1105" s="2"/>
      <x:c r="P1105" s="2"/>
      <x:c r="Q1105" s="2"/>
    </x:row>
    <x:row r="1106" ht="22" customHeight="1">
      <x:c r="A1106" s="7" t="str">
        <x:v>M1099</x:v>
      </x:c>
      <x:c r="B1106" s="7" t="str">
        <x:v>AR04</x:v>
      </x:c>
      <x:c r="C1106" s="7" t="str">
        <x:v>T4</x:v>
      </x:c>
      <x:c r="D1106" s="7" t="str">
        <x:v>L07</x:v>
      </x:c>
      <x:c r="E1106" s="7" t="str">
        <x:v>Floor finish net</x:v>
      </x:c>
      <x:c r="F1106" s="20" t="n">
        <x:v>1</x:v>
      </x:c>
      <x:c r="G1106" s="20" t="n">
        <x:f>'Controls'!$B$10*'Controls'!$B$11-'Controls'!$B$20*'Controls'!$B$21</x:f>
        <x:v>696</x:v>
      </x:c>
      <x:c r="H1106" s="20" t="n">
        <x:v>1</x:v>
      </x:c>
      <x:c r="I1106" s="20" t="n">
        <x:v>1</x:v>
      </x:c>
      <x:c r="J1106" s="20" t="n">
        <x:v>1</x:v>
      </x:c>
      <x:c r="K1106" s="20" t="n">
        <x:f>F1106*G1106*H1106*I1106*J1106</x:f>
        <x:v>696</x:v>
      </x:c>
      <x:c r="L1106" s="7" t="str">
        <x:v>Waste excluded from BOQ</x:v>
      </x:c>
      <x:c r="M1106" s="2"/>
      <x:c r="N1106" s="2"/>
      <x:c r="O1106" s="2"/>
      <x:c r="P1106" s="2"/>
      <x:c r="Q1106" s="2"/>
    </x:row>
    <x:row r="1107" ht="22" customHeight="1">
      <x:c r="A1107" s="2" t="str">
        <x:v>M1100</x:v>
      </x:c>
      <x:c r="B1107" s="2" t="str">
        <x:v>AR05</x:v>
      </x:c>
      <x:c r="C1107" s="2" t="str">
        <x:v>T4</x:v>
      </x:c>
      <x:c r="D1107" s="2" t="str">
        <x:v>L07</x:v>
      </x:c>
      <x:c r="E1107" s="2" t="str">
        <x:v>Internal wall paint net</x:v>
      </x:c>
      <x:c r="F1107" s="21" t="n">
        <x:v>2</x:v>
      </x:c>
      <x:c r="G1107" s="21" t="n">
        <x:f>'Controls'!$B$45*('Controls'!$B$12-'Controls'!$B$13)-'Controls'!$B$48*'Controls'!$B$49*'Controls'!$B$50</x:f>
        <x:v>602.6800000000001</x:v>
      </x:c>
      <x:c r="H1107" s="21" t="n">
        <x:v>1</x:v>
      </x:c>
      <x:c r="I1107" s="21" t="n">
        <x:v>1</x:v>
      </x:c>
      <x:c r="J1107" s="21" t="n">
        <x:v>1</x:v>
      </x:c>
      <x:c r="K1107" s="21" t="n">
        <x:f>F1107*G1107*H1107*I1107*J1107</x:f>
        <x:v>1205.3600000000001</x:v>
      </x:c>
      <x:c r="L1107" s="2" t="str">
        <x:v>Finished area; two coats priced in rate</x:v>
      </x:c>
      <x:c r="M1107" s="2"/>
      <x:c r="N1107" s="2"/>
      <x:c r="O1107" s="2"/>
      <x:c r="P1107" s="2"/>
      <x:c r="Q1107" s="2"/>
    </x:row>
    <x:row r="1108" ht="22" customHeight="1">
      <x:c r="A1108" s="7" t="str">
        <x:v>M1101</x:v>
      </x:c>
      <x:c r="B1108" s="7" t="str">
        <x:v>AR06</x:v>
      </x:c>
      <x:c r="C1108" s="7" t="str">
        <x:v>T4</x:v>
      </x:c>
      <x:c r="D1108" s="7" t="str">
        <x:v>L07</x:v>
      </x:c>
      <x:c r="E1108" s="7" t="str">
        <x:v>Door sets</x:v>
      </x:c>
      <x:c r="F1108" s="20" t="n">
        <x:f>'Controls'!$B$48</x:f>
        <x:v>28</x:v>
      </x:c>
      <x:c r="G1108" s="20" t="n">
        <x:v>1</x:v>
      </x:c>
      <x:c r="H1108" s="20" t="n">
        <x:v>1</x:v>
      </x:c>
      <x:c r="I1108" s="20" t="n">
        <x:v>1</x:v>
      </x:c>
      <x:c r="J1108" s="20" t="n">
        <x:v>1</x:v>
      </x:c>
      <x:c r="K1108" s="20" t="n">
        <x:f>F1108*G1108*H1108*I1108*J1108</x:f>
        <x:v>28</x:v>
      </x:c>
      <x:c r="L1108" s="7" t="str">
        <x:v>Door count, not double face</x:v>
      </x:c>
      <x:c r="M1108" s="2"/>
      <x:c r="N1108" s="2"/>
      <x:c r="O1108" s="2"/>
      <x:c r="P1108" s="2"/>
      <x:c r="Q1108" s="2"/>
    </x:row>
    <x:row r="1109" ht="22" customHeight="1">
      <x:c r="A1109" s="2" t="str">
        <x:v>M1102</x:v>
      </x:c>
      <x:c r="B1109" s="2" t="str">
        <x:v>RC03</x:v>
      </x:c>
      <x:c r="C1109" s="2" t="str">
        <x:v>T4</x:v>
      </x:c>
      <x:c r="D1109" s="2" t="str">
        <x:v>L08</x:v>
      </x:c>
      <x:c r="E1109" s="2" t="str">
        <x:v>Floor slab gross</x:v>
      </x:c>
      <x:c r="F1109" s="21" t="n">
        <x:v>1</x:v>
      </x:c>
      <x:c r="G1109" s="21" t="n">
        <x:f>'Controls'!$B$10</x:f>
        <x:v>30</x:v>
      </x:c>
      <x:c r="H1109" s="21" t="n">
        <x:f>'Controls'!$B$11</x:f>
        <x:v>24</x:v>
      </x:c>
      <x:c r="I1109" s="21" t="n">
        <x:f>'Controls'!$B$13</x:f>
        <x:v>0.22</x:v>
      </x:c>
      <x:c r="J1109" s="21" t="n">
        <x:v>1</x:v>
      </x:c>
      <x:c r="K1109" s="21" t="n">
        <x:f>F1109*G1109*H1109*I1109*J1109</x:f>
        <x:v>158.4</x:v>
      </x:c>
      <x:c r="L1109" s="2" t="str">
        <x:v>Slab includes beam top flange; downstand separate</x:v>
      </x:c>
      <x:c r="M1109" s="2"/>
      <x:c r="N1109" s="2"/>
      <x:c r="O1109" s="2"/>
      <x:c r="P1109" s="2"/>
      <x:c r="Q1109" s="2"/>
    </x:row>
    <x:row r="1110" ht="22" customHeight="1">
      <x:c r="A1110" s="7" t="str">
        <x:v>M1103</x:v>
      </x:c>
      <x:c r="B1110" s="7" t="str">
        <x:v>RC03</x:v>
      </x:c>
      <x:c r="C1110" s="7" t="str">
        <x:v>T4</x:v>
      </x:c>
      <x:c r="D1110" s="7" t="str">
        <x:v>L08</x:v>
      </x:c>
      <x:c r="E1110" s="7" t="str">
        <x:v>Stair opening deduction</x:v>
      </x:c>
      <x:c r="F1110" s="20" t="n">
        <x:v>1</x:v>
      </x:c>
      <x:c r="G1110" s="20" t="n">
        <x:f>'Controls'!$B$20</x:f>
        <x:v>4</x:v>
      </x:c>
      <x:c r="H1110" s="20" t="n">
        <x:f>'Controls'!$B$21</x:f>
        <x:v>6</x:v>
      </x:c>
      <x:c r="I1110" s="20" t="n">
        <x:f>'Controls'!$B$13</x:f>
        <x:v>0.22</x:v>
      </x:c>
      <x:c r="J1110" s="20" t="n">
        <x:v>-1</x:v>
      </x:c>
      <x:c r="K1110" s="20" t="n">
        <x:f>F1110*G1110*H1110*I1110*J1110</x:f>
        <x:v>-5.28</x:v>
      </x:c>
      <x:c r="L1110" s="7" t="str">
        <x:v>Opening OP-01</x:v>
      </x:c>
      <x:c r="M1110" s="2"/>
      <x:c r="N1110" s="2"/>
      <x:c r="O1110" s="2"/>
      <x:c r="P1110" s="2"/>
      <x:c r="Q1110" s="2"/>
    </x:row>
    <x:row r="1111" ht="22" customHeight="1">
      <x:c r="A1111" s="2" t="str">
        <x:v>M1104</x:v>
      </x:c>
      <x:c r="B1111" s="2" t="str">
        <x:v>RC04</x:v>
      </x:c>
      <x:c r="C1111" s="2" t="str">
        <x:v>T4</x:v>
      </x:c>
      <x:c r="D1111" s="2" t="str">
        <x:v>L08</x:v>
      </x:c>
      <x:c r="E1111" s="2" t="str">
        <x:v>Beam downstands X</x:v>
      </x:c>
      <x:c r="F1111" s="21" t="n">
        <x:v>1</x:v>
      </x:c>
      <x:c r="G1111" s="21" t="n">
        <x:f>5*5*('Controls'!$B$10/5-'Controls'!$B$14)</x:f>
        <x:v>137.5</x:v>
      </x:c>
      <x:c r="H1111" s="21" t="n">
        <x:f>'Controls'!$B$16</x:f>
        <x:v>0.3</x:v>
      </x:c>
      <x:c r="I1111" s="21" t="n">
        <x:f>'Controls'!$B$17-'Controls'!$B$13</x:f>
        <x:v>0.38</x:v>
      </x:c>
      <x:c r="J1111" s="21" t="n">
        <x:v>1</x:v>
      </x:c>
      <x:c r="K1111" s="21" t="n">
        <x:f>F1111*G1111*H1111*I1111*J1111</x:f>
        <x:v>15.675</x:v>
      </x:c>
      <x:c r="L1111" s="2" t="str">
        <x:v>Clear spans between column faces; no joint overlap</x:v>
      </x:c>
      <x:c r="M1111" s="2"/>
      <x:c r="N1111" s="2"/>
      <x:c r="O1111" s="2"/>
      <x:c r="P1111" s="2"/>
      <x:c r="Q1111" s="2"/>
    </x:row>
    <x:row r="1112" ht="22" customHeight="1">
      <x:c r="A1112" s="7" t="str">
        <x:v>M1105</x:v>
      </x:c>
      <x:c r="B1112" s="7" t="str">
        <x:v>FW02</x:v>
      </x:c>
      <x:c r="C1112" s="7" t="str">
        <x:v>T4</x:v>
      </x:c>
      <x:c r="D1112" s="7" t="str">
        <x:v>L08</x:v>
      </x:c>
      <x:c r="E1112" s="7" t="str">
        <x:v>Beam forms X</x:v>
      </x:c>
      <x:c r="F1112" s="20" t="n">
        <x:v>1</x:v>
      </x:c>
      <x:c r="G1112" s="20" t="n">
        <x:f>5*5*('Controls'!$B$10/5-'Controls'!$B$14)</x:f>
        <x:v>137.5</x:v>
      </x:c>
      <x:c r="H1112" s="20" t="n">
        <x:f>'Controls'!$B$16+2*('Controls'!$B$17-'Controls'!$B$13)</x:f>
        <x:v>1.06</x:v>
      </x:c>
      <x:c r="I1112" s="20" t="n">
        <x:v>1</x:v>
      </x:c>
      <x:c r="J1112" s="20" t="n">
        <x:v>1</x:v>
      </x:c>
      <x:c r="K1112" s="20" t="n">
        <x:f>F1112*G1112*H1112*I1112*J1112</x:f>
        <x:v>145.75</x:v>
      </x:c>
      <x:c r="L1112" s="7" t="str">
        <x:v>Soffit plus two downstand sides</x:v>
      </x:c>
      <x:c r="M1112" s="2"/>
      <x:c r="N1112" s="2"/>
      <x:c r="O1112" s="2"/>
      <x:c r="P1112" s="2"/>
      <x:c r="Q1112" s="2"/>
    </x:row>
    <x:row r="1113" ht="22" customHeight="1">
      <x:c r="A1113" s="2" t="str">
        <x:v>M1106</x:v>
      </x:c>
      <x:c r="B1113" s="2" t="str">
        <x:v>RC04</x:v>
      </x:c>
      <x:c r="C1113" s="2" t="str">
        <x:v>T4</x:v>
      </x:c>
      <x:c r="D1113" s="2" t="str">
        <x:v>L08</x:v>
      </x:c>
      <x:c r="E1113" s="2" t="str">
        <x:v>Beam downstands Y</x:v>
      </x:c>
      <x:c r="F1113" s="21" t="n">
        <x:v>1</x:v>
      </x:c>
      <x:c r="G1113" s="21" t="n">
        <x:f>6*4*('Controls'!$B$11/4-'Controls'!$B$15)</x:f>
        <x:v>132</x:v>
      </x:c>
      <x:c r="H1113" s="21" t="n">
        <x:f>'Controls'!$B$16</x:f>
        <x:v>0.3</x:v>
      </x:c>
      <x:c r="I1113" s="21" t="n">
        <x:f>'Controls'!$B$17-'Controls'!$B$13</x:f>
        <x:v>0.38</x:v>
      </x:c>
      <x:c r="J1113" s="21" t="n">
        <x:v>1</x:v>
      </x:c>
      <x:c r="K1113" s="21" t="n">
        <x:f>F1113*G1113*H1113*I1113*J1113</x:f>
        <x:v>15.048</x:v>
      </x:c>
      <x:c r="L1113" s="2" t="str">
        <x:v>Clear spans between column faces; no joint overlap</x:v>
      </x:c>
      <x:c r="M1113" s="2"/>
      <x:c r="N1113" s="2"/>
      <x:c r="O1113" s="2"/>
      <x:c r="P1113" s="2"/>
      <x:c r="Q1113" s="2"/>
    </x:row>
    <x:row r="1114" ht="22" customHeight="1">
      <x:c r="A1114" s="7" t="str">
        <x:v>M1107</x:v>
      </x:c>
      <x:c r="B1114" s="7" t="str">
        <x:v>FW02</x:v>
      </x:c>
      <x:c r="C1114" s="7" t="str">
        <x:v>T4</x:v>
      </x:c>
      <x:c r="D1114" s="7" t="str">
        <x:v>L08</x:v>
      </x:c>
      <x:c r="E1114" s="7" t="str">
        <x:v>Beam forms Y</x:v>
      </x:c>
      <x:c r="F1114" s="20" t="n">
        <x:v>1</x:v>
      </x:c>
      <x:c r="G1114" s="20" t="n">
        <x:f>6*4*('Controls'!$B$11/4-'Controls'!$B$15)</x:f>
        <x:v>132</x:v>
      </x:c>
      <x:c r="H1114" s="20" t="n">
        <x:f>'Controls'!$B$16+2*('Controls'!$B$17-'Controls'!$B$13)</x:f>
        <x:v>1.06</x:v>
      </x:c>
      <x:c r="I1114" s="20" t="n">
        <x:v>1</x:v>
      </x:c>
      <x:c r="J1114" s="20" t="n">
        <x:v>1</x:v>
      </x:c>
      <x:c r="K1114" s="20" t="n">
        <x:f>F1114*G1114*H1114*I1114*J1114</x:f>
        <x:v>139.92000000000002</x:v>
      </x:c>
      <x:c r="L1114" s="7" t="str">
        <x:v>Soffit plus two downstand sides</x:v>
      </x:c>
      <x:c r="M1114" s="2"/>
      <x:c r="N1114" s="2"/>
      <x:c r="O1114" s="2"/>
      <x:c r="P1114" s="2"/>
      <x:c r="Q1114" s="2"/>
    </x:row>
    <x:row r="1115" ht="22" customHeight="1">
      <x:c r="A1115" s="2" t="str">
        <x:v>M1108</x:v>
      </x:c>
      <x:c r="B1115" s="2" t="str">
        <x:v>RC05</x:v>
      </x:c>
      <x:c r="C1115" s="2" t="str">
        <x:v>T4</x:v>
      </x:c>
      <x:c r="D1115" s="2" t="str">
        <x:v>L08</x:v>
      </x:c>
      <x:c r="E1115" s="2" t="str">
        <x:v>Thirty columns, clear storey</x:v>
      </x:c>
      <x:c r="F1115" s="21" t="n">
        <x:v>30</x:v>
      </x:c>
      <x:c r="G1115" s="21" t="n">
        <x:f>'Controls'!$B$14</x:f>
        <x:v>0.5</x:v>
      </x:c>
      <x:c r="H1115" s="21" t="n">
        <x:f>'Controls'!$B$15</x:f>
        <x:v>0.5</x:v>
      </x:c>
      <x:c r="I1115" s="21" t="n">
        <x:f>'Controls'!$B$12-'Controls'!$B$13</x:f>
        <x:v>2.98</x:v>
      </x:c>
      <x:c r="J1115" s="21" t="n">
        <x:v>1</x:v>
      </x:c>
      <x:c r="K1115" s="21" t="n">
        <x:f>F1115*G1115*H1115*I1115*J1115</x:f>
        <x:v>22.35</x:v>
      </x:c>
      <x:c r="L1115" s="2" t="str">
        <x:v>Slab volume excluded from columns</x:v>
      </x:c>
      <x:c r="M1115" s="2"/>
      <x:c r="N1115" s="2"/>
      <x:c r="O1115" s="2"/>
      <x:c r="P1115" s="2"/>
      <x:c r="Q1115" s="2"/>
    </x:row>
    <x:row r="1116" ht="22" customHeight="1">
      <x:c r="A1116" s="7" t="str">
        <x:v>M1109</x:v>
      </x:c>
      <x:c r="B1116" s="7" t="str">
        <x:v>RC06</x:v>
      </x:c>
      <x:c r="C1116" s="7" t="str">
        <x:v>T4</x:v>
      </x:c>
      <x:c r="D1116" s="7" t="str">
        <x:v>L08</x:v>
      </x:c>
      <x:c r="E1116" s="7" t="str">
        <x:v>Core walls clear storey</x:v>
      </x:c>
      <x:c r="F1116" s="20" t="n">
        <x:v>1</x:v>
      </x:c>
      <x:c r="G1116" s="20" t="n">
        <x:f>'Controls'!$B$19</x:f>
        <x:v>24</x:v>
      </x:c>
      <x:c r="H1116" s="20" t="n">
        <x:f>'Controls'!$B$18</x:f>
        <x:v>0.25</x:v>
      </x:c>
      <x:c r="I1116" s="20" t="n">
        <x:f>'Controls'!$B$12-'Controls'!$B$13</x:f>
        <x:v>2.98</x:v>
      </x:c>
      <x:c r="J1116" s="20" t="n">
        <x:v>1</x:v>
      </x:c>
      <x:c r="K1116" s="20" t="n">
        <x:f>F1116*G1116*H1116*I1116*J1116</x:f>
        <x:v>17.88</x:v>
      </x:c>
      <x:c r="L1116" s="7" t="str">
        <x:v>Net clear wall length excludes corners</x:v>
      </x:c>
      <x:c r="M1116" s="2"/>
      <x:c r="N1116" s="2"/>
      <x:c r="O1116" s="2"/>
      <x:c r="P1116" s="2"/>
      <x:c r="Q1116" s="2"/>
    </x:row>
    <x:row r="1117" ht="22" customHeight="1">
      <x:c r="A1117" s="2" t="str">
        <x:v>M1110</x:v>
      </x:c>
      <x:c r="B1117" s="2" t="str">
        <x:v>RC07</x:v>
      </x:c>
      <x:c r="C1117" s="2" t="str">
        <x:v>T4</x:v>
      </x:c>
      <x:c r="D1117" s="2" t="str">
        <x:v>L08</x:v>
      </x:c>
      <x:c r="E1117" s="2" t="str">
        <x:v>Stair flights waist</x:v>
      </x:c>
      <x:c r="F1117" s="21" t="n">
        <x:v>2</x:v>
      </x:c>
      <x:c r="G1117" s="21" t="n">
        <x:v>4.1</x:v>
      </x:c>
      <x:c r="H1117" s="21" t="n">
        <x:v>1.2</x:v>
      </x:c>
      <x:c r="I1117" s="21" t="n">
        <x:v>0.18</x:v>
      </x:c>
      <x:c r="J1117" s="21" t="n">
        <x:v>1</x:v>
      </x:c>
      <x:c r="K1117" s="21" t="n">
        <x:f>F1117*G1117*H1117*I1117*J1117</x:f>
        <x:v>1.7711999999999997</x:v>
      </x:c>
      <x:c r="L1117" s="2" t="str">
        <x:v>Two flights; geometry separate from floor slab</x:v>
      </x:c>
      <x:c r="M1117" s="2"/>
      <x:c r="N1117" s="2"/>
      <x:c r="O1117" s="2"/>
      <x:c r="P1117" s="2"/>
      <x:c r="Q1117" s="2"/>
    </x:row>
    <x:row r="1118" ht="22" customHeight="1">
      <x:c r="A1118" s="7" t="str">
        <x:v>M1111</x:v>
      </x:c>
      <x:c r="B1118" s="7" t="str">
        <x:v>RC07</x:v>
      </x:c>
      <x:c r="C1118" s="7" t="str">
        <x:v>T4</x:v>
      </x:c>
      <x:c r="D1118" s="7" t="str">
        <x:v>L08</x:v>
      </x:c>
      <x:c r="E1118" s="7" t="str">
        <x:v>Stair landings</x:v>
      </x:c>
      <x:c r="F1118" s="20" t="n">
        <x:v>2</x:v>
      </x:c>
      <x:c r="G1118" s="20" t="n">
        <x:v>2</x:v>
      </x:c>
      <x:c r="H1118" s="20" t="n">
        <x:v>1.2</x:v>
      </x:c>
      <x:c r="I1118" s="20" t="n">
        <x:v>0.18</x:v>
      </x:c>
      <x:c r="J1118" s="20" t="n">
        <x:v>1</x:v>
      </x:c>
      <x:c r="K1118" s="20" t="n">
        <x:f>F1118*G1118*H1118*I1118*J1118</x:f>
        <x:v>0.864</x:v>
      </x:c>
      <x:c r="L1118" s="7" t="str">
        <x:v>Within stair opening</x:v>
      </x:c>
      <x:c r="M1118" s="2"/>
      <x:c r="N1118" s="2"/>
      <x:c r="O1118" s="2"/>
      <x:c r="P1118" s="2"/>
      <x:c r="Q1118" s="2"/>
    </x:row>
    <x:row r="1119" ht="22" customHeight="1">
      <x:c r="A1119" s="2" t="str">
        <x:v>M1112</x:v>
      </x:c>
      <x:c r="B1119" s="2" t="str">
        <x:v>FW01</x:v>
      </x:c>
      <x:c r="C1119" s="2" t="str">
        <x:v>T4</x:v>
      </x:c>
      <x:c r="D1119" s="2" t="str">
        <x:v>L08</x:v>
      </x:c>
      <x:c r="E1119" s="2" t="str">
        <x:v>Slab soffit gross</x:v>
      </x:c>
      <x:c r="F1119" s="21" t="n">
        <x:v>1</x:v>
      </x:c>
      <x:c r="G1119" s="21" t="n">
        <x:f>'Controls'!$B$10</x:f>
        <x:v>30</x:v>
      </x:c>
      <x:c r="H1119" s="21" t="n">
        <x:f>'Controls'!$B$11</x:f>
        <x:v>24</x:v>
      </x:c>
      <x:c r="I1119" s="21" t="n">
        <x:v>1</x:v>
      </x:c>
      <x:c r="J1119" s="21" t="n">
        <x:v>1</x:v>
      </x:c>
      <x:c r="K1119" s="21" t="n">
        <x:f>F1119*G1119*H1119*I1119*J1119</x:f>
        <x:v>720</x:v>
      </x:c>
      <x:c r="L1119" s="2" t="str">
        <x:v>Beam soffit deducted below</x:v>
      </x:c>
      <x:c r="M1119" s="2"/>
      <x:c r="N1119" s="2"/>
      <x:c r="O1119" s="2"/>
      <x:c r="P1119" s="2"/>
      <x:c r="Q1119" s="2"/>
    </x:row>
    <x:row r="1120" ht="22" customHeight="1">
      <x:c r="A1120" s="7" t="str">
        <x:v>M1113</x:v>
      </x:c>
      <x:c r="B1120" s="7" t="str">
        <x:v>FW01</x:v>
      </x:c>
      <x:c r="C1120" s="7" t="str">
        <x:v>T4</x:v>
      </x:c>
      <x:c r="D1120" s="7" t="str">
        <x:v>L08</x:v>
      </x:c>
      <x:c r="E1120" s="7" t="str">
        <x:v>Stair opening deduction</x:v>
      </x:c>
      <x:c r="F1120" s="20" t="n">
        <x:v>1</x:v>
      </x:c>
      <x:c r="G1120" s="20" t="n">
        <x:f>'Controls'!$B$20</x:f>
        <x:v>4</x:v>
      </x:c>
      <x:c r="H1120" s="20" t="n">
        <x:f>'Controls'!$B$21</x:f>
        <x:v>6</x:v>
      </x:c>
      <x:c r="I1120" s="20" t="n">
        <x:v>1</x:v>
      </x:c>
      <x:c r="J1120" s="20" t="n">
        <x:v>-1</x:v>
      </x:c>
      <x:c r="K1120" s="20" t="n">
        <x:f>F1120*G1120*H1120*I1120*J1120</x:f>
        <x:v>-24</x:v>
      </x:c>
      <x:c r="L1120" s="7" t="str">
        <x:v>OP-01</x:v>
      </x:c>
      <x:c r="M1120" s="2"/>
      <x:c r="N1120" s="2"/>
      <x:c r="O1120" s="2"/>
      <x:c r="P1120" s="2"/>
      <x:c r="Q1120" s="2"/>
    </x:row>
    <x:row r="1121" ht="22" customHeight="1">
      <x:c r="A1121" s="2" t="str">
        <x:v>M1114</x:v>
      </x:c>
      <x:c r="B1121" s="2" t="str">
        <x:v>FW01</x:v>
      </x:c>
      <x:c r="C1121" s="2" t="str">
        <x:v>T4</x:v>
      </x:c>
      <x:c r="D1121" s="2" t="str">
        <x:v>L08</x:v>
      </x:c>
      <x:c r="E1121" s="2" t="str">
        <x:v>Beam soffit deduction</x:v>
      </x:c>
      <x:c r="F1121" s="21" t="n">
        <x:v>1</x:v>
      </x:c>
      <x:c r="G1121" s="21" t="n">
        <x:f>5*5*('Controls'!$B$10/5-'Controls'!$B$14)+6*4*('Controls'!$B$11/4-'Controls'!$B$15)</x:f>
        <x:v>269.5</x:v>
      </x:c>
      <x:c r="H1121" s="21" t="n">
        <x:f>'Controls'!$B$16</x:f>
        <x:v>0.3</x:v>
      </x:c>
      <x:c r="I1121" s="21" t="n">
        <x:v>1</x:v>
      </x:c>
      <x:c r="J1121" s="21" t="n">
        <x:v>-1</x:v>
      </x:c>
      <x:c r="K1121" s="21" t="n">
        <x:f>F1121*G1121*H1121*I1121*J1121</x:f>
        <x:v>-80.85</x:v>
      </x:c>
      <x:c r="L1121" s="2" t="str">
        <x:v>Beam forms measured in FW02</x:v>
      </x:c>
      <x:c r="M1121" s="2"/>
      <x:c r="N1121" s="2"/>
      <x:c r="O1121" s="2"/>
      <x:c r="P1121" s="2"/>
      <x:c r="Q1121" s="2"/>
    </x:row>
    <x:row r="1122" ht="22" customHeight="1">
      <x:c r="A1122" s="7" t="str">
        <x:v>M1115</x:v>
      </x:c>
      <x:c r="B1122" s="7" t="str">
        <x:v>FW03</x:v>
      </x:c>
      <x:c r="C1122" s="7" t="str">
        <x:v>T4</x:v>
      </x:c>
      <x:c r="D1122" s="7" t="str">
        <x:v>L08</x:v>
      </x:c>
      <x:c r="E1122" s="7" t="str">
        <x:v>Column four faces</x:v>
      </x:c>
      <x:c r="F1122" s="20" t="n">
        <x:v>30</x:v>
      </x:c>
      <x:c r="G1122" s="20" t="n">
        <x:f>2*('Controls'!$B$14+'Controls'!$B$15)</x:f>
        <x:v>2</x:v>
      </x:c>
      <x:c r="H1122" s="20" t="n">
        <x:f>'Controls'!$B$12-'Controls'!$B$13</x:f>
        <x:v>2.98</x:v>
      </x:c>
      <x:c r="I1122" s="20" t="n">
        <x:v>1</x:v>
      </x:c>
      <x:c r="J1122" s="20" t="n">
        <x:v>1</x:v>
      </x:c>
      <x:c r="K1122" s="20" t="n">
        <x:f>F1122*G1122*H1122*I1122*J1122</x:f>
        <x:v>178.8</x:v>
      </x:c>
      <x:c r="L1122" s="7" t="str">
        <x:v>Clear floor-to-soffit</x:v>
      </x:c>
      <x:c r="M1122" s="2"/>
      <x:c r="N1122" s="2"/>
      <x:c r="O1122" s="2"/>
      <x:c r="P1122" s="2"/>
      <x:c r="Q1122" s="2"/>
    </x:row>
    <x:row r="1123" ht="22" customHeight="1">
      <x:c r="A1123" s="2" t="str">
        <x:v>M1116</x:v>
      </x:c>
      <x:c r="B1123" s="2" t="str">
        <x:v>FW04</x:v>
      </x:c>
      <x:c r="C1123" s="2" t="str">
        <x:v>T4</x:v>
      </x:c>
      <x:c r="D1123" s="2" t="str">
        <x:v>L08</x:v>
      </x:c>
      <x:c r="E1123" s="2" t="str">
        <x:v>Core wall two faces</x:v>
      </x:c>
      <x:c r="F1123" s="21" t="n">
        <x:v>2</x:v>
      </x:c>
      <x:c r="G1123" s="21" t="n">
        <x:f>'Controls'!$B$19</x:f>
        <x:v>24</x:v>
      </x:c>
      <x:c r="H1123" s="21" t="n">
        <x:f>'Controls'!$B$12-'Controls'!$B$13</x:f>
        <x:v>2.98</x:v>
      </x:c>
      <x:c r="I1123" s="21" t="n">
        <x:v>1</x:v>
      </x:c>
      <x:c r="J1123" s="21" t="n">
        <x:v>1</x:v>
      </x:c>
      <x:c r="K1123" s="21" t="n">
        <x:f>F1123*G1123*H1123*I1123*J1123</x:f>
        <x:v>143.04</x:v>
      </x:c>
      <x:c r="L1123" s="2" t="str">
        <x:v>Net perimeter, no repeated corners</x:v>
      </x:c>
      <x:c r="M1123" s="2"/>
      <x:c r="N1123" s="2"/>
      <x:c r="O1123" s="2"/>
      <x:c r="P1123" s="2"/>
      <x:c r="Q1123" s="2"/>
    </x:row>
    <x:row r="1124" ht="22" customHeight="1">
      <x:c r="A1124" s="7" t="str">
        <x:v>M1117</x:v>
      </x:c>
      <x:c r="B1124" s="7" t="str">
        <x:v>AR01</x:v>
      </x:c>
      <x:c r="C1124" s="7" t="str">
        <x:v>T4</x:v>
      </x:c>
      <x:c r="D1124" s="7" t="str">
        <x:v>L08</x:v>
      </x:c>
      <x:c r="E1124" s="7" t="str">
        <x:v>Partition walls gross</x:v>
      </x:c>
      <x:c r="F1124" s="20" t="n">
        <x:v>1</x:v>
      </x:c>
      <x:c r="G1124" s="20" t="n">
        <x:f>'Controls'!$B$45</x:f>
        <x:v>220</x:v>
      </x:c>
      <x:c r="H1124" s="20" t="n">
        <x:f>'Controls'!$B$12-'Controls'!$B$13</x:f>
        <x:v>2.98</x:v>
      </x:c>
      <x:c r="I1124" s="20" t="n">
        <x:f>'Controls'!$B$46</x:f>
        <x:v>0.15</x:v>
      </x:c>
      <x:c r="J1124" s="20" t="n">
        <x:v>1</x:v>
      </x:c>
      <x:c r="K1124" s="20" t="n">
        <x:f>F1124*G1124*H1124*I1124*J1124</x:f>
        <x:v>98.34</x:v>
      </x:c>
      <x:c r="L1124" s="7" t="str">
        <x:v>Net openings deducted below</x:v>
      </x:c>
      <x:c r="M1124" s="2"/>
      <x:c r="N1124" s="2"/>
      <x:c r="O1124" s="2"/>
      <x:c r="P1124" s="2"/>
      <x:c r="Q1124" s="2"/>
    </x:row>
    <x:row r="1125" ht="22" customHeight="1">
      <x:c r="A1125" s="2" t="str">
        <x:v>M1118</x:v>
      </x:c>
      <x:c r="B1125" s="2" t="str">
        <x:v>AR01</x:v>
      </x:c>
      <x:c r="C1125" s="2" t="str">
        <x:v>T4</x:v>
      </x:c>
      <x:c r="D1125" s="2" t="str">
        <x:v>L08</x:v>
      </x:c>
      <x:c r="E1125" s="2" t="str">
        <x:v>Internal doors deduction</x:v>
      </x:c>
      <x:c r="F1125" s="21" t="n">
        <x:f>'Controls'!$B$48</x:f>
        <x:v>28</x:v>
      </x:c>
      <x:c r="G1125" s="21" t="n">
        <x:f>'Controls'!$B$49</x:f>
        <x:v>0.9</x:v>
      </x:c>
      <x:c r="H1125" s="21" t="n">
        <x:f>'Controls'!$B$50</x:f>
        <x:v>2.1</x:v>
      </x:c>
      <x:c r="I1125" s="21" t="n">
        <x:f>'Controls'!$B$46</x:f>
        <x:v>0.15</x:v>
      </x:c>
      <x:c r="J1125" s="21" t="n">
        <x:v>-1</x:v>
      </x:c>
      <x:c r="K1125" s="21" t="n">
        <x:f>F1125*G1125*H1125*I1125*J1125</x:f>
        <x:v>-7.938</x:v>
      </x:c>
      <x:c r="L1125" s="2" t="str">
        <x:v>28 doors per floor, OP-02</x:v>
      </x:c>
      <x:c r="M1125" s="2"/>
      <x:c r="N1125" s="2"/>
      <x:c r="O1125" s="2"/>
      <x:c r="P1125" s="2"/>
      <x:c r="Q1125" s="2"/>
    </x:row>
    <x:row r="1126" ht="22" customHeight="1">
      <x:c r="A1126" s="7" t="str">
        <x:v>M1119</x:v>
      </x:c>
      <x:c r="B1126" s="7" t="str">
        <x:v>AR02</x:v>
      </x:c>
      <x:c r="C1126" s="7" t="str">
        <x:v>T4</x:v>
      </x:c>
      <x:c r="D1126" s="7" t="str">
        <x:v>L08</x:v>
      </x:c>
      <x:c r="E1126" s="7" t="str">
        <x:v>Internal plaster gross</x:v>
      </x:c>
      <x:c r="F1126" s="20" t="n">
        <x:v>2</x:v>
      </x:c>
      <x:c r="G1126" s="20" t="n">
        <x:f>'Controls'!$B$45</x:f>
        <x:v>220</x:v>
      </x:c>
      <x:c r="H1126" s="20" t="n">
        <x:f>'Controls'!$B$12-'Controls'!$B$13</x:f>
        <x:v>2.98</x:v>
      </x:c>
      <x:c r="I1126" s="20" t="n">
        <x:v>1</x:v>
      </x:c>
      <x:c r="J1126" s="20" t="n">
        <x:v>1</x:v>
      </x:c>
      <x:c r="K1126" s="20" t="n">
        <x:f>F1126*G1126*H1126*I1126*J1126</x:f>
        <x:v>1311.2</x:v>
      </x:c>
      <x:c r="L1126" s="7" t="str">
        <x:v>Both faces of partition walls</x:v>
      </x:c>
      <x:c r="M1126" s="2"/>
      <x:c r="N1126" s="2"/>
      <x:c r="O1126" s="2"/>
      <x:c r="P1126" s="2"/>
      <x:c r="Q1126" s="2"/>
    </x:row>
    <x:row r="1127" ht="22" customHeight="1">
      <x:c r="A1127" s="2" t="str">
        <x:v>M1120</x:v>
      </x:c>
      <x:c r="B1127" s="2" t="str">
        <x:v>AR02</x:v>
      </x:c>
      <x:c r="C1127" s="2" t="str">
        <x:v>T4</x:v>
      </x:c>
      <x:c r="D1127" s="2" t="str">
        <x:v>L08</x:v>
      </x:c>
      <x:c r="E1127" s="2" t="str">
        <x:v>Door area deduction both faces</x:v>
      </x:c>
      <x:c r="F1127" s="21" t="n">
        <x:f>2*'Controls'!$B$48</x:f>
        <x:v>56</x:v>
      </x:c>
      <x:c r="G1127" s="21" t="n">
        <x:f>'Controls'!$B$49</x:f>
        <x:v>0.9</x:v>
      </x:c>
      <x:c r="H1127" s="21" t="n">
        <x:f>'Controls'!$B$50</x:f>
        <x:v>2.1</x:v>
      </x:c>
      <x:c r="I1127" s="21" t="n">
        <x:v>1</x:v>
      </x:c>
      <x:c r="J1127" s="21" t="n">
        <x:v>-1</x:v>
      </x:c>
      <x:c r="K1127" s="21" t="n">
        <x:f>F1127*G1127*H1127*I1127*J1127</x:f>
        <x:v>-105.84</x:v>
      </x:c>
      <x:c r="L1127" s="2" t="str">
        <x:v>No plaster over openings</x:v>
      </x:c>
      <x:c r="M1127" s="2"/>
      <x:c r="N1127" s="2"/>
      <x:c r="O1127" s="2"/>
      <x:c r="P1127" s="2"/>
      <x:c r="Q1127" s="2"/>
    </x:row>
    <x:row r="1128" ht="22" customHeight="1">
      <x:c r="A1128" s="7" t="str">
        <x:v>M1121</x:v>
      </x:c>
      <x:c r="B1128" s="7" t="str">
        <x:v>AR03</x:v>
      </x:c>
      <x:c r="C1128" s="7" t="str">
        <x:v>T4</x:v>
      </x:c>
      <x:c r="D1128" s="7" t="str">
        <x:v>L08</x:v>
      </x:c>
      <x:c r="E1128" s="7" t="str">
        <x:v>Floor screed net</x:v>
      </x:c>
      <x:c r="F1128" s="20" t="n">
        <x:v>1</x:v>
      </x:c>
      <x:c r="G1128" s="20" t="n">
        <x:f>'Controls'!$B$10*'Controls'!$B$11-'Controls'!$B$20*'Controls'!$B$21</x:f>
        <x:v>696</x:v>
      </x:c>
      <x:c r="H1128" s="20" t="n">
        <x:v>1</x:v>
      </x:c>
      <x:c r="I1128" s="20" t="n">
        <x:v>1</x:v>
      </x:c>
      <x:c r="J1128" s="20" t="n">
        <x:v>1</x:v>
      </x:c>
      <x:c r="K1128" s="20" t="n">
        <x:f>F1128*G1128*H1128*I1128*J1128</x:f>
        <x:v>696</x:v>
      </x:c>
      <x:c r="L1128" s="7" t="str">
        <x:v>Net structural floor area</x:v>
      </x:c>
      <x:c r="M1128" s="2"/>
      <x:c r="N1128" s="2"/>
      <x:c r="O1128" s="2"/>
      <x:c r="P1128" s="2"/>
      <x:c r="Q1128" s="2"/>
    </x:row>
    <x:row r="1129" ht="22" customHeight="1">
      <x:c r="A1129" s="2" t="str">
        <x:v>M1122</x:v>
      </x:c>
      <x:c r="B1129" s="2" t="str">
        <x:v>AR04</x:v>
      </x:c>
      <x:c r="C1129" s="2" t="str">
        <x:v>T4</x:v>
      </x:c>
      <x:c r="D1129" s="2" t="str">
        <x:v>L08</x:v>
      </x:c>
      <x:c r="E1129" s="2" t="str">
        <x:v>Floor finish net</x:v>
      </x:c>
      <x:c r="F1129" s="21" t="n">
        <x:v>1</x:v>
      </x:c>
      <x:c r="G1129" s="21" t="n">
        <x:f>'Controls'!$B$10*'Controls'!$B$11-'Controls'!$B$20*'Controls'!$B$21</x:f>
        <x:v>696</x:v>
      </x:c>
      <x:c r="H1129" s="21" t="n">
        <x:v>1</x:v>
      </x:c>
      <x:c r="I1129" s="21" t="n">
        <x:v>1</x:v>
      </x:c>
      <x:c r="J1129" s="21" t="n">
        <x:v>1</x:v>
      </x:c>
      <x:c r="K1129" s="21" t="n">
        <x:f>F1129*G1129*H1129*I1129*J1129</x:f>
        <x:v>696</x:v>
      </x:c>
      <x:c r="L1129" s="2" t="str">
        <x:v>Waste excluded from BOQ</x:v>
      </x:c>
      <x:c r="M1129" s="2"/>
      <x:c r="N1129" s="2"/>
      <x:c r="O1129" s="2"/>
      <x:c r="P1129" s="2"/>
      <x:c r="Q1129" s="2"/>
    </x:row>
    <x:row r="1130" ht="22" customHeight="1">
      <x:c r="A1130" s="7" t="str">
        <x:v>M1123</x:v>
      </x:c>
      <x:c r="B1130" s="7" t="str">
        <x:v>AR05</x:v>
      </x:c>
      <x:c r="C1130" s="7" t="str">
        <x:v>T4</x:v>
      </x:c>
      <x:c r="D1130" s="7" t="str">
        <x:v>L08</x:v>
      </x:c>
      <x:c r="E1130" s="7" t="str">
        <x:v>Internal wall paint net</x:v>
      </x:c>
      <x:c r="F1130" s="20" t="n">
        <x:v>2</x:v>
      </x:c>
      <x:c r="G1130" s="20" t="n">
        <x:f>'Controls'!$B$45*('Controls'!$B$12-'Controls'!$B$13)-'Controls'!$B$48*'Controls'!$B$49*'Controls'!$B$50</x:f>
        <x:v>602.6800000000001</x:v>
      </x:c>
      <x:c r="H1130" s="20" t="n">
        <x:v>1</x:v>
      </x:c>
      <x:c r="I1130" s="20" t="n">
        <x:v>1</x:v>
      </x:c>
      <x:c r="J1130" s="20" t="n">
        <x:v>1</x:v>
      </x:c>
      <x:c r="K1130" s="20" t="n">
        <x:f>F1130*G1130*H1130*I1130*J1130</x:f>
        <x:v>1205.3600000000001</x:v>
      </x:c>
      <x:c r="L1130" s="7" t="str">
        <x:v>Finished area; two coats priced in rate</x:v>
      </x:c>
      <x:c r="M1130" s="2"/>
      <x:c r="N1130" s="2"/>
      <x:c r="O1130" s="2"/>
      <x:c r="P1130" s="2"/>
      <x:c r="Q1130" s="2"/>
    </x:row>
    <x:row r="1131" ht="22" customHeight="1">
      <x:c r="A1131" s="2" t="str">
        <x:v>M1124</x:v>
      </x:c>
      <x:c r="B1131" s="2" t="str">
        <x:v>AR06</x:v>
      </x:c>
      <x:c r="C1131" s="2" t="str">
        <x:v>T4</x:v>
      </x:c>
      <x:c r="D1131" s="2" t="str">
        <x:v>L08</x:v>
      </x:c>
      <x:c r="E1131" s="2" t="str">
        <x:v>Door sets</x:v>
      </x:c>
      <x:c r="F1131" s="21" t="n">
        <x:f>'Controls'!$B$48</x:f>
        <x:v>28</x:v>
      </x:c>
      <x:c r="G1131" s="21" t="n">
        <x:v>1</x:v>
      </x:c>
      <x:c r="H1131" s="21" t="n">
        <x:v>1</x:v>
      </x:c>
      <x:c r="I1131" s="21" t="n">
        <x:v>1</x:v>
      </x:c>
      <x:c r="J1131" s="21" t="n">
        <x:v>1</x:v>
      </x:c>
      <x:c r="K1131" s="21" t="n">
        <x:f>F1131*G1131*H1131*I1131*J1131</x:f>
        <x:v>28</x:v>
      </x:c>
      <x:c r="L1131" s="2" t="str">
        <x:v>Door count, not double face</x:v>
      </x:c>
      <x:c r="M1131" s="2"/>
      <x:c r="N1131" s="2"/>
      <x:c r="O1131" s="2"/>
      <x:c r="P1131" s="2"/>
      <x:c r="Q1131" s="2"/>
    </x:row>
    <x:row r="1132" ht="22" customHeight="1">
      <x:c r="A1132" s="7" t="str">
        <x:v>M1125</x:v>
      </x:c>
      <x:c r="B1132" s="7" t="str">
        <x:v>RC03</x:v>
      </x:c>
      <x:c r="C1132" s="7" t="str">
        <x:v>T4</x:v>
      </x:c>
      <x:c r="D1132" s="7" t="str">
        <x:v>L09</x:v>
      </x:c>
      <x:c r="E1132" s="7" t="str">
        <x:v>Floor slab gross</x:v>
      </x:c>
      <x:c r="F1132" s="20" t="n">
        <x:v>1</x:v>
      </x:c>
      <x:c r="G1132" s="20" t="n">
        <x:f>'Controls'!$B$10</x:f>
        <x:v>30</x:v>
      </x:c>
      <x:c r="H1132" s="20" t="n">
        <x:f>'Controls'!$B$11</x:f>
        <x:v>24</x:v>
      </x:c>
      <x:c r="I1132" s="20" t="n">
        <x:f>'Controls'!$B$13</x:f>
        <x:v>0.22</x:v>
      </x:c>
      <x:c r="J1132" s="20" t="n">
        <x:v>1</x:v>
      </x:c>
      <x:c r="K1132" s="20" t="n">
        <x:f>F1132*G1132*H1132*I1132*J1132</x:f>
        <x:v>158.4</x:v>
      </x:c>
      <x:c r="L1132" s="7" t="str">
        <x:v>Slab includes beam top flange; downstand separate</x:v>
      </x:c>
      <x:c r="M1132" s="2"/>
      <x:c r="N1132" s="2"/>
      <x:c r="O1132" s="2"/>
      <x:c r="P1132" s="2"/>
      <x:c r="Q1132" s="2"/>
    </x:row>
    <x:row r="1133" ht="22" customHeight="1">
      <x:c r="A1133" s="2" t="str">
        <x:v>M1126</x:v>
      </x:c>
      <x:c r="B1133" s="2" t="str">
        <x:v>RC03</x:v>
      </x:c>
      <x:c r="C1133" s="2" t="str">
        <x:v>T4</x:v>
      </x:c>
      <x:c r="D1133" s="2" t="str">
        <x:v>L09</x:v>
      </x:c>
      <x:c r="E1133" s="2" t="str">
        <x:v>Stair opening deduction</x:v>
      </x:c>
      <x:c r="F1133" s="21" t="n">
        <x:v>1</x:v>
      </x:c>
      <x:c r="G1133" s="21" t="n">
        <x:f>'Controls'!$B$20</x:f>
        <x:v>4</x:v>
      </x:c>
      <x:c r="H1133" s="21" t="n">
        <x:f>'Controls'!$B$21</x:f>
        <x:v>6</x:v>
      </x:c>
      <x:c r="I1133" s="21" t="n">
        <x:f>'Controls'!$B$13</x:f>
        <x:v>0.22</x:v>
      </x:c>
      <x:c r="J1133" s="21" t="n">
        <x:v>-1</x:v>
      </x:c>
      <x:c r="K1133" s="21" t="n">
        <x:f>F1133*G1133*H1133*I1133*J1133</x:f>
        <x:v>-5.28</x:v>
      </x:c>
      <x:c r="L1133" s="2" t="str">
        <x:v>Opening OP-01</x:v>
      </x:c>
      <x:c r="M1133" s="2"/>
      <x:c r="N1133" s="2"/>
      <x:c r="O1133" s="2"/>
      <x:c r="P1133" s="2"/>
      <x:c r="Q1133" s="2"/>
    </x:row>
    <x:row r="1134" ht="22" customHeight="1">
      <x:c r="A1134" s="7" t="str">
        <x:v>M1127</x:v>
      </x:c>
      <x:c r="B1134" s="7" t="str">
        <x:v>RC04</x:v>
      </x:c>
      <x:c r="C1134" s="7" t="str">
        <x:v>T4</x:v>
      </x:c>
      <x:c r="D1134" s="7" t="str">
        <x:v>L09</x:v>
      </x:c>
      <x:c r="E1134" s="7" t="str">
        <x:v>Beam downstands X</x:v>
      </x:c>
      <x:c r="F1134" s="20" t="n">
        <x:v>1</x:v>
      </x:c>
      <x:c r="G1134" s="20" t="n">
        <x:f>5*5*('Controls'!$B$10/5-'Controls'!$B$14)</x:f>
        <x:v>137.5</x:v>
      </x:c>
      <x:c r="H1134" s="20" t="n">
        <x:f>'Controls'!$B$16</x:f>
        <x:v>0.3</x:v>
      </x:c>
      <x:c r="I1134" s="20" t="n">
        <x:f>'Controls'!$B$17-'Controls'!$B$13</x:f>
        <x:v>0.38</x:v>
      </x:c>
      <x:c r="J1134" s="20" t="n">
        <x:v>1</x:v>
      </x:c>
      <x:c r="K1134" s="20" t="n">
        <x:f>F1134*G1134*H1134*I1134*J1134</x:f>
        <x:v>15.675</x:v>
      </x:c>
      <x:c r="L1134" s="7" t="str">
        <x:v>Clear spans between column faces; no joint overlap</x:v>
      </x:c>
      <x:c r="M1134" s="2"/>
      <x:c r="N1134" s="2"/>
      <x:c r="O1134" s="2"/>
      <x:c r="P1134" s="2"/>
      <x:c r="Q1134" s="2"/>
    </x:row>
    <x:row r="1135" ht="22" customHeight="1">
      <x:c r="A1135" s="2" t="str">
        <x:v>M1128</x:v>
      </x:c>
      <x:c r="B1135" s="2" t="str">
        <x:v>FW02</x:v>
      </x:c>
      <x:c r="C1135" s="2" t="str">
        <x:v>T4</x:v>
      </x:c>
      <x:c r="D1135" s="2" t="str">
        <x:v>L09</x:v>
      </x:c>
      <x:c r="E1135" s="2" t="str">
        <x:v>Beam forms X</x:v>
      </x:c>
      <x:c r="F1135" s="21" t="n">
        <x:v>1</x:v>
      </x:c>
      <x:c r="G1135" s="21" t="n">
        <x:f>5*5*('Controls'!$B$10/5-'Controls'!$B$14)</x:f>
        <x:v>137.5</x:v>
      </x:c>
      <x:c r="H1135" s="21" t="n">
        <x:f>'Controls'!$B$16+2*('Controls'!$B$17-'Controls'!$B$13)</x:f>
        <x:v>1.06</x:v>
      </x:c>
      <x:c r="I1135" s="21" t="n">
        <x:v>1</x:v>
      </x:c>
      <x:c r="J1135" s="21" t="n">
        <x:v>1</x:v>
      </x:c>
      <x:c r="K1135" s="21" t="n">
        <x:f>F1135*G1135*H1135*I1135*J1135</x:f>
        <x:v>145.75</x:v>
      </x:c>
      <x:c r="L1135" s="2" t="str">
        <x:v>Soffit plus two downstand sides</x:v>
      </x:c>
      <x:c r="M1135" s="2"/>
      <x:c r="N1135" s="2"/>
      <x:c r="O1135" s="2"/>
      <x:c r="P1135" s="2"/>
      <x:c r="Q1135" s="2"/>
    </x:row>
    <x:row r="1136" ht="22" customHeight="1">
      <x:c r="A1136" s="7" t="str">
        <x:v>M1129</x:v>
      </x:c>
      <x:c r="B1136" s="7" t="str">
        <x:v>RC04</x:v>
      </x:c>
      <x:c r="C1136" s="7" t="str">
        <x:v>T4</x:v>
      </x:c>
      <x:c r="D1136" s="7" t="str">
        <x:v>L09</x:v>
      </x:c>
      <x:c r="E1136" s="7" t="str">
        <x:v>Beam downstands Y</x:v>
      </x:c>
      <x:c r="F1136" s="20" t="n">
        <x:v>1</x:v>
      </x:c>
      <x:c r="G1136" s="20" t="n">
        <x:f>6*4*('Controls'!$B$11/4-'Controls'!$B$15)</x:f>
        <x:v>132</x:v>
      </x:c>
      <x:c r="H1136" s="20" t="n">
        <x:f>'Controls'!$B$16</x:f>
        <x:v>0.3</x:v>
      </x:c>
      <x:c r="I1136" s="20" t="n">
        <x:f>'Controls'!$B$17-'Controls'!$B$13</x:f>
        <x:v>0.38</x:v>
      </x:c>
      <x:c r="J1136" s="20" t="n">
        <x:v>1</x:v>
      </x:c>
      <x:c r="K1136" s="20" t="n">
        <x:f>F1136*G1136*H1136*I1136*J1136</x:f>
        <x:v>15.048</x:v>
      </x:c>
      <x:c r="L1136" s="7" t="str">
        <x:v>Clear spans between column faces; no joint overlap</x:v>
      </x:c>
      <x:c r="M1136" s="2"/>
      <x:c r="N1136" s="2"/>
      <x:c r="O1136" s="2"/>
      <x:c r="P1136" s="2"/>
      <x:c r="Q1136" s="2"/>
    </x:row>
    <x:row r="1137" ht="22" customHeight="1">
      <x:c r="A1137" s="2" t="str">
        <x:v>M1130</x:v>
      </x:c>
      <x:c r="B1137" s="2" t="str">
        <x:v>FW02</x:v>
      </x:c>
      <x:c r="C1137" s="2" t="str">
        <x:v>T4</x:v>
      </x:c>
      <x:c r="D1137" s="2" t="str">
        <x:v>L09</x:v>
      </x:c>
      <x:c r="E1137" s="2" t="str">
        <x:v>Beam forms Y</x:v>
      </x:c>
      <x:c r="F1137" s="21" t="n">
        <x:v>1</x:v>
      </x:c>
      <x:c r="G1137" s="21" t="n">
        <x:f>6*4*('Controls'!$B$11/4-'Controls'!$B$15)</x:f>
        <x:v>132</x:v>
      </x:c>
      <x:c r="H1137" s="21" t="n">
        <x:f>'Controls'!$B$16+2*('Controls'!$B$17-'Controls'!$B$13)</x:f>
        <x:v>1.06</x:v>
      </x:c>
      <x:c r="I1137" s="21" t="n">
        <x:v>1</x:v>
      </x:c>
      <x:c r="J1137" s="21" t="n">
        <x:v>1</x:v>
      </x:c>
      <x:c r="K1137" s="21" t="n">
        <x:f>F1137*G1137*H1137*I1137*J1137</x:f>
        <x:v>139.92000000000002</x:v>
      </x:c>
      <x:c r="L1137" s="2" t="str">
        <x:v>Soffit plus two downstand sides</x:v>
      </x:c>
      <x:c r="M1137" s="2"/>
      <x:c r="N1137" s="2"/>
      <x:c r="O1137" s="2"/>
      <x:c r="P1137" s="2"/>
      <x:c r="Q1137" s="2"/>
    </x:row>
    <x:row r="1138" ht="22" customHeight="1">
      <x:c r="A1138" s="7" t="str">
        <x:v>M1131</x:v>
      </x:c>
      <x:c r="B1138" s="7" t="str">
        <x:v>RC05</x:v>
      </x:c>
      <x:c r="C1138" s="7" t="str">
        <x:v>T4</x:v>
      </x:c>
      <x:c r="D1138" s="7" t="str">
        <x:v>L09</x:v>
      </x:c>
      <x:c r="E1138" s="7" t="str">
        <x:v>Thirty columns, clear storey</x:v>
      </x:c>
      <x:c r="F1138" s="20" t="n">
        <x:v>30</x:v>
      </x:c>
      <x:c r="G1138" s="20" t="n">
        <x:f>'Controls'!$B$14</x:f>
        <x:v>0.5</x:v>
      </x:c>
      <x:c r="H1138" s="20" t="n">
        <x:f>'Controls'!$B$15</x:f>
        <x:v>0.5</x:v>
      </x:c>
      <x:c r="I1138" s="20" t="n">
        <x:f>'Controls'!$B$12-'Controls'!$B$13</x:f>
        <x:v>2.98</x:v>
      </x:c>
      <x:c r="J1138" s="20" t="n">
        <x:v>1</x:v>
      </x:c>
      <x:c r="K1138" s="20" t="n">
        <x:f>F1138*G1138*H1138*I1138*J1138</x:f>
        <x:v>22.35</x:v>
      </x:c>
      <x:c r="L1138" s="7" t="str">
        <x:v>Slab volume excluded from columns</x:v>
      </x:c>
      <x:c r="M1138" s="2"/>
      <x:c r="N1138" s="2"/>
      <x:c r="O1138" s="2"/>
      <x:c r="P1138" s="2"/>
      <x:c r="Q1138" s="2"/>
    </x:row>
    <x:row r="1139" ht="22" customHeight="1">
      <x:c r="A1139" s="2" t="str">
        <x:v>M1132</x:v>
      </x:c>
      <x:c r="B1139" s="2" t="str">
        <x:v>RC06</x:v>
      </x:c>
      <x:c r="C1139" s="2" t="str">
        <x:v>T4</x:v>
      </x:c>
      <x:c r="D1139" s="2" t="str">
        <x:v>L09</x:v>
      </x:c>
      <x:c r="E1139" s="2" t="str">
        <x:v>Core walls clear storey</x:v>
      </x:c>
      <x:c r="F1139" s="21" t="n">
        <x:v>1</x:v>
      </x:c>
      <x:c r="G1139" s="21" t="n">
        <x:f>'Controls'!$B$19</x:f>
        <x:v>24</x:v>
      </x:c>
      <x:c r="H1139" s="21" t="n">
        <x:f>'Controls'!$B$18</x:f>
        <x:v>0.25</x:v>
      </x:c>
      <x:c r="I1139" s="21" t="n">
        <x:f>'Controls'!$B$12-'Controls'!$B$13</x:f>
        <x:v>2.98</x:v>
      </x:c>
      <x:c r="J1139" s="21" t="n">
        <x:v>1</x:v>
      </x:c>
      <x:c r="K1139" s="21" t="n">
        <x:f>F1139*G1139*H1139*I1139*J1139</x:f>
        <x:v>17.88</x:v>
      </x:c>
      <x:c r="L1139" s="2" t="str">
        <x:v>Net clear wall length excludes corners</x:v>
      </x:c>
      <x:c r="M1139" s="2"/>
      <x:c r="N1139" s="2"/>
      <x:c r="O1139" s="2"/>
      <x:c r="P1139" s="2"/>
      <x:c r="Q1139" s="2"/>
    </x:row>
    <x:row r="1140" ht="22" customHeight="1">
      <x:c r="A1140" s="7" t="str">
        <x:v>M1133</x:v>
      </x:c>
      <x:c r="B1140" s="7" t="str">
        <x:v>RC07</x:v>
      </x:c>
      <x:c r="C1140" s="7" t="str">
        <x:v>T4</x:v>
      </x:c>
      <x:c r="D1140" s="7" t="str">
        <x:v>L09</x:v>
      </x:c>
      <x:c r="E1140" s="7" t="str">
        <x:v>Stair flights waist</x:v>
      </x:c>
      <x:c r="F1140" s="20" t="n">
        <x:v>2</x:v>
      </x:c>
      <x:c r="G1140" s="20" t="n">
        <x:v>4.1</x:v>
      </x:c>
      <x:c r="H1140" s="20" t="n">
        <x:v>1.2</x:v>
      </x:c>
      <x:c r="I1140" s="20" t="n">
        <x:v>0.18</x:v>
      </x:c>
      <x:c r="J1140" s="20" t="n">
        <x:v>1</x:v>
      </x:c>
      <x:c r="K1140" s="20" t="n">
        <x:f>F1140*G1140*H1140*I1140*J1140</x:f>
        <x:v>1.7711999999999997</x:v>
      </x:c>
      <x:c r="L1140" s="7" t="str">
        <x:v>Two flights; geometry separate from floor slab</x:v>
      </x:c>
      <x:c r="M1140" s="2"/>
      <x:c r="N1140" s="2"/>
      <x:c r="O1140" s="2"/>
      <x:c r="P1140" s="2"/>
      <x:c r="Q1140" s="2"/>
    </x:row>
    <x:row r="1141" ht="22" customHeight="1">
      <x:c r="A1141" s="2" t="str">
        <x:v>M1134</x:v>
      </x:c>
      <x:c r="B1141" s="2" t="str">
        <x:v>RC07</x:v>
      </x:c>
      <x:c r="C1141" s="2" t="str">
        <x:v>T4</x:v>
      </x:c>
      <x:c r="D1141" s="2" t="str">
        <x:v>L09</x:v>
      </x:c>
      <x:c r="E1141" s="2" t="str">
        <x:v>Stair landings</x:v>
      </x:c>
      <x:c r="F1141" s="21" t="n">
        <x:v>2</x:v>
      </x:c>
      <x:c r="G1141" s="21" t="n">
        <x:v>2</x:v>
      </x:c>
      <x:c r="H1141" s="21" t="n">
        <x:v>1.2</x:v>
      </x:c>
      <x:c r="I1141" s="21" t="n">
        <x:v>0.18</x:v>
      </x:c>
      <x:c r="J1141" s="21" t="n">
        <x:v>1</x:v>
      </x:c>
      <x:c r="K1141" s="21" t="n">
        <x:f>F1141*G1141*H1141*I1141*J1141</x:f>
        <x:v>0.864</x:v>
      </x:c>
      <x:c r="L1141" s="2" t="str">
        <x:v>Within stair opening</x:v>
      </x:c>
      <x:c r="M1141" s="2"/>
      <x:c r="N1141" s="2"/>
      <x:c r="O1141" s="2"/>
      <x:c r="P1141" s="2"/>
      <x:c r="Q1141" s="2"/>
    </x:row>
    <x:row r="1142" ht="22" customHeight="1">
      <x:c r="A1142" s="7" t="str">
        <x:v>M1135</x:v>
      </x:c>
      <x:c r="B1142" s="7" t="str">
        <x:v>FW01</x:v>
      </x:c>
      <x:c r="C1142" s="7" t="str">
        <x:v>T4</x:v>
      </x:c>
      <x:c r="D1142" s="7" t="str">
        <x:v>L09</x:v>
      </x:c>
      <x:c r="E1142" s="7" t="str">
        <x:v>Slab soffit gross</x:v>
      </x:c>
      <x:c r="F1142" s="20" t="n">
        <x:v>1</x:v>
      </x:c>
      <x:c r="G1142" s="20" t="n">
        <x:f>'Controls'!$B$10</x:f>
        <x:v>30</x:v>
      </x:c>
      <x:c r="H1142" s="20" t="n">
        <x:f>'Controls'!$B$11</x:f>
        <x:v>24</x:v>
      </x:c>
      <x:c r="I1142" s="20" t="n">
        <x:v>1</x:v>
      </x:c>
      <x:c r="J1142" s="20" t="n">
        <x:v>1</x:v>
      </x:c>
      <x:c r="K1142" s="20" t="n">
        <x:f>F1142*G1142*H1142*I1142*J1142</x:f>
        <x:v>720</x:v>
      </x:c>
      <x:c r="L1142" s="7" t="str">
        <x:v>Beam soffit deducted below</x:v>
      </x:c>
      <x:c r="M1142" s="2"/>
      <x:c r="N1142" s="2"/>
      <x:c r="O1142" s="2"/>
      <x:c r="P1142" s="2"/>
      <x:c r="Q1142" s="2"/>
    </x:row>
    <x:row r="1143" ht="22" customHeight="1">
      <x:c r="A1143" s="2" t="str">
        <x:v>M1136</x:v>
      </x:c>
      <x:c r="B1143" s="2" t="str">
        <x:v>FW01</x:v>
      </x:c>
      <x:c r="C1143" s="2" t="str">
        <x:v>T4</x:v>
      </x:c>
      <x:c r="D1143" s="2" t="str">
        <x:v>L09</x:v>
      </x:c>
      <x:c r="E1143" s="2" t="str">
        <x:v>Stair opening deduction</x:v>
      </x:c>
      <x:c r="F1143" s="21" t="n">
        <x:v>1</x:v>
      </x:c>
      <x:c r="G1143" s="21" t="n">
        <x:f>'Controls'!$B$20</x:f>
        <x:v>4</x:v>
      </x:c>
      <x:c r="H1143" s="21" t="n">
        <x:f>'Controls'!$B$21</x:f>
        <x:v>6</x:v>
      </x:c>
      <x:c r="I1143" s="21" t="n">
        <x:v>1</x:v>
      </x:c>
      <x:c r="J1143" s="21" t="n">
        <x:v>-1</x:v>
      </x:c>
      <x:c r="K1143" s="21" t="n">
        <x:f>F1143*G1143*H1143*I1143*J1143</x:f>
        <x:v>-24</x:v>
      </x:c>
      <x:c r="L1143" s="2" t="str">
        <x:v>OP-01</x:v>
      </x:c>
      <x:c r="M1143" s="2"/>
      <x:c r="N1143" s="2"/>
      <x:c r="O1143" s="2"/>
      <x:c r="P1143" s="2"/>
      <x:c r="Q1143" s="2"/>
    </x:row>
    <x:row r="1144" ht="22" customHeight="1">
      <x:c r="A1144" s="7" t="str">
        <x:v>M1137</x:v>
      </x:c>
      <x:c r="B1144" s="7" t="str">
        <x:v>FW01</x:v>
      </x:c>
      <x:c r="C1144" s="7" t="str">
        <x:v>T4</x:v>
      </x:c>
      <x:c r="D1144" s="7" t="str">
        <x:v>L09</x:v>
      </x:c>
      <x:c r="E1144" s="7" t="str">
        <x:v>Beam soffit deduction</x:v>
      </x:c>
      <x:c r="F1144" s="20" t="n">
        <x:v>1</x:v>
      </x:c>
      <x:c r="G1144" s="20" t="n">
        <x:f>5*5*('Controls'!$B$10/5-'Controls'!$B$14)+6*4*('Controls'!$B$11/4-'Controls'!$B$15)</x:f>
        <x:v>269.5</x:v>
      </x:c>
      <x:c r="H1144" s="20" t="n">
        <x:f>'Controls'!$B$16</x:f>
        <x:v>0.3</x:v>
      </x:c>
      <x:c r="I1144" s="20" t="n">
        <x:v>1</x:v>
      </x:c>
      <x:c r="J1144" s="20" t="n">
        <x:v>-1</x:v>
      </x:c>
      <x:c r="K1144" s="20" t="n">
        <x:f>F1144*G1144*H1144*I1144*J1144</x:f>
        <x:v>-80.85</x:v>
      </x:c>
      <x:c r="L1144" s="7" t="str">
        <x:v>Beam forms measured in FW02</x:v>
      </x:c>
      <x:c r="M1144" s="2"/>
      <x:c r="N1144" s="2"/>
      <x:c r="O1144" s="2"/>
      <x:c r="P1144" s="2"/>
      <x:c r="Q1144" s="2"/>
    </x:row>
    <x:row r="1145" ht="22" customHeight="1">
      <x:c r="A1145" s="2" t="str">
        <x:v>M1138</x:v>
      </x:c>
      <x:c r="B1145" s="2" t="str">
        <x:v>FW03</x:v>
      </x:c>
      <x:c r="C1145" s="2" t="str">
        <x:v>T4</x:v>
      </x:c>
      <x:c r="D1145" s="2" t="str">
        <x:v>L09</x:v>
      </x:c>
      <x:c r="E1145" s="2" t="str">
        <x:v>Column four faces</x:v>
      </x:c>
      <x:c r="F1145" s="21" t="n">
        <x:v>30</x:v>
      </x:c>
      <x:c r="G1145" s="21" t="n">
        <x:f>2*('Controls'!$B$14+'Controls'!$B$15)</x:f>
        <x:v>2</x:v>
      </x:c>
      <x:c r="H1145" s="21" t="n">
        <x:f>'Controls'!$B$12-'Controls'!$B$13</x:f>
        <x:v>2.98</x:v>
      </x:c>
      <x:c r="I1145" s="21" t="n">
        <x:v>1</x:v>
      </x:c>
      <x:c r="J1145" s="21" t="n">
        <x:v>1</x:v>
      </x:c>
      <x:c r="K1145" s="21" t="n">
        <x:f>F1145*G1145*H1145*I1145*J1145</x:f>
        <x:v>178.8</x:v>
      </x:c>
      <x:c r="L1145" s="2" t="str">
        <x:v>Clear floor-to-soffit</x:v>
      </x:c>
      <x:c r="M1145" s="2"/>
      <x:c r="N1145" s="2"/>
      <x:c r="O1145" s="2"/>
      <x:c r="P1145" s="2"/>
      <x:c r="Q1145" s="2"/>
    </x:row>
    <x:row r="1146" ht="22" customHeight="1">
      <x:c r="A1146" s="7" t="str">
        <x:v>M1139</x:v>
      </x:c>
      <x:c r="B1146" s="7" t="str">
        <x:v>FW04</x:v>
      </x:c>
      <x:c r="C1146" s="7" t="str">
        <x:v>T4</x:v>
      </x:c>
      <x:c r="D1146" s="7" t="str">
        <x:v>L09</x:v>
      </x:c>
      <x:c r="E1146" s="7" t="str">
        <x:v>Core wall two faces</x:v>
      </x:c>
      <x:c r="F1146" s="20" t="n">
        <x:v>2</x:v>
      </x:c>
      <x:c r="G1146" s="20" t="n">
        <x:f>'Controls'!$B$19</x:f>
        <x:v>24</x:v>
      </x:c>
      <x:c r="H1146" s="20" t="n">
        <x:f>'Controls'!$B$12-'Controls'!$B$13</x:f>
        <x:v>2.98</x:v>
      </x:c>
      <x:c r="I1146" s="20" t="n">
        <x:v>1</x:v>
      </x:c>
      <x:c r="J1146" s="20" t="n">
        <x:v>1</x:v>
      </x:c>
      <x:c r="K1146" s="20" t="n">
        <x:f>F1146*G1146*H1146*I1146*J1146</x:f>
        <x:v>143.04</x:v>
      </x:c>
      <x:c r="L1146" s="7" t="str">
        <x:v>Net perimeter, no repeated corners</x:v>
      </x:c>
      <x:c r="M1146" s="2"/>
      <x:c r="N1146" s="2"/>
      <x:c r="O1146" s="2"/>
      <x:c r="P1146" s="2"/>
      <x:c r="Q1146" s="2"/>
    </x:row>
    <x:row r="1147" ht="22" customHeight="1">
      <x:c r="A1147" s="2" t="str">
        <x:v>M1140</x:v>
      </x:c>
      <x:c r="B1147" s="2" t="str">
        <x:v>AR01</x:v>
      </x:c>
      <x:c r="C1147" s="2" t="str">
        <x:v>T4</x:v>
      </x:c>
      <x:c r="D1147" s="2" t="str">
        <x:v>L09</x:v>
      </x:c>
      <x:c r="E1147" s="2" t="str">
        <x:v>Partition walls gross</x:v>
      </x:c>
      <x:c r="F1147" s="21" t="n">
        <x:v>1</x:v>
      </x:c>
      <x:c r="G1147" s="21" t="n">
        <x:f>'Controls'!$B$45</x:f>
        <x:v>220</x:v>
      </x:c>
      <x:c r="H1147" s="21" t="n">
        <x:f>'Controls'!$B$12-'Controls'!$B$13</x:f>
        <x:v>2.98</x:v>
      </x:c>
      <x:c r="I1147" s="21" t="n">
        <x:f>'Controls'!$B$46</x:f>
        <x:v>0.15</x:v>
      </x:c>
      <x:c r="J1147" s="21" t="n">
        <x:v>1</x:v>
      </x:c>
      <x:c r="K1147" s="21" t="n">
        <x:f>F1147*G1147*H1147*I1147*J1147</x:f>
        <x:v>98.34</x:v>
      </x:c>
      <x:c r="L1147" s="2" t="str">
        <x:v>Net openings deducted below</x:v>
      </x:c>
      <x:c r="M1147" s="2"/>
      <x:c r="N1147" s="2"/>
      <x:c r="O1147" s="2"/>
      <x:c r="P1147" s="2"/>
      <x:c r="Q1147" s="2"/>
    </x:row>
    <x:row r="1148" ht="22" customHeight="1">
      <x:c r="A1148" s="7" t="str">
        <x:v>M1141</x:v>
      </x:c>
      <x:c r="B1148" s="7" t="str">
        <x:v>AR01</x:v>
      </x:c>
      <x:c r="C1148" s="7" t="str">
        <x:v>T4</x:v>
      </x:c>
      <x:c r="D1148" s="7" t="str">
        <x:v>L09</x:v>
      </x:c>
      <x:c r="E1148" s="7" t="str">
        <x:v>Internal doors deduction</x:v>
      </x:c>
      <x:c r="F1148" s="20" t="n">
        <x:f>'Controls'!$B$48</x:f>
        <x:v>28</x:v>
      </x:c>
      <x:c r="G1148" s="20" t="n">
        <x:f>'Controls'!$B$49</x:f>
        <x:v>0.9</x:v>
      </x:c>
      <x:c r="H1148" s="20" t="n">
        <x:f>'Controls'!$B$50</x:f>
        <x:v>2.1</x:v>
      </x:c>
      <x:c r="I1148" s="20" t="n">
        <x:f>'Controls'!$B$46</x:f>
        <x:v>0.15</x:v>
      </x:c>
      <x:c r="J1148" s="20" t="n">
        <x:v>-1</x:v>
      </x:c>
      <x:c r="K1148" s="20" t="n">
        <x:f>F1148*G1148*H1148*I1148*J1148</x:f>
        <x:v>-7.938</x:v>
      </x:c>
      <x:c r="L1148" s="7" t="str">
        <x:v>28 doors per floor, OP-02</x:v>
      </x:c>
      <x:c r="M1148" s="2"/>
      <x:c r="N1148" s="2"/>
      <x:c r="O1148" s="2"/>
      <x:c r="P1148" s="2"/>
      <x:c r="Q1148" s="2"/>
    </x:row>
    <x:row r="1149" ht="22" customHeight="1">
      <x:c r="A1149" s="2" t="str">
        <x:v>M1142</x:v>
      </x:c>
      <x:c r="B1149" s="2" t="str">
        <x:v>AR02</x:v>
      </x:c>
      <x:c r="C1149" s="2" t="str">
        <x:v>T4</x:v>
      </x:c>
      <x:c r="D1149" s="2" t="str">
        <x:v>L09</x:v>
      </x:c>
      <x:c r="E1149" s="2" t="str">
        <x:v>Internal plaster gross</x:v>
      </x:c>
      <x:c r="F1149" s="21" t="n">
        <x:v>2</x:v>
      </x:c>
      <x:c r="G1149" s="21" t="n">
        <x:f>'Controls'!$B$45</x:f>
        <x:v>220</x:v>
      </x:c>
      <x:c r="H1149" s="21" t="n">
        <x:f>'Controls'!$B$12-'Controls'!$B$13</x:f>
        <x:v>2.98</x:v>
      </x:c>
      <x:c r="I1149" s="21" t="n">
        <x:v>1</x:v>
      </x:c>
      <x:c r="J1149" s="21" t="n">
        <x:v>1</x:v>
      </x:c>
      <x:c r="K1149" s="21" t="n">
        <x:f>F1149*G1149*H1149*I1149*J1149</x:f>
        <x:v>1311.2</x:v>
      </x:c>
      <x:c r="L1149" s="2" t="str">
        <x:v>Both faces of partition walls</x:v>
      </x:c>
      <x:c r="M1149" s="2"/>
      <x:c r="N1149" s="2"/>
      <x:c r="O1149" s="2"/>
      <x:c r="P1149" s="2"/>
      <x:c r="Q1149" s="2"/>
    </x:row>
    <x:row r="1150" ht="22" customHeight="1">
      <x:c r="A1150" s="7" t="str">
        <x:v>M1143</x:v>
      </x:c>
      <x:c r="B1150" s="7" t="str">
        <x:v>AR02</x:v>
      </x:c>
      <x:c r="C1150" s="7" t="str">
        <x:v>T4</x:v>
      </x:c>
      <x:c r="D1150" s="7" t="str">
        <x:v>L09</x:v>
      </x:c>
      <x:c r="E1150" s="7" t="str">
        <x:v>Door area deduction both faces</x:v>
      </x:c>
      <x:c r="F1150" s="20" t="n">
        <x:f>2*'Controls'!$B$48</x:f>
        <x:v>56</x:v>
      </x:c>
      <x:c r="G1150" s="20" t="n">
        <x:f>'Controls'!$B$49</x:f>
        <x:v>0.9</x:v>
      </x:c>
      <x:c r="H1150" s="20" t="n">
        <x:f>'Controls'!$B$50</x:f>
        <x:v>2.1</x:v>
      </x:c>
      <x:c r="I1150" s="20" t="n">
        <x:v>1</x:v>
      </x:c>
      <x:c r="J1150" s="20" t="n">
        <x:v>-1</x:v>
      </x:c>
      <x:c r="K1150" s="20" t="n">
        <x:f>F1150*G1150*H1150*I1150*J1150</x:f>
        <x:v>-105.84</x:v>
      </x:c>
      <x:c r="L1150" s="7" t="str">
        <x:v>No plaster over openings</x:v>
      </x:c>
      <x:c r="M1150" s="2"/>
      <x:c r="N1150" s="2"/>
      <x:c r="O1150" s="2"/>
      <x:c r="P1150" s="2"/>
      <x:c r="Q1150" s="2"/>
    </x:row>
    <x:row r="1151" ht="22" customHeight="1">
      <x:c r="A1151" s="2" t="str">
        <x:v>M1144</x:v>
      </x:c>
      <x:c r="B1151" s="2" t="str">
        <x:v>AR03</x:v>
      </x:c>
      <x:c r="C1151" s="2" t="str">
        <x:v>T4</x:v>
      </x:c>
      <x:c r="D1151" s="2" t="str">
        <x:v>L09</x:v>
      </x:c>
      <x:c r="E1151" s="2" t="str">
        <x:v>Floor screed net</x:v>
      </x:c>
      <x:c r="F1151" s="21" t="n">
        <x:v>1</x:v>
      </x:c>
      <x:c r="G1151" s="21" t="n">
        <x:f>'Controls'!$B$10*'Controls'!$B$11-'Controls'!$B$20*'Controls'!$B$21</x:f>
        <x:v>696</x:v>
      </x:c>
      <x:c r="H1151" s="21" t="n">
        <x:v>1</x:v>
      </x:c>
      <x:c r="I1151" s="21" t="n">
        <x:v>1</x:v>
      </x:c>
      <x:c r="J1151" s="21" t="n">
        <x:v>1</x:v>
      </x:c>
      <x:c r="K1151" s="21" t="n">
        <x:f>F1151*G1151*H1151*I1151*J1151</x:f>
        <x:v>696</x:v>
      </x:c>
      <x:c r="L1151" s="2" t="str">
        <x:v>Net structural floor area</x:v>
      </x:c>
      <x:c r="M1151" s="2"/>
      <x:c r="N1151" s="2"/>
      <x:c r="O1151" s="2"/>
      <x:c r="P1151" s="2"/>
      <x:c r="Q1151" s="2"/>
    </x:row>
    <x:row r="1152" ht="22" customHeight="1">
      <x:c r="A1152" s="7" t="str">
        <x:v>M1145</x:v>
      </x:c>
      <x:c r="B1152" s="7" t="str">
        <x:v>AR04</x:v>
      </x:c>
      <x:c r="C1152" s="7" t="str">
        <x:v>T4</x:v>
      </x:c>
      <x:c r="D1152" s="7" t="str">
        <x:v>L09</x:v>
      </x:c>
      <x:c r="E1152" s="7" t="str">
        <x:v>Floor finish net</x:v>
      </x:c>
      <x:c r="F1152" s="20" t="n">
        <x:v>1</x:v>
      </x:c>
      <x:c r="G1152" s="20" t="n">
        <x:f>'Controls'!$B$10*'Controls'!$B$11-'Controls'!$B$20*'Controls'!$B$21</x:f>
        <x:v>696</x:v>
      </x:c>
      <x:c r="H1152" s="20" t="n">
        <x:v>1</x:v>
      </x:c>
      <x:c r="I1152" s="20" t="n">
        <x:v>1</x:v>
      </x:c>
      <x:c r="J1152" s="20" t="n">
        <x:v>1</x:v>
      </x:c>
      <x:c r="K1152" s="20" t="n">
        <x:f>F1152*G1152*H1152*I1152*J1152</x:f>
        <x:v>696</x:v>
      </x:c>
      <x:c r="L1152" s="7" t="str">
        <x:v>Waste excluded from BOQ</x:v>
      </x:c>
      <x:c r="M1152" s="2"/>
      <x:c r="N1152" s="2"/>
      <x:c r="O1152" s="2"/>
      <x:c r="P1152" s="2"/>
      <x:c r="Q1152" s="2"/>
    </x:row>
    <x:row r="1153" ht="22" customHeight="1">
      <x:c r="A1153" s="2" t="str">
        <x:v>M1146</x:v>
      </x:c>
      <x:c r="B1153" s="2" t="str">
        <x:v>AR05</x:v>
      </x:c>
      <x:c r="C1153" s="2" t="str">
        <x:v>T4</x:v>
      </x:c>
      <x:c r="D1153" s="2" t="str">
        <x:v>L09</x:v>
      </x:c>
      <x:c r="E1153" s="2" t="str">
        <x:v>Internal wall paint net</x:v>
      </x:c>
      <x:c r="F1153" s="21" t="n">
        <x:v>2</x:v>
      </x:c>
      <x:c r="G1153" s="21" t="n">
        <x:f>'Controls'!$B$45*('Controls'!$B$12-'Controls'!$B$13)-'Controls'!$B$48*'Controls'!$B$49*'Controls'!$B$50</x:f>
        <x:v>602.6800000000001</x:v>
      </x:c>
      <x:c r="H1153" s="21" t="n">
        <x:v>1</x:v>
      </x:c>
      <x:c r="I1153" s="21" t="n">
        <x:v>1</x:v>
      </x:c>
      <x:c r="J1153" s="21" t="n">
        <x:v>1</x:v>
      </x:c>
      <x:c r="K1153" s="21" t="n">
        <x:f>F1153*G1153*H1153*I1153*J1153</x:f>
        <x:v>1205.3600000000001</x:v>
      </x:c>
      <x:c r="L1153" s="2" t="str">
        <x:v>Finished area; two coats priced in rate</x:v>
      </x:c>
      <x:c r="M1153" s="2"/>
      <x:c r="N1153" s="2"/>
      <x:c r="O1153" s="2"/>
      <x:c r="P1153" s="2"/>
      <x:c r="Q1153" s="2"/>
    </x:row>
    <x:row r="1154" ht="22" customHeight="1">
      <x:c r="A1154" s="7" t="str">
        <x:v>M1147</x:v>
      </x:c>
      <x:c r="B1154" s="7" t="str">
        <x:v>AR06</x:v>
      </x:c>
      <x:c r="C1154" s="7" t="str">
        <x:v>T4</x:v>
      </x:c>
      <x:c r="D1154" s="7" t="str">
        <x:v>L09</x:v>
      </x:c>
      <x:c r="E1154" s="7" t="str">
        <x:v>Door sets</x:v>
      </x:c>
      <x:c r="F1154" s="20" t="n">
        <x:f>'Controls'!$B$48</x:f>
        <x:v>28</x:v>
      </x:c>
      <x:c r="G1154" s="20" t="n">
        <x:v>1</x:v>
      </x:c>
      <x:c r="H1154" s="20" t="n">
        <x:v>1</x:v>
      </x:c>
      <x:c r="I1154" s="20" t="n">
        <x:v>1</x:v>
      </x:c>
      <x:c r="J1154" s="20" t="n">
        <x:v>1</x:v>
      </x:c>
      <x:c r="K1154" s="20" t="n">
        <x:f>F1154*G1154*H1154*I1154*J1154</x:f>
        <x:v>28</x:v>
      </x:c>
      <x:c r="L1154" s="7" t="str">
        <x:v>Door count, not double face</x:v>
      </x:c>
      <x:c r="M1154" s="2"/>
      <x:c r="N1154" s="2"/>
      <x:c r="O1154" s="2"/>
      <x:c r="P1154" s="2"/>
      <x:c r="Q1154" s="2"/>
    </x:row>
    <x:row r="1155" ht="22" customHeight="1">
      <x:c r="A1155" s="2" t="str">
        <x:v>M1148</x:v>
      </x:c>
      <x:c r="B1155" s="2" t="str">
        <x:v>RC03</x:v>
      </x:c>
      <x:c r="C1155" s="2" t="str">
        <x:v>T4</x:v>
      </x:c>
      <x:c r="D1155" s="2" t="str">
        <x:v>L10</x:v>
      </x:c>
      <x:c r="E1155" s="2" t="str">
        <x:v>Floor slab gross</x:v>
      </x:c>
      <x:c r="F1155" s="21" t="n">
        <x:v>1</x:v>
      </x:c>
      <x:c r="G1155" s="21" t="n">
        <x:f>'Controls'!$B$10</x:f>
        <x:v>30</x:v>
      </x:c>
      <x:c r="H1155" s="21" t="n">
        <x:f>'Controls'!$B$11</x:f>
        <x:v>24</x:v>
      </x:c>
      <x:c r="I1155" s="21" t="n">
        <x:f>'Controls'!$B$13</x:f>
        <x:v>0.22</x:v>
      </x:c>
      <x:c r="J1155" s="21" t="n">
        <x:v>1</x:v>
      </x:c>
      <x:c r="K1155" s="21" t="n">
        <x:f>F1155*G1155*H1155*I1155*J1155</x:f>
        <x:v>158.4</x:v>
      </x:c>
      <x:c r="L1155" s="2" t="str">
        <x:v>Slab includes beam top flange; downstand separate</x:v>
      </x:c>
      <x:c r="M1155" s="2"/>
      <x:c r="N1155" s="2"/>
      <x:c r="O1155" s="2"/>
      <x:c r="P1155" s="2"/>
      <x:c r="Q1155" s="2"/>
    </x:row>
    <x:row r="1156" ht="22" customHeight="1">
      <x:c r="A1156" s="7" t="str">
        <x:v>M1149</x:v>
      </x:c>
      <x:c r="B1156" s="7" t="str">
        <x:v>RC03</x:v>
      </x:c>
      <x:c r="C1156" s="7" t="str">
        <x:v>T4</x:v>
      </x:c>
      <x:c r="D1156" s="7" t="str">
        <x:v>L10</x:v>
      </x:c>
      <x:c r="E1156" s="7" t="str">
        <x:v>Stair opening deduction</x:v>
      </x:c>
      <x:c r="F1156" s="20" t="n">
        <x:v>1</x:v>
      </x:c>
      <x:c r="G1156" s="20" t="n">
        <x:f>'Controls'!$B$20</x:f>
        <x:v>4</x:v>
      </x:c>
      <x:c r="H1156" s="20" t="n">
        <x:f>'Controls'!$B$21</x:f>
        <x:v>6</x:v>
      </x:c>
      <x:c r="I1156" s="20" t="n">
        <x:f>'Controls'!$B$13</x:f>
        <x:v>0.22</x:v>
      </x:c>
      <x:c r="J1156" s="20" t="n">
        <x:v>-1</x:v>
      </x:c>
      <x:c r="K1156" s="20" t="n">
        <x:f>F1156*G1156*H1156*I1156*J1156</x:f>
        <x:v>-5.28</x:v>
      </x:c>
      <x:c r="L1156" s="7" t="str">
        <x:v>Opening OP-01</x:v>
      </x:c>
      <x:c r="M1156" s="2"/>
      <x:c r="N1156" s="2"/>
      <x:c r="O1156" s="2"/>
      <x:c r="P1156" s="2"/>
      <x:c r="Q1156" s="2"/>
    </x:row>
    <x:row r="1157" ht="22" customHeight="1">
      <x:c r="A1157" s="2" t="str">
        <x:v>M1150</x:v>
      </x:c>
      <x:c r="B1157" s="2" t="str">
        <x:v>RC04</x:v>
      </x:c>
      <x:c r="C1157" s="2" t="str">
        <x:v>T4</x:v>
      </x:c>
      <x:c r="D1157" s="2" t="str">
        <x:v>L10</x:v>
      </x:c>
      <x:c r="E1157" s="2" t="str">
        <x:v>Beam downstands X</x:v>
      </x:c>
      <x:c r="F1157" s="21" t="n">
        <x:v>1</x:v>
      </x:c>
      <x:c r="G1157" s="21" t="n">
        <x:f>5*5*('Controls'!$B$10/5-'Controls'!$B$14)</x:f>
        <x:v>137.5</x:v>
      </x:c>
      <x:c r="H1157" s="21" t="n">
        <x:f>'Controls'!$B$16</x:f>
        <x:v>0.3</x:v>
      </x:c>
      <x:c r="I1157" s="21" t="n">
        <x:f>'Controls'!$B$17-'Controls'!$B$13</x:f>
        <x:v>0.38</x:v>
      </x:c>
      <x:c r="J1157" s="21" t="n">
        <x:v>1</x:v>
      </x:c>
      <x:c r="K1157" s="21" t="n">
        <x:f>F1157*G1157*H1157*I1157*J1157</x:f>
        <x:v>15.675</x:v>
      </x:c>
      <x:c r="L1157" s="2" t="str">
        <x:v>Clear spans between column faces; no joint overlap</x:v>
      </x:c>
      <x:c r="M1157" s="2"/>
      <x:c r="N1157" s="2"/>
      <x:c r="O1157" s="2"/>
      <x:c r="P1157" s="2"/>
      <x:c r="Q1157" s="2"/>
    </x:row>
    <x:row r="1158" ht="22" customHeight="1">
      <x:c r="A1158" s="7" t="str">
        <x:v>M1151</x:v>
      </x:c>
      <x:c r="B1158" s="7" t="str">
        <x:v>FW02</x:v>
      </x:c>
      <x:c r="C1158" s="7" t="str">
        <x:v>T4</x:v>
      </x:c>
      <x:c r="D1158" s="7" t="str">
        <x:v>L10</x:v>
      </x:c>
      <x:c r="E1158" s="7" t="str">
        <x:v>Beam forms X</x:v>
      </x:c>
      <x:c r="F1158" s="20" t="n">
        <x:v>1</x:v>
      </x:c>
      <x:c r="G1158" s="20" t="n">
        <x:f>5*5*('Controls'!$B$10/5-'Controls'!$B$14)</x:f>
        <x:v>137.5</x:v>
      </x:c>
      <x:c r="H1158" s="20" t="n">
        <x:f>'Controls'!$B$16+2*('Controls'!$B$17-'Controls'!$B$13)</x:f>
        <x:v>1.06</x:v>
      </x:c>
      <x:c r="I1158" s="20" t="n">
        <x:v>1</x:v>
      </x:c>
      <x:c r="J1158" s="20" t="n">
        <x:v>1</x:v>
      </x:c>
      <x:c r="K1158" s="20" t="n">
        <x:f>F1158*G1158*H1158*I1158*J1158</x:f>
        <x:v>145.75</x:v>
      </x:c>
      <x:c r="L1158" s="7" t="str">
        <x:v>Soffit plus two downstand sides</x:v>
      </x:c>
      <x:c r="M1158" s="2"/>
      <x:c r="N1158" s="2"/>
      <x:c r="O1158" s="2"/>
      <x:c r="P1158" s="2"/>
      <x:c r="Q1158" s="2"/>
    </x:row>
    <x:row r="1159" ht="22" customHeight="1">
      <x:c r="A1159" s="2" t="str">
        <x:v>M1152</x:v>
      </x:c>
      <x:c r="B1159" s="2" t="str">
        <x:v>RC04</x:v>
      </x:c>
      <x:c r="C1159" s="2" t="str">
        <x:v>T4</x:v>
      </x:c>
      <x:c r="D1159" s="2" t="str">
        <x:v>L10</x:v>
      </x:c>
      <x:c r="E1159" s="2" t="str">
        <x:v>Beam downstands Y</x:v>
      </x:c>
      <x:c r="F1159" s="21" t="n">
        <x:v>1</x:v>
      </x:c>
      <x:c r="G1159" s="21" t="n">
        <x:f>6*4*('Controls'!$B$11/4-'Controls'!$B$15)</x:f>
        <x:v>132</x:v>
      </x:c>
      <x:c r="H1159" s="21" t="n">
        <x:f>'Controls'!$B$16</x:f>
        <x:v>0.3</x:v>
      </x:c>
      <x:c r="I1159" s="21" t="n">
        <x:f>'Controls'!$B$17-'Controls'!$B$13</x:f>
        <x:v>0.38</x:v>
      </x:c>
      <x:c r="J1159" s="21" t="n">
        <x:v>1</x:v>
      </x:c>
      <x:c r="K1159" s="21" t="n">
        <x:f>F1159*G1159*H1159*I1159*J1159</x:f>
        <x:v>15.048</x:v>
      </x:c>
      <x:c r="L1159" s="2" t="str">
        <x:v>Clear spans between column faces; no joint overlap</x:v>
      </x:c>
      <x:c r="M1159" s="2"/>
      <x:c r="N1159" s="2"/>
      <x:c r="O1159" s="2"/>
      <x:c r="P1159" s="2"/>
      <x:c r="Q1159" s="2"/>
    </x:row>
    <x:row r="1160" ht="22" customHeight="1">
      <x:c r="A1160" s="7" t="str">
        <x:v>M1153</x:v>
      </x:c>
      <x:c r="B1160" s="7" t="str">
        <x:v>FW02</x:v>
      </x:c>
      <x:c r="C1160" s="7" t="str">
        <x:v>T4</x:v>
      </x:c>
      <x:c r="D1160" s="7" t="str">
        <x:v>L10</x:v>
      </x:c>
      <x:c r="E1160" s="7" t="str">
        <x:v>Beam forms Y</x:v>
      </x:c>
      <x:c r="F1160" s="20" t="n">
        <x:v>1</x:v>
      </x:c>
      <x:c r="G1160" s="20" t="n">
        <x:f>6*4*('Controls'!$B$11/4-'Controls'!$B$15)</x:f>
        <x:v>132</x:v>
      </x:c>
      <x:c r="H1160" s="20" t="n">
        <x:f>'Controls'!$B$16+2*('Controls'!$B$17-'Controls'!$B$13)</x:f>
        <x:v>1.06</x:v>
      </x:c>
      <x:c r="I1160" s="20" t="n">
        <x:v>1</x:v>
      </x:c>
      <x:c r="J1160" s="20" t="n">
        <x:v>1</x:v>
      </x:c>
      <x:c r="K1160" s="20" t="n">
        <x:f>F1160*G1160*H1160*I1160*J1160</x:f>
        <x:v>139.92000000000002</x:v>
      </x:c>
      <x:c r="L1160" s="7" t="str">
        <x:v>Soffit plus two downstand sides</x:v>
      </x:c>
      <x:c r="M1160" s="2"/>
      <x:c r="N1160" s="2"/>
      <x:c r="O1160" s="2"/>
      <x:c r="P1160" s="2"/>
      <x:c r="Q1160" s="2"/>
    </x:row>
    <x:row r="1161" ht="22" customHeight="1">
      <x:c r="A1161" s="2" t="str">
        <x:v>M1154</x:v>
      </x:c>
      <x:c r="B1161" s="2" t="str">
        <x:v>RC05</x:v>
      </x:c>
      <x:c r="C1161" s="2" t="str">
        <x:v>T4</x:v>
      </x:c>
      <x:c r="D1161" s="2" t="str">
        <x:v>L10</x:v>
      </x:c>
      <x:c r="E1161" s="2" t="str">
        <x:v>Thirty columns, clear storey</x:v>
      </x:c>
      <x:c r="F1161" s="21" t="n">
        <x:v>30</x:v>
      </x:c>
      <x:c r="G1161" s="21" t="n">
        <x:f>'Controls'!$B$14</x:f>
        <x:v>0.5</x:v>
      </x:c>
      <x:c r="H1161" s="21" t="n">
        <x:f>'Controls'!$B$15</x:f>
        <x:v>0.5</x:v>
      </x:c>
      <x:c r="I1161" s="21" t="n">
        <x:f>'Controls'!$B$12-'Controls'!$B$13</x:f>
        <x:v>2.98</x:v>
      </x:c>
      <x:c r="J1161" s="21" t="n">
        <x:v>1</x:v>
      </x:c>
      <x:c r="K1161" s="21" t="n">
        <x:f>F1161*G1161*H1161*I1161*J1161</x:f>
        <x:v>22.35</x:v>
      </x:c>
      <x:c r="L1161" s="2" t="str">
        <x:v>Slab volume excluded from columns</x:v>
      </x:c>
      <x:c r="M1161" s="2"/>
      <x:c r="N1161" s="2"/>
      <x:c r="O1161" s="2"/>
      <x:c r="P1161" s="2"/>
      <x:c r="Q1161" s="2"/>
    </x:row>
    <x:row r="1162" ht="22" customHeight="1">
      <x:c r="A1162" s="7" t="str">
        <x:v>M1155</x:v>
      </x:c>
      <x:c r="B1162" s="7" t="str">
        <x:v>RC06</x:v>
      </x:c>
      <x:c r="C1162" s="7" t="str">
        <x:v>T4</x:v>
      </x:c>
      <x:c r="D1162" s="7" t="str">
        <x:v>L10</x:v>
      </x:c>
      <x:c r="E1162" s="7" t="str">
        <x:v>Core walls clear storey</x:v>
      </x:c>
      <x:c r="F1162" s="20" t="n">
        <x:v>1</x:v>
      </x:c>
      <x:c r="G1162" s="20" t="n">
        <x:f>'Controls'!$B$19</x:f>
        <x:v>24</x:v>
      </x:c>
      <x:c r="H1162" s="20" t="n">
        <x:f>'Controls'!$B$18</x:f>
        <x:v>0.25</x:v>
      </x:c>
      <x:c r="I1162" s="20" t="n">
        <x:f>'Controls'!$B$12-'Controls'!$B$13</x:f>
        <x:v>2.98</x:v>
      </x:c>
      <x:c r="J1162" s="20" t="n">
        <x:v>1</x:v>
      </x:c>
      <x:c r="K1162" s="20" t="n">
        <x:f>F1162*G1162*H1162*I1162*J1162</x:f>
        <x:v>17.88</x:v>
      </x:c>
      <x:c r="L1162" s="7" t="str">
        <x:v>Net clear wall length excludes corners</x:v>
      </x:c>
      <x:c r="M1162" s="2"/>
      <x:c r="N1162" s="2"/>
      <x:c r="O1162" s="2"/>
      <x:c r="P1162" s="2"/>
      <x:c r="Q1162" s="2"/>
    </x:row>
    <x:row r="1163" ht="22" customHeight="1">
      <x:c r="A1163" s="2" t="str">
        <x:v>M1156</x:v>
      </x:c>
      <x:c r="B1163" s="2" t="str">
        <x:v>RC07</x:v>
      </x:c>
      <x:c r="C1163" s="2" t="str">
        <x:v>T4</x:v>
      </x:c>
      <x:c r="D1163" s="2" t="str">
        <x:v>L10</x:v>
      </x:c>
      <x:c r="E1163" s="2" t="str">
        <x:v>Stair flights waist</x:v>
      </x:c>
      <x:c r="F1163" s="21" t="n">
        <x:v>2</x:v>
      </x:c>
      <x:c r="G1163" s="21" t="n">
        <x:v>4.1</x:v>
      </x:c>
      <x:c r="H1163" s="21" t="n">
        <x:v>1.2</x:v>
      </x:c>
      <x:c r="I1163" s="21" t="n">
        <x:v>0.18</x:v>
      </x:c>
      <x:c r="J1163" s="21" t="n">
        <x:v>1</x:v>
      </x:c>
      <x:c r="K1163" s="21" t="n">
        <x:f>F1163*G1163*H1163*I1163*J1163</x:f>
        <x:v>1.7711999999999997</x:v>
      </x:c>
      <x:c r="L1163" s="2" t="str">
        <x:v>Two flights; geometry separate from floor slab</x:v>
      </x:c>
      <x:c r="M1163" s="2"/>
      <x:c r="N1163" s="2"/>
      <x:c r="O1163" s="2"/>
      <x:c r="P1163" s="2"/>
      <x:c r="Q1163" s="2"/>
    </x:row>
    <x:row r="1164" ht="22" customHeight="1">
      <x:c r="A1164" s="7" t="str">
        <x:v>M1157</x:v>
      </x:c>
      <x:c r="B1164" s="7" t="str">
        <x:v>RC07</x:v>
      </x:c>
      <x:c r="C1164" s="7" t="str">
        <x:v>T4</x:v>
      </x:c>
      <x:c r="D1164" s="7" t="str">
        <x:v>L10</x:v>
      </x:c>
      <x:c r="E1164" s="7" t="str">
        <x:v>Stair landings</x:v>
      </x:c>
      <x:c r="F1164" s="20" t="n">
        <x:v>2</x:v>
      </x:c>
      <x:c r="G1164" s="20" t="n">
        <x:v>2</x:v>
      </x:c>
      <x:c r="H1164" s="20" t="n">
        <x:v>1.2</x:v>
      </x:c>
      <x:c r="I1164" s="20" t="n">
        <x:v>0.18</x:v>
      </x:c>
      <x:c r="J1164" s="20" t="n">
        <x:v>1</x:v>
      </x:c>
      <x:c r="K1164" s="20" t="n">
        <x:f>F1164*G1164*H1164*I1164*J1164</x:f>
        <x:v>0.864</x:v>
      </x:c>
      <x:c r="L1164" s="7" t="str">
        <x:v>Within stair opening</x:v>
      </x:c>
      <x:c r="M1164" s="2"/>
      <x:c r="N1164" s="2"/>
      <x:c r="O1164" s="2"/>
      <x:c r="P1164" s="2"/>
      <x:c r="Q1164" s="2"/>
    </x:row>
    <x:row r="1165" ht="22" customHeight="1">
      <x:c r="A1165" s="2" t="str">
        <x:v>M1158</x:v>
      </x:c>
      <x:c r="B1165" s="2" t="str">
        <x:v>FW01</x:v>
      </x:c>
      <x:c r="C1165" s="2" t="str">
        <x:v>T4</x:v>
      </x:c>
      <x:c r="D1165" s="2" t="str">
        <x:v>L10</x:v>
      </x:c>
      <x:c r="E1165" s="2" t="str">
        <x:v>Slab soffit gross</x:v>
      </x:c>
      <x:c r="F1165" s="21" t="n">
        <x:v>1</x:v>
      </x:c>
      <x:c r="G1165" s="21" t="n">
        <x:f>'Controls'!$B$10</x:f>
        <x:v>30</x:v>
      </x:c>
      <x:c r="H1165" s="21" t="n">
        <x:f>'Controls'!$B$11</x:f>
        <x:v>24</x:v>
      </x:c>
      <x:c r="I1165" s="21" t="n">
        <x:v>1</x:v>
      </x:c>
      <x:c r="J1165" s="21" t="n">
        <x:v>1</x:v>
      </x:c>
      <x:c r="K1165" s="21" t="n">
        <x:f>F1165*G1165*H1165*I1165*J1165</x:f>
        <x:v>720</x:v>
      </x:c>
      <x:c r="L1165" s="2" t="str">
        <x:v>Beam soffit deducted below</x:v>
      </x:c>
      <x:c r="M1165" s="2"/>
      <x:c r="N1165" s="2"/>
      <x:c r="O1165" s="2"/>
      <x:c r="P1165" s="2"/>
      <x:c r="Q1165" s="2"/>
    </x:row>
    <x:row r="1166" ht="22" customHeight="1">
      <x:c r="A1166" s="7" t="str">
        <x:v>M1159</x:v>
      </x:c>
      <x:c r="B1166" s="7" t="str">
        <x:v>FW01</x:v>
      </x:c>
      <x:c r="C1166" s="7" t="str">
        <x:v>T4</x:v>
      </x:c>
      <x:c r="D1166" s="7" t="str">
        <x:v>L10</x:v>
      </x:c>
      <x:c r="E1166" s="7" t="str">
        <x:v>Stair opening deduction</x:v>
      </x:c>
      <x:c r="F1166" s="20" t="n">
        <x:v>1</x:v>
      </x:c>
      <x:c r="G1166" s="20" t="n">
        <x:f>'Controls'!$B$20</x:f>
        <x:v>4</x:v>
      </x:c>
      <x:c r="H1166" s="20" t="n">
        <x:f>'Controls'!$B$21</x:f>
        <x:v>6</x:v>
      </x:c>
      <x:c r="I1166" s="20" t="n">
        <x:v>1</x:v>
      </x:c>
      <x:c r="J1166" s="20" t="n">
        <x:v>-1</x:v>
      </x:c>
      <x:c r="K1166" s="20" t="n">
        <x:f>F1166*G1166*H1166*I1166*J1166</x:f>
        <x:v>-24</x:v>
      </x:c>
      <x:c r="L1166" s="7" t="str">
        <x:v>OP-01</x:v>
      </x:c>
      <x:c r="M1166" s="2"/>
      <x:c r="N1166" s="2"/>
      <x:c r="O1166" s="2"/>
      <x:c r="P1166" s="2"/>
      <x:c r="Q1166" s="2"/>
    </x:row>
    <x:row r="1167" ht="22" customHeight="1">
      <x:c r="A1167" s="2" t="str">
        <x:v>M1160</x:v>
      </x:c>
      <x:c r="B1167" s="2" t="str">
        <x:v>FW01</x:v>
      </x:c>
      <x:c r="C1167" s="2" t="str">
        <x:v>T4</x:v>
      </x:c>
      <x:c r="D1167" s="2" t="str">
        <x:v>L10</x:v>
      </x:c>
      <x:c r="E1167" s="2" t="str">
        <x:v>Beam soffit deduction</x:v>
      </x:c>
      <x:c r="F1167" s="21" t="n">
        <x:v>1</x:v>
      </x:c>
      <x:c r="G1167" s="21" t="n">
        <x:f>5*5*('Controls'!$B$10/5-'Controls'!$B$14)+6*4*('Controls'!$B$11/4-'Controls'!$B$15)</x:f>
        <x:v>269.5</x:v>
      </x:c>
      <x:c r="H1167" s="21" t="n">
        <x:f>'Controls'!$B$16</x:f>
        <x:v>0.3</x:v>
      </x:c>
      <x:c r="I1167" s="21" t="n">
        <x:v>1</x:v>
      </x:c>
      <x:c r="J1167" s="21" t="n">
        <x:v>-1</x:v>
      </x:c>
      <x:c r="K1167" s="21" t="n">
        <x:f>F1167*G1167*H1167*I1167*J1167</x:f>
        <x:v>-80.85</x:v>
      </x:c>
      <x:c r="L1167" s="2" t="str">
        <x:v>Beam forms measured in FW02</x:v>
      </x:c>
      <x:c r="M1167" s="2"/>
      <x:c r="N1167" s="2"/>
      <x:c r="O1167" s="2"/>
      <x:c r="P1167" s="2"/>
      <x:c r="Q1167" s="2"/>
    </x:row>
    <x:row r="1168" ht="22" customHeight="1">
      <x:c r="A1168" s="7" t="str">
        <x:v>M1161</x:v>
      </x:c>
      <x:c r="B1168" s="7" t="str">
        <x:v>FW03</x:v>
      </x:c>
      <x:c r="C1168" s="7" t="str">
        <x:v>T4</x:v>
      </x:c>
      <x:c r="D1168" s="7" t="str">
        <x:v>L10</x:v>
      </x:c>
      <x:c r="E1168" s="7" t="str">
        <x:v>Column four faces</x:v>
      </x:c>
      <x:c r="F1168" s="20" t="n">
        <x:v>30</x:v>
      </x:c>
      <x:c r="G1168" s="20" t="n">
        <x:f>2*('Controls'!$B$14+'Controls'!$B$15)</x:f>
        <x:v>2</x:v>
      </x:c>
      <x:c r="H1168" s="20" t="n">
        <x:f>'Controls'!$B$12-'Controls'!$B$13</x:f>
        <x:v>2.98</x:v>
      </x:c>
      <x:c r="I1168" s="20" t="n">
        <x:v>1</x:v>
      </x:c>
      <x:c r="J1168" s="20" t="n">
        <x:v>1</x:v>
      </x:c>
      <x:c r="K1168" s="20" t="n">
        <x:f>F1168*G1168*H1168*I1168*J1168</x:f>
        <x:v>178.8</x:v>
      </x:c>
      <x:c r="L1168" s="7" t="str">
        <x:v>Clear floor-to-soffit</x:v>
      </x:c>
      <x:c r="M1168" s="2"/>
      <x:c r="N1168" s="2"/>
      <x:c r="O1168" s="2"/>
      <x:c r="P1168" s="2"/>
      <x:c r="Q1168" s="2"/>
    </x:row>
    <x:row r="1169" ht="22" customHeight="1">
      <x:c r="A1169" s="2" t="str">
        <x:v>M1162</x:v>
      </x:c>
      <x:c r="B1169" s="2" t="str">
        <x:v>FW04</x:v>
      </x:c>
      <x:c r="C1169" s="2" t="str">
        <x:v>T4</x:v>
      </x:c>
      <x:c r="D1169" s="2" t="str">
        <x:v>L10</x:v>
      </x:c>
      <x:c r="E1169" s="2" t="str">
        <x:v>Core wall two faces</x:v>
      </x:c>
      <x:c r="F1169" s="21" t="n">
        <x:v>2</x:v>
      </x:c>
      <x:c r="G1169" s="21" t="n">
        <x:f>'Controls'!$B$19</x:f>
        <x:v>24</x:v>
      </x:c>
      <x:c r="H1169" s="21" t="n">
        <x:f>'Controls'!$B$12-'Controls'!$B$13</x:f>
        <x:v>2.98</x:v>
      </x:c>
      <x:c r="I1169" s="21" t="n">
        <x:v>1</x:v>
      </x:c>
      <x:c r="J1169" s="21" t="n">
        <x:v>1</x:v>
      </x:c>
      <x:c r="K1169" s="21" t="n">
        <x:f>F1169*G1169*H1169*I1169*J1169</x:f>
        <x:v>143.04</x:v>
      </x:c>
      <x:c r="L1169" s="2" t="str">
        <x:v>Net perimeter, no repeated corners</x:v>
      </x:c>
      <x:c r="M1169" s="2"/>
      <x:c r="N1169" s="2"/>
      <x:c r="O1169" s="2"/>
      <x:c r="P1169" s="2"/>
      <x:c r="Q1169" s="2"/>
    </x:row>
    <x:row r="1170" ht="22" customHeight="1">
      <x:c r="A1170" s="7" t="str">
        <x:v>M1163</x:v>
      </x:c>
      <x:c r="B1170" s="7" t="str">
        <x:v>AR01</x:v>
      </x:c>
      <x:c r="C1170" s="7" t="str">
        <x:v>T4</x:v>
      </x:c>
      <x:c r="D1170" s="7" t="str">
        <x:v>L10</x:v>
      </x:c>
      <x:c r="E1170" s="7" t="str">
        <x:v>Partition walls gross</x:v>
      </x:c>
      <x:c r="F1170" s="20" t="n">
        <x:v>1</x:v>
      </x:c>
      <x:c r="G1170" s="20" t="n">
        <x:f>'Controls'!$B$45</x:f>
        <x:v>220</x:v>
      </x:c>
      <x:c r="H1170" s="20" t="n">
        <x:f>'Controls'!$B$12-'Controls'!$B$13</x:f>
        <x:v>2.98</x:v>
      </x:c>
      <x:c r="I1170" s="20" t="n">
        <x:f>'Controls'!$B$46</x:f>
        <x:v>0.15</x:v>
      </x:c>
      <x:c r="J1170" s="20" t="n">
        <x:v>1</x:v>
      </x:c>
      <x:c r="K1170" s="20" t="n">
        <x:f>F1170*G1170*H1170*I1170*J1170</x:f>
        <x:v>98.34</x:v>
      </x:c>
      <x:c r="L1170" s="7" t="str">
        <x:v>Net openings deducted below</x:v>
      </x:c>
      <x:c r="M1170" s="2"/>
      <x:c r="N1170" s="2"/>
      <x:c r="O1170" s="2"/>
      <x:c r="P1170" s="2"/>
      <x:c r="Q1170" s="2"/>
    </x:row>
    <x:row r="1171" ht="22" customHeight="1">
      <x:c r="A1171" s="2" t="str">
        <x:v>M1164</x:v>
      </x:c>
      <x:c r="B1171" s="2" t="str">
        <x:v>AR01</x:v>
      </x:c>
      <x:c r="C1171" s="2" t="str">
        <x:v>T4</x:v>
      </x:c>
      <x:c r="D1171" s="2" t="str">
        <x:v>L10</x:v>
      </x:c>
      <x:c r="E1171" s="2" t="str">
        <x:v>Internal doors deduction</x:v>
      </x:c>
      <x:c r="F1171" s="21" t="n">
        <x:f>'Controls'!$B$48</x:f>
        <x:v>28</x:v>
      </x:c>
      <x:c r="G1171" s="21" t="n">
        <x:f>'Controls'!$B$49</x:f>
        <x:v>0.9</x:v>
      </x:c>
      <x:c r="H1171" s="21" t="n">
        <x:f>'Controls'!$B$50</x:f>
        <x:v>2.1</x:v>
      </x:c>
      <x:c r="I1171" s="21" t="n">
        <x:f>'Controls'!$B$46</x:f>
        <x:v>0.15</x:v>
      </x:c>
      <x:c r="J1171" s="21" t="n">
        <x:v>-1</x:v>
      </x:c>
      <x:c r="K1171" s="21" t="n">
        <x:f>F1171*G1171*H1171*I1171*J1171</x:f>
        <x:v>-7.938</x:v>
      </x:c>
      <x:c r="L1171" s="2" t="str">
        <x:v>28 doors per floor, OP-02</x:v>
      </x:c>
      <x:c r="M1171" s="2"/>
      <x:c r="N1171" s="2"/>
      <x:c r="O1171" s="2"/>
      <x:c r="P1171" s="2"/>
      <x:c r="Q1171" s="2"/>
    </x:row>
    <x:row r="1172" ht="22" customHeight="1">
      <x:c r="A1172" s="7" t="str">
        <x:v>M1165</x:v>
      </x:c>
      <x:c r="B1172" s="7" t="str">
        <x:v>AR02</x:v>
      </x:c>
      <x:c r="C1172" s="7" t="str">
        <x:v>T4</x:v>
      </x:c>
      <x:c r="D1172" s="7" t="str">
        <x:v>L10</x:v>
      </x:c>
      <x:c r="E1172" s="7" t="str">
        <x:v>Internal plaster gross</x:v>
      </x:c>
      <x:c r="F1172" s="20" t="n">
        <x:v>2</x:v>
      </x:c>
      <x:c r="G1172" s="20" t="n">
        <x:f>'Controls'!$B$45</x:f>
        <x:v>220</x:v>
      </x:c>
      <x:c r="H1172" s="20" t="n">
        <x:f>'Controls'!$B$12-'Controls'!$B$13</x:f>
        <x:v>2.98</x:v>
      </x:c>
      <x:c r="I1172" s="20" t="n">
        <x:v>1</x:v>
      </x:c>
      <x:c r="J1172" s="20" t="n">
        <x:v>1</x:v>
      </x:c>
      <x:c r="K1172" s="20" t="n">
        <x:f>F1172*G1172*H1172*I1172*J1172</x:f>
        <x:v>1311.2</x:v>
      </x:c>
      <x:c r="L1172" s="7" t="str">
        <x:v>Both faces of partition walls</x:v>
      </x:c>
      <x:c r="M1172" s="2"/>
      <x:c r="N1172" s="2"/>
      <x:c r="O1172" s="2"/>
      <x:c r="P1172" s="2"/>
      <x:c r="Q1172" s="2"/>
    </x:row>
    <x:row r="1173" ht="22" customHeight="1">
      <x:c r="A1173" s="2" t="str">
        <x:v>M1166</x:v>
      </x:c>
      <x:c r="B1173" s="2" t="str">
        <x:v>AR02</x:v>
      </x:c>
      <x:c r="C1173" s="2" t="str">
        <x:v>T4</x:v>
      </x:c>
      <x:c r="D1173" s="2" t="str">
        <x:v>L10</x:v>
      </x:c>
      <x:c r="E1173" s="2" t="str">
        <x:v>Door area deduction both faces</x:v>
      </x:c>
      <x:c r="F1173" s="21" t="n">
        <x:f>2*'Controls'!$B$48</x:f>
        <x:v>56</x:v>
      </x:c>
      <x:c r="G1173" s="21" t="n">
        <x:f>'Controls'!$B$49</x:f>
        <x:v>0.9</x:v>
      </x:c>
      <x:c r="H1173" s="21" t="n">
        <x:f>'Controls'!$B$50</x:f>
        <x:v>2.1</x:v>
      </x:c>
      <x:c r="I1173" s="21" t="n">
        <x:v>1</x:v>
      </x:c>
      <x:c r="J1173" s="21" t="n">
        <x:v>-1</x:v>
      </x:c>
      <x:c r="K1173" s="21" t="n">
        <x:f>F1173*G1173*H1173*I1173*J1173</x:f>
        <x:v>-105.84</x:v>
      </x:c>
      <x:c r="L1173" s="2" t="str">
        <x:v>No plaster over openings</x:v>
      </x:c>
      <x:c r="M1173" s="2"/>
      <x:c r="N1173" s="2"/>
      <x:c r="O1173" s="2"/>
      <x:c r="P1173" s="2"/>
      <x:c r="Q1173" s="2"/>
    </x:row>
    <x:row r="1174" ht="22" customHeight="1">
      <x:c r="A1174" s="7" t="str">
        <x:v>M1167</x:v>
      </x:c>
      <x:c r="B1174" s="7" t="str">
        <x:v>AR03</x:v>
      </x:c>
      <x:c r="C1174" s="7" t="str">
        <x:v>T4</x:v>
      </x:c>
      <x:c r="D1174" s="7" t="str">
        <x:v>L10</x:v>
      </x:c>
      <x:c r="E1174" s="7" t="str">
        <x:v>Floor screed net</x:v>
      </x:c>
      <x:c r="F1174" s="20" t="n">
        <x:v>1</x:v>
      </x:c>
      <x:c r="G1174" s="20" t="n">
        <x:f>'Controls'!$B$10*'Controls'!$B$11-'Controls'!$B$20*'Controls'!$B$21</x:f>
        <x:v>696</x:v>
      </x:c>
      <x:c r="H1174" s="20" t="n">
        <x:v>1</x:v>
      </x:c>
      <x:c r="I1174" s="20" t="n">
        <x:v>1</x:v>
      </x:c>
      <x:c r="J1174" s="20" t="n">
        <x:v>1</x:v>
      </x:c>
      <x:c r="K1174" s="20" t="n">
        <x:f>F1174*G1174*H1174*I1174*J1174</x:f>
        <x:v>696</x:v>
      </x:c>
      <x:c r="L1174" s="7" t="str">
        <x:v>Net structural floor area</x:v>
      </x:c>
      <x:c r="M1174" s="2"/>
      <x:c r="N1174" s="2"/>
      <x:c r="O1174" s="2"/>
      <x:c r="P1174" s="2"/>
      <x:c r="Q1174" s="2"/>
    </x:row>
    <x:row r="1175" ht="22" customHeight="1">
      <x:c r="A1175" s="2" t="str">
        <x:v>M1168</x:v>
      </x:c>
      <x:c r="B1175" s="2" t="str">
        <x:v>AR04</x:v>
      </x:c>
      <x:c r="C1175" s="2" t="str">
        <x:v>T4</x:v>
      </x:c>
      <x:c r="D1175" s="2" t="str">
        <x:v>L10</x:v>
      </x:c>
      <x:c r="E1175" s="2" t="str">
        <x:v>Floor finish net</x:v>
      </x:c>
      <x:c r="F1175" s="21" t="n">
        <x:v>1</x:v>
      </x:c>
      <x:c r="G1175" s="21" t="n">
        <x:f>'Controls'!$B$10*'Controls'!$B$11-'Controls'!$B$20*'Controls'!$B$21</x:f>
        <x:v>696</x:v>
      </x:c>
      <x:c r="H1175" s="21" t="n">
        <x:v>1</x:v>
      </x:c>
      <x:c r="I1175" s="21" t="n">
        <x:v>1</x:v>
      </x:c>
      <x:c r="J1175" s="21" t="n">
        <x:v>1</x:v>
      </x:c>
      <x:c r="K1175" s="21" t="n">
        <x:f>F1175*G1175*H1175*I1175*J1175</x:f>
        <x:v>696</x:v>
      </x:c>
      <x:c r="L1175" s="2" t="str">
        <x:v>Waste excluded from BOQ</x:v>
      </x:c>
      <x:c r="M1175" s="2"/>
      <x:c r="N1175" s="2"/>
      <x:c r="O1175" s="2"/>
      <x:c r="P1175" s="2"/>
      <x:c r="Q1175" s="2"/>
    </x:row>
    <x:row r="1176" ht="22" customHeight="1">
      <x:c r="A1176" s="7" t="str">
        <x:v>M1169</x:v>
      </x:c>
      <x:c r="B1176" s="7" t="str">
        <x:v>AR05</x:v>
      </x:c>
      <x:c r="C1176" s="7" t="str">
        <x:v>T4</x:v>
      </x:c>
      <x:c r="D1176" s="7" t="str">
        <x:v>L10</x:v>
      </x:c>
      <x:c r="E1176" s="7" t="str">
        <x:v>Internal wall paint net</x:v>
      </x:c>
      <x:c r="F1176" s="20" t="n">
        <x:v>2</x:v>
      </x:c>
      <x:c r="G1176" s="20" t="n">
        <x:f>'Controls'!$B$45*('Controls'!$B$12-'Controls'!$B$13)-'Controls'!$B$48*'Controls'!$B$49*'Controls'!$B$50</x:f>
        <x:v>602.6800000000001</x:v>
      </x:c>
      <x:c r="H1176" s="20" t="n">
        <x:v>1</x:v>
      </x:c>
      <x:c r="I1176" s="20" t="n">
        <x:v>1</x:v>
      </x:c>
      <x:c r="J1176" s="20" t="n">
        <x:v>1</x:v>
      </x:c>
      <x:c r="K1176" s="20" t="n">
        <x:f>F1176*G1176*H1176*I1176*J1176</x:f>
        <x:v>1205.3600000000001</x:v>
      </x:c>
      <x:c r="L1176" s="7" t="str">
        <x:v>Finished area; two coats priced in rate</x:v>
      </x:c>
      <x:c r="M1176" s="2"/>
      <x:c r="N1176" s="2"/>
      <x:c r="O1176" s="2"/>
      <x:c r="P1176" s="2"/>
      <x:c r="Q1176" s="2"/>
    </x:row>
    <x:row r="1177" ht="22" customHeight="1">
      <x:c r="A1177" s="2" t="str">
        <x:v>M1170</x:v>
      </x:c>
      <x:c r="B1177" s="2" t="str">
        <x:v>AR06</x:v>
      </x:c>
      <x:c r="C1177" s="2" t="str">
        <x:v>T4</x:v>
      </x:c>
      <x:c r="D1177" s="2" t="str">
        <x:v>L10</x:v>
      </x:c>
      <x:c r="E1177" s="2" t="str">
        <x:v>Door sets</x:v>
      </x:c>
      <x:c r="F1177" s="21" t="n">
        <x:f>'Controls'!$B$48</x:f>
        <x:v>28</x:v>
      </x:c>
      <x:c r="G1177" s="21" t="n">
        <x:v>1</x:v>
      </x:c>
      <x:c r="H1177" s="21" t="n">
        <x:v>1</x:v>
      </x:c>
      <x:c r="I1177" s="21" t="n">
        <x:v>1</x:v>
      </x:c>
      <x:c r="J1177" s="21" t="n">
        <x:v>1</x:v>
      </x:c>
      <x:c r="K1177" s="21" t="n">
        <x:f>F1177*G1177*H1177*I1177*J1177</x:f>
        <x:v>28</x:v>
      </x:c>
      <x:c r="L1177" s="2" t="str">
        <x:v>Door count, not double face</x:v>
      </x:c>
      <x:c r="M1177" s="2"/>
      <x:c r="N1177" s="2"/>
      <x:c r="O1177" s="2"/>
      <x:c r="P1177" s="2"/>
      <x:c r="Q1177" s="2"/>
    </x:row>
    <x:row r="1178" ht="22" customHeight="1">
      <x:c r="A1178" s="7" t="str">
        <x:v>M1171</x:v>
      </x:c>
      <x:c r="B1178" s="7" t="str">
        <x:v>RC03</x:v>
      </x:c>
      <x:c r="C1178" s="7" t="str">
        <x:v>T4</x:v>
      </x:c>
      <x:c r="D1178" s="7" t="str">
        <x:v>L11</x:v>
      </x:c>
      <x:c r="E1178" s="7" t="str">
        <x:v>Floor slab gross</x:v>
      </x:c>
      <x:c r="F1178" s="20" t="n">
        <x:v>1</x:v>
      </x:c>
      <x:c r="G1178" s="20" t="n">
        <x:f>'Controls'!$B$10</x:f>
        <x:v>30</x:v>
      </x:c>
      <x:c r="H1178" s="20" t="n">
        <x:f>'Controls'!$B$11</x:f>
        <x:v>24</x:v>
      </x:c>
      <x:c r="I1178" s="20" t="n">
        <x:f>'Controls'!$B$13</x:f>
        <x:v>0.22</x:v>
      </x:c>
      <x:c r="J1178" s="20" t="n">
        <x:v>1</x:v>
      </x:c>
      <x:c r="K1178" s="20" t="n">
        <x:f>F1178*G1178*H1178*I1178*J1178</x:f>
        <x:v>158.4</x:v>
      </x:c>
      <x:c r="L1178" s="7" t="str">
        <x:v>Slab includes beam top flange; downstand separate</x:v>
      </x:c>
      <x:c r="M1178" s="2"/>
      <x:c r="N1178" s="2"/>
      <x:c r="O1178" s="2"/>
      <x:c r="P1178" s="2"/>
      <x:c r="Q1178" s="2"/>
    </x:row>
    <x:row r="1179" ht="22" customHeight="1">
      <x:c r="A1179" s="2" t="str">
        <x:v>M1172</x:v>
      </x:c>
      <x:c r="B1179" s="2" t="str">
        <x:v>RC03</x:v>
      </x:c>
      <x:c r="C1179" s="2" t="str">
        <x:v>T4</x:v>
      </x:c>
      <x:c r="D1179" s="2" t="str">
        <x:v>L11</x:v>
      </x:c>
      <x:c r="E1179" s="2" t="str">
        <x:v>Stair opening deduction</x:v>
      </x:c>
      <x:c r="F1179" s="21" t="n">
        <x:v>1</x:v>
      </x:c>
      <x:c r="G1179" s="21" t="n">
        <x:f>'Controls'!$B$20</x:f>
        <x:v>4</x:v>
      </x:c>
      <x:c r="H1179" s="21" t="n">
        <x:f>'Controls'!$B$21</x:f>
        <x:v>6</x:v>
      </x:c>
      <x:c r="I1179" s="21" t="n">
        <x:f>'Controls'!$B$13</x:f>
        <x:v>0.22</x:v>
      </x:c>
      <x:c r="J1179" s="21" t="n">
        <x:v>-1</x:v>
      </x:c>
      <x:c r="K1179" s="21" t="n">
        <x:f>F1179*G1179*H1179*I1179*J1179</x:f>
        <x:v>-5.28</x:v>
      </x:c>
      <x:c r="L1179" s="2" t="str">
        <x:v>Opening OP-01</x:v>
      </x:c>
      <x:c r="M1179" s="2"/>
      <x:c r="N1179" s="2"/>
      <x:c r="O1179" s="2"/>
      <x:c r="P1179" s="2"/>
      <x:c r="Q1179" s="2"/>
    </x:row>
    <x:row r="1180" ht="22" customHeight="1">
      <x:c r="A1180" s="7" t="str">
        <x:v>M1173</x:v>
      </x:c>
      <x:c r="B1180" s="7" t="str">
        <x:v>RC04</x:v>
      </x:c>
      <x:c r="C1180" s="7" t="str">
        <x:v>T4</x:v>
      </x:c>
      <x:c r="D1180" s="7" t="str">
        <x:v>L11</x:v>
      </x:c>
      <x:c r="E1180" s="7" t="str">
        <x:v>Beam downstands X</x:v>
      </x:c>
      <x:c r="F1180" s="20" t="n">
        <x:v>1</x:v>
      </x:c>
      <x:c r="G1180" s="20" t="n">
        <x:f>5*5*('Controls'!$B$10/5-'Controls'!$B$14)</x:f>
        <x:v>137.5</x:v>
      </x:c>
      <x:c r="H1180" s="20" t="n">
        <x:f>'Controls'!$B$16</x:f>
        <x:v>0.3</x:v>
      </x:c>
      <x:c r="I1180" s="20" t="n">
        <x:f>'Controls'!$B$17-'Controls'!$B$13</x:f>
        <x:v>0.38</x:v>
      </x:c>
      <x:c r="J1180" s="20" t="n">
        <x:v>1</x:v>
      </x:c>
      <x:c r="K1180" s="20" t="n">
        <x:f>F1180*G1180*H1180*I1180*J1180</x:f>
        <x:v>15.675</x:v>
      </x:c>
      <x:c r="L1180" s="7" t="str">
        <x:v>Clear spans between column faces; no joint overlap</x:v>
      </x:c>
      <x:c r="M1180" s="2"/>
      <x:c r="N1180" s="2"/>
      <x:c r="O1180" s="2"/>
      <x:c r="P1180" s="2"/>
      <x:c r="Q1180" s="2"/>
    </x:row>
    <x:row r="1181" ht="22" customHeight="1">
      <x:c r="A1181" s="2" t="str">
        <x:v>M1174</x:v>
      </x:c>
      <x:c r="B1181" s="2" t="str">
        <x:v>FW02</x:v>
      </x:c>
      <x:c r="C1181" s="2" t="str">
        <x:v>T4</x:v>
      </x:c>
      <x:c r="D1181" s="2" t="str">
        <x:v>L11</x:v>
      </x:c>
      <x:c r="E1181" s="2" t="str">
        <x:v>Beam forms X</x:v>
      </x:c>
      <x:c r="F1181" s="21" t="n">
        <x:v>1</x:v>
      </x:c>
      <x:c r="G1181" s="21" t="n">
        <x:f>5*5*('Controls'!$B$10/5-'Controls'!$B$14)</x:f>
        <x:v>137.5</x:v>
      </x:c>
      <x:c r="H1181" s="21" t="n">
        <x:f>'Controls'!$B$16+2*('Controls'!$B$17-'Controls'!$B$13)</x:f>
        <x:v>1.06</x:v>
      </x:c>
      <x:c r="I1181" s="21" t="n">
        <x:v>1</x:v>
      </x:c>
      <x:c r="J1181" s="21" t="n">
        <x:v>1</x:v>
      </x:c>
      <x:c r="K1181" s="21" t="n">
        <x:f>F1181*G1181*H1181*I1181*J1181</x:f>
        <x:v>145.75</x:v>
      </x:c>
      <x:c r="L1181" s="2" t="str">
        <x:v>Soffit plus two downstand sides</x:v>
      </x:c>
      <x:c r="M1181" s="2"/>
      <x:c r="N1181" s="2"/>
      <x:c r="O1181" s="2"/>
      <x:c r="P1181" s="2"/>
      <x:c r="Q1181" s="2"/>
    </x:row>
    <x:row r="1182" ht="22" customHeight="1">
      <x:c r="A1182" s="7" t="str">
        <x:v>M1175</x:v>
      </x:c>
      <x:c r="B1182" s="7" t="str">
        <x:v>RC04</x:v>
      </x:c>
      <x:c r="C1182" s="7" t="str">
        <x:v>T4</x:v>
      </x:c>
      <x:c r="D1182" s="7" t="str">
        <x:v>L11</x:v>
      </x:c>
      <x:c r="E1182" s="7" t="str">
        <x:v>Beam downstands Y</x:v>
      </x:c>
      <x:c r="F1182" s="20" t="n">
        <x:v>1</x:v>
      </x:c>
      <x:c r="G1182" s="20" t="n">
        <x:f>6*4*('Controls'!$B$11/4-'Controls'!$B$15)</x:f>
        <x:v>132</x:v>
      </x:c>
      <x:c r="H1182" s="20" t="n">
        <x:f>'Controls'!$B$16</x:f>
        <x:v>0.3</x:v>
      </x:c>
      <x:c r="I1182" s="20" t="n">
        <x:f>'Controls'!$B$17-'Controls'!$B$13</x:f>
        <x:v>0.38</x:v>
      </x:c>
      <x:c r="J1182" s="20" t="n">
        <x:v>1</x:v>
      </x:c>
      <x:c r="K1182" s="20" t="n">
        <x:f>F1182*G1182*H1182*I1182*J1182</x:f>
        <x:v>15.048</x:v>
      </x:c>
      <x:c r="L1182" s="7" t="str">
        <x:v>Clear spans between column faces; no joint overlap</x:v>
      </x:c>
      <x:c r="M1182" s="2"/>
      <x:c r="N1182" s="2"/>
      <x:c r="O1182" s="2"/>
      <x:c r="P1182" s="2"/>
      <x:c r="Q1182" s="2"/>
    </x:row>
    <x:row r="1183" ht="22" customHeight="1">
      <x:c r="A1183" s="2" t="str">
        <x:v>M1176</x:v>
      </x:c>
      <x:c r="B1183" s="2" t="str">
        <x:v>FW02</x:v>
      </x:c>
      <x:c r="C1183" s="2" t="str">
        <x:v>T4</x:v>
      </x:c>
      <x:c r="D1183" s="2" t="str">
        <x:v>L11</x:v>
      </x:c>
      <x:c r="E1183" s="2" t="str">
        <x:v>Beam forms Y</x:v>
      </x:c>
      <x:c r="F1183" s="21" t="n">
        <x:v>1</x:v>
      </x:c>
      <x:c r="G1183" s="21" t="n">
        <x:f>6*4*('Controls'!$B$11/4-'Controls'!$B$15)</x:f>
        <x:v>132</x:v>
      </x:c>
      <x:c r="H1183" s="21" t="n">
        <x:f>'Controls'!$B$16+2*('Controls'!$B$17-'Controls'!$B$13)</x:f>
        <x:v>1.06</x:v>
      </x:c>
      <x:c r="I1183" s="21" t="n">
        <x:v>1</x:v>
      </x:c>
      <x:c r="J1183" s="21" t="n">
        <x:v>1</x:v>
      </x:c>
      <x:c r="K1183" s="21" t="n">
        <x:f>F1183*G1183*H1183*I1183*J1183</x:f>
        <x:v>139.92000000000002</x:v>
      </x:c>
      <x:c r="L1183" s="2" t="str">
        <x:v>Soffit plus two downstand sides</x:v>
      </x:c>
      <x:c r="M1183" s="2"/>
      <x:c r="N1183" s="2"/>
      <x:c r="O1183" s="2"/>
      <x:c r="P1183" s="2"/>
      <x:c r="Q1183" s="2"/>
    </x:row>
    <x:row r="1184" ht="22" customHeight="1">
      <x:c r="A1184" s="7" t="str">
        <x:v>M1177</x:v>
      </x:c>
      <x:c r="B1184" s="7" t="str">
        <x:v>RC05</x:v>
      </x:c>
      <x:c r="C1184" s="7" t="str">
        <x:v>T4</x:v>
      </x:c>
      <x:c r="D1184" s="7" t="str">
        <x:v>L11</x:v>
      </x:c>
      <x:c r="E1184" s="7" t="str">
        <x:v>Thirty columns, clear storey</x:v>
      </x:c>
      <x:c r="F1184" s="20" t="n">
        <x:v>30</x:v>
      </x:c>
      <x:c r="G1184" s="20" t="n">
        <x:f>'Controls'!$B$14</x:f>
        <x:v>0.5</x:v>
      </x:c>
      <x:c r="H1184" s="20" t="n">
        <x:f>'Controls'!$B$15</x:f>
        <x:v>0.5</x:v>
      </x:c>
      <x:c r="I1184" s="20" t="n">
        <x:f>'Controls'!$B$12-'Controls'!$B$13</x:f>
        <x:v>2.98</x:v>
      </x:c>
      <x:c r="J1184" s="20" t="n">
        <x:v>1</x:v>
      </x:c>
      <x:c r="K1184" s="20" t="n">
        <x:f>F1184*G1184*H1184*I1184*J1184</x:f>
        <x:v>22.35</x:v>
      </x:c>
      <x:c r="L1184" s="7" t="str">
        <x:v>Slab volume excluded from columns</x:v>
      </x:c>
      <x:c r="M1184" s="2"/>
      <x:c r="N1184" s="2"/>
      <x:c r="O1184" s="2"/>
      <x:c r="P1184" s="2"/>
      <x:c r="Q1184" s="2"/>
    </x:row>
    <x:row r="1185" ht="22" customHeight="1">
      <x:c r="A1185" s="2" t="str">
        <x:v>M1178</x:v>
      </x:c>
      <x:c r="B1185" s="2" t="str">
        <x:v>RC06</x:v>
      </x:c>
      <x:c r="C1185" s="2" t="str">
        <x:v>T4</x:v>
      </x:c>
      <x:c r="D1185" s="2" t="str">
        <x:v>L11</x:v>
      </x:c>
      <x:c r="E1185" s="2" t="str">
        <x:v>Core walls clear storey</x:v>
      </x:c>
      <x:c r="F1185" s="21" t="n">
        <x:v>1</x:v>
      </x:c>
      <x:c r="G1185" s="21" t="n">
        <x:f>'Controls'!$B$19</x:f>
        <x:v>24</x:v>
      </x:c>
      <x:c r="H1185" s="21" t="n">
        <x:f>'Controls'!$B$18</x:f>
        <x:v>0.25</x:v>
      </x:c>
      <x:c r="I1185" s="21" t="n">
        <x:f>'Controls'!$B$12-'Controls'!$B$13</x:f>
        <x:v>2.98</x:v>
      </x:c>
      <x:c r="J1185" s="21" t="n">
        <x:v>1</x:v>
      </x:c>
      <x:c r="K1185" s="21" t="n">
        <x:f>F1185*G1185*H1185*I1185*J1185</x:f>
        <x:v>17.88</x:v>
      </x:c>
      <x:c r="L1185" s="2" t="str">
        <x:v>Net clear wall length excludes corners</x:v>
      </x:c>
      <x:c r="M1185" s="2"/>
      <x:c r="N1185" s="2"/>
      <x:c r="O1185" s="2"/>
      <x:c r="P1185" s="2"/>
      <x:c r="Q1185" s="2"/>
    </x:row>
    <x:row r="1186" ht="22" customHeight="1">
      <x:c r="A1186" s="7" t="str">
        <x:v>M1179</x:v>
      </x:c>
      <x:c r="B1186" s="7" t="str">
        <x:v>RC07</x:v>
      </x:c>
      <x:c r="C1186" s="7" t="str">
        <x:v>T4</x:v>
      </x:c>
      <x:c r="D1186" s="7" t="str">
        <x:v>L11</x:v>
      </x:c>
      <x:c r="E1186" s="7" t="str">
        <x:v>Stair flights waist</x:v>
      </x:c>
      <x:c r="F1186" s="20" t="n">
        <x:v>2</x:v>
      </x:c>
      <x:c r="G1186" s="20" t="n">
        <x:v>4.1</x:v>
      </x:c>
      <x:c r="H1186" s="20" t="n">
        <x:v>1.2</x:v>
      </x:c>
      <x:c r="I1186" s="20" t="n">
        <x:v>0.18</x:v>
      </x:c>
      <x:c r="J1186" s="20" t="n">
        <x:v>1</x:v>
      </x:c>
      <x:c r="K1186" s="20" t="n">
        <x:f>F1186*G1186*H1186*I1186*J1186</x:f>
        <x:v>1.7711999999999997</x:v>
      </x:c>
      <x:c r="L1186" s="7" t="str">
        <x:v>Two flights; geometry separate from floor slab</x:v>
      </x:c>
      <x:c r="M1186" s="2"/>
      <x:c r="N1186" s="2"/>
      <x:c r="O1186" s="2"/>
      <x:c r="P1186" s="2"/>
      <x:c r="Q1186" s="2"/>
    </x:row>
    <x:row r="1187" ht="22" customHeight="1">
      <x:c r="A1187" s="2" t="str">
        <x:v>M1180</x:v>
      </x:c>
      <x:c r="B1187" s="2" t="str">
        <x:v>RC07</x:v>
      </x:c>
      <x:c r="C1187" s="2" t="str">
        <x:v>T4</x:v>
      </x:c>
      <x:c r="D1187" s="2" t="str">
        <x:v>L11</x:v>
      </x:c>
      <x:c r="E1187" s="2" t="str">
        <x:v>Stair landings</x:v>
      </x:c>
      <x:c r="F1187" s="21" t="n">
        <x:v>2</x:v>
      </x:c>
      <x:c r="G1187" s="21" t="n">
        <x:v>2</x:v>
      </x:c>
      <x:c r="H1187" s="21" t="n">
        <x:v>1.2</x:v>
      </x:c>
      <x:c r="I1187" s="21" t="n">
        <x:v>0.18</x:v>
      </x:c>
      <x:c r="J1187" s="21" t="n">
        <x:v>1</x:v>
      </x:c>
      <x:c r="K1187" s="21" t="n">
        <x:f>F1187*G1187*H1187*I1187*J1187</x:f>
        <x:v>0.864</x:v>
      </x:c>
      <x:c r="L1187" s="2" t="str">
        <x:v>Within stair opening</x:v>
      </x:c>
      <x:c r="M1187" s="2"/>
      <x:c r="N1187" s="2"/>
      <x:c r="O1187" s="2"/>
      <x:c r="P1187" s="2"/>
      <x:c r="Q1187" s="2"/>
    </x:row>
    <x:row r="1188" ht="22" customHeight="1">
      <x:c r="A1188" s="7" t="str">
        <x:v>M1181</x:v>
      </x:c>
      <x:c r="B1188" s="7" t="str">
        <x:v>FW01</x:v>
      </x:c>
      <x:c r="C1188" s="7" t="str">
        <x:v>T4</x:v>
      </x:c>
      <x:c r="D1188" s="7" t="str">
        <x:v>L11</x:v>
      </x:c>
      <x:c r="E1188" s="7" t="str">
        <x:v>Slab soffit gross</x:v>
      </x:c>
      <x:c r="F1188" s="20" t="n">
        <x:v>1</x:v>
      </x:c>
      <x:c r="G1188" s="20" t="n">
        <x:f>'Controls'!$B$10</x:f>
        <x:v>30</x:v>
      </x:c>
      <x:c r="H1188" s="20" t="n">
        <x:f>'Controls'!$B$11</x:f>
        <x:v>24</x:v>
      </x:c>
      <x:c r="I1188" s="20" t="n">
        <x:v>1</x:v>
      </x:c>
      <x:c r="J1188" s="20" t="n">
        <x:v>1</x:v>
      </x:c>
      <x:c r="K1188" s="20" t="n">
        <x:f>F1188*G1188*H1188*I1188*J1188</x:f>
        <x:v>720</x:v>
      </x:c>
      <x:c r="L1188" s="7" t="str">
        <x:v>Beam soffit deducted below</x:v>
      </x:c>
      <x:c r="M1188" s="2"/>
      <x:c r="N1188" s="2"/>
      <x:c r="O1188" s="2"/>
      <x:c r="P1188" s="2"/>
      <x:c r="Q1188" s="2"/>
    </x:row>
    <x:row r="1189" ht="22" customHeight="1">
      <x:c r="A1189" s="2" t="str">
        <x:v>M1182</x:v>
      </x:c>
      <x:c r="B1189" s="2" t="str">
        <x:v>FW01</x:v>
      </x:c>
      <x:c r="C1189" s="2" t="str">
        <x:v>T4</x:v>
      </x:c>
      <x:c r="D1189" s="2" t="str">
        <x:v>L11</x:v>
      </x:c>
      <x:c r="E1189" s="2" t="str">
        <x:v>Stair opening deduction</x:v>
      </x:c>
      <x:c r="F1189" s="21" t="n">
        <x:v>1</x:v>
      </x:c>
      <x:c r="G1189" s="21" t="n">
        <x:f>'Controls'!$B$20</x:f>
        <x:v>4</x:v>
      </x:c>
      <x:c r="H1189" s="21" t="n">
        <x:f>'Controls'!$B$21</x:f>
        <x:v>6</x:v>
      </x:c>
      <x:c r="I1189" s="21" t="n">
        <x:v>1</x:v>
      </x:c>
      <x:c r="J1189" s="21" t="n">
        <x:v>-1</x:v>
      </x:c>
      <x:c r="K1189" s="21" t="n">
        <x:f>F1189*G1189*H1189*I1189*J1189</x:f>
        <x:v>-24</x:v>
      </x:c>
      <x:c r="L1189" s="2" t="str">
        <x:v>OP-01</x:v>
      </x:c>
      <x:c r="M1189" s="2"/>
      <x:c r="N1189" s="2"/>
      <x:c r="O1189" s="2"/>
      <x:c r="P1189" s="2"/>
      <x:c r="Q1189" s="2"/>
    </x:row>
    <x:row r="1190" ht="22" customHeight="1">
      <x:c r="A1190" s="7" t="str">
        <x:v>M1183</x:v>
      </x:c>
      <x:c r="B1190" s="7" t="str">
        <x:v>FW01</x:v>
      </x:c>
      <x:c r="C1190" s="7" t="str">
        <x:v>T4</x:v>
      </x:c>
      <x:c r="D1190" s="7" t="str">
        <x:v>L11</x:v>
      </x:c>
      <x:c r="E1190" s="7" t="str">
        <x:v>Beam soffit deduction</x:v>
      </x:c>
      <x:c r="F1190" s="20" t="n">
        <x:v>1</x:v>
      </x:c>
      <x:c r="G1190" s="20" t="n">
        <x:f>5*5*('Controls'!$B$10/5-'Controls'!$B$14)+6*4*('Controls'!$B$11/4-'Controls'!$B$15)</x:f>
        <x:v>269.5</x:v>
      </x:c>
      <x:c r="H1190" s="20" t="n">
        <x:f>'Controls'!$B$16</x:f>
        <x:v>0.3</x:v>
      </x:c>
      <x:c r="I1190" s="20" t="n">
        <x:v>1</x:v>
      </x:c>
      <x:c r="J1190" s="20" t="n">
        <x:v>-1</x:v>
      </x:c>
      <x:c r="K1190" s="20" t="n">
        <x:f>F1190*G1190*H1190*I1190*J1190</x:f>
        <x:v>-80.85</x:v>
      </x:c>
      <x:c r="L1190" s="7" t="str">
        <x:v>Beam forms measured in FW02</x:v>
      </x:c>
      <x:c r="M1190" s="2"/>
      <x:c r="N1190" s="2"/>
      <x:c r="O1190" s="2"/>
      <x:c r="P1190" s="2"/>
      <x:c r="Q1190" s="2"/>
    </x:row>
    <x:row r="1191" ht="22" customHeight="1">
      <x:c r="A1191" s="2" t="str">
        <x:v>M1184</x:v>
      </x:c>
      <x:c r="B1191" s="2" t="str">
        <x:v>FW03</x:v>
      </x:c>
      <x:c r="C1191" s="2" t="str">
        <x:v>T4</x:v>
      </x:c>
      <x:c r="D1191" s="2" t="str">
        <x:v>L11</x:v>
      </x:c>
      <x:c r="E1191" s="2" t="str">
        <x:v>Column four faces</x:v>
      </x:c>
      <x:c r="F1191" s="21" t="n">
        <x:v>30</x:v>
      </x:c>
      <x:c r="G1191" s="21" t="n">
        <x:f>2*('Controls'!$B$14+'Controls'!$B$15)</x:f>
        <x:v>2</x:v>
      </x:c>
      <x:c r="H1191" s="21" t="n">
        <x:f>'Controls'!$B$12-'Controls'!$B$13</x:f>
        <x:v>2.98</x:v>
      </x:c>
      <x:c r="I1191" s="21" t="n">
        <x:v>1</x:v>
      </x:c>
      <x:c r="J1191" s="21" t="n">
        <x:v>1</x:v>
      </x:c>
      <x:c r="K1191" s="21" t="n">
        <x:f>F1191*G1191*H1191*I1191*J1191</x:f>
        <x:v>178.8</x:v>
      </x:c>
      <x:c r="L1191" s="2" t="str">
        <x:v>Clear floor-to-soffit</x:v>
      </x:c>
      <x:c r="M1191" s="2"/>
      <x:c r="N1191" s="2"/>
      <x:c r="O1191" s="2"/>
      <x:c r="P1191" s="2"/>
      <x:c r="Q1191" s="2"/>
    </x:row>
    <x:row r="1192" ht="22" customHeight="1">
      <x:c r="A1192" s="7" t="str">
        <x:v>M1185</x:v>
      </x:c>
      <x:c r="B1192" s="7" t="str">
        <x:v>FW04</x:v>
      </x:c>
      <x:c r="C1192" s="7" t="str">
        <x:v>T4</x:v>
      </x:c>
      <x:c r="D1192" s="7" t="str">
        <x:v>L11</x:v>
      </x:c>
      <x:c r="E1192" s="7" t="str">
        <x:v>Core wall two faces</x:v>
      </x:c>
      <x:c r="F1192" s="20" t="n">
        <x:v>2</x:v>
      </x:c>
      <x:c r="G1192" s="20" t="n">
        <x:f>'Controls'!$B$19</x:f>
        <x:v>24</x:v>
      </x:c>
      <x:c r="H1192" s="20" t="n">
        <x:f>'Controls'!$B$12-'Controls'!$B$13</x:f>
        <x:v>2.98</x:v>
      </x:c>
      <x:c r="I1192" s="20" t="n">
        <x:v>1</x:v>
      </x:c>
      <x:c r="J1192" s="20" t="n">
        <x:v>1</x:v>
      </x:c>
      <x:c r="K1192" s="20" t="n">
        <x:f>F1192*G1192*H1192*I1192*J1192</x:f>
        <x:v>143.04</x:v>
      </x:c>
      <x:c r="L1192" s="7" t="str">
        <x:v>Net perimeter, no repeated corners</x:v>
      </x:c>
      <x:c r="M1192" s="2"/>
      <x:c r="N1192" s="2"/>
      <x:c r="O1192" s="2"/>
      <x:c r="P1192" s="2"/>
      <x:c r="Q1192" s="2"/>
    </x:row>
    <x:row r="1193" ht="22" customHeight="1">
      <x:c r="A1193" s="2" t="str">
        <x:v>M1186</x:v>
      </x:c>
      <x:c r="B1193" s="2" t="str">
        <x:v>AR01</x:v>
      </x:c>
      <x:c r="C1193" s="2" t="str">
        <x:v>T4</x:v>
      </x:c>
      <x:c r="D1193" s="2" t="str">
        <x:v>L11</x:v>
      </x:c>
      <x:c r="E1193" s="2" t="str">
        <x:v>Partition walls gross</x:v>
      </x:c>
      <x:c r="F1193" s="21" t="n">
        <x:v>1</x:v>
      </x:c>
      <x:c r="G1193" s="21" t="n">
        <x:f>'Controls'!$B$45</x:f>
        <x:v>220</x:v>
      </x:c>
      <x:c r="H1193" s="21" t="n">
        <x:f>'Controls'!$B$12-'Controls'!$B$13</x:f>
        <x:v>2.98</x:v>
      </x:c>
      <x:c r="I1193" s="21" t="n">
        <x:f>'Controls'!$B$46</x:f>
        <x:v>0.15</x:v>
      </x:c>
      <x:c r="J1193" s="21" t="n">
        <x:v>1</x:v>
      </x:c>
      <x:c r="K1193" s="21" t="n">
        <x:f>F1193*G1193*H1193*I1193*J1193</x:f>
        <x:v>98.34</x:v>
      </x:c>
      <x:c r="L1193" s="2" t="str">
        <x:v>Net openings deducted below</x:v>
      </x:c>
      <x:c r="M1193" s="2"/>
      <x:c r="N1193" s="2"/>
      <x:c r="O1193" s="2"/>
      <x:c r="P1193" s="2"/>
      <x:c r="Q1193" s="2"/>
    </x:row>
    <x:row r="1194" ht="22" customHeight="1">
      <x:c r="A1194" s="7" t="str">
        <x:v>M1187</x:v>
      </x:c>
      <x:c r="B1194" s="7" t="str">
        <x:v>AR01</x:v>
      </x:c>
      <x:c r="C1194" s="7" t="str">
        <x:v>T4</x:v>
      </x:c>
      <x:c r="D1194" s="7" t="str">
        <x:v>L11</x:v>
      </x:c>
      <x:c r="E1194" s="7" t="str">
        <x:v>Internal doors deduction</x:v>
      </x:c>
      <x:c r="F1194" s="20" t="n">
        <x:f>'Controls'!$B$48</x:f>
        <x:v>28</x:v>
      </x:c>
      <x:c r="G1194" s="20" t="n">
        <x:f>'Controls'!$B$49</x:f>
        <x:v>0.9</x:v>
      </x:c>
      <x:c r="H1194" s="20" t="n">
        <x:f>'Controls'!$B$50</x:f>
        <x:v>2.1</x:v>
      </x:c>
      <x:c r="I1194" s="20" t="n">
        <x:f>'Controls'!$B$46</x:f>
        <x:v>0.15</x:v>
      </x:c>
      <x:c r="J1194" s="20" t="n">
        <x:v>-1</x:v>
      </x:c>
      <x:c r="K1194" s="20" t="n">
        <x:f>F1194*G1194*H1194*I1194*J1194</x:f>
        <x:v>-7.938</x:v>
      </x:c>
      <x:c r="L1194" s="7" t="str">
        <x:v>28 doors per floor, OP-02</x:v>
      </x:c>
      <x:c r="M1194" s="2"/>
      <x:c r="N1194" s="2"/>
      <x:c r="O1194" s="2"/>
      <x:c r="P1194" s="2"/>
      <x:c r="Q1194" s="2"/>
    </x:row>
    <x:row r="1195" ht="22" customHeight="1">
      <x:c r="A1195" s="2" t="str">
        <x:v>M1188</x:v>
      </x:c>
      <x:c r="B1195" s="2" t="str">
        <x:v>AR02</x:v>
      </x:c>
      <x:c r="C1195" s="2" t="str">
        <x:v>T4</x:v>
      </x:c>
      <x:c r="D1195" s="2" t="str">
        <x:v>L11</x:v>
      </x:c>
      <x:c r="E1195" s="2" t="str">
        <x:v>Internal plaster gross</x:v>
      </x:c>
      <x:c r="F1195" s="21" t="n">
        <x:v>2</x:v>
      </x:c>
      <x:c r="G1195" s="21" t="n">
        <x:f>'Controls'!$B$45</x:f>
        <x:v>220</x:v>
      </x:c>
      <x:c r="H1195" s="21" t="n">
        <x:f>'Controls'!$B$12-'Controls'!$B$13</x:f>
        <x:v>2.98</x:v>
      </x:c>
      <x:c r="I1195" s="21" t="n">
        <x:v>1</x:v>
      </x:c>
      <x:c r="J1195" s="21" t="n">
        <x:v>1</x:v>
      </x:c>
      <x:c r="K1195" s="21" t="n">
        <x:f>F1195*G1195*H1195*I1195*J1195</x:f>
        <x:v>1311.2</x:v>
      </x:c>
      <x:c r="L1195" s="2" t="str">
        <x:v>Both faces of partition walls</x:v>
      </x:c>
      <x:c r="M1195" s="2"/>
      <x:c r="N1195" s="2"/>
      <x:c r="O1195" s="2"/>
      <x:c r="P1195" s="2"/>
      <x:c r="Q1195" s="2"/>
    </x:row>
    <x:row r="1196" ht="22" customHeight="1">
      <x:c r="A1196" s="7" t="str">
        <x:v>M1189</x:v>
      </x:c>
      <x:c r="B1196" s="7" t="str">
        <x:v>AR02</x:v>
      </x:c>
      <x:c r="C1196" s="7" t="str">
        <x:v>T4</x:v>
      </x:c>
      <x:c r="D1196" s="7" t="str">
        <x:v>L11</x:v>
      </x:c>
      <x:c r="E1196" s="7" t="str">
        <x:v>Door area deduction both faces</x:v>
      </x:c>
      <x:c r="F1196" s="20" t="n">
        <x:f>2*'Controls'!$B$48</x:f>
        <x:v>56</x:v>
      </x:c>
      <x:c r="G1196" s="20" t="n">
        <x:f>'Controls'!$B$49</x:f>
        <x:v>0.9</x:v>
      </x:c>
      <x:c r="H1196" s="20" t="n">
        <x:f>'Controls'!$B$50</x:f>
        <x:v>2.1</x:v>
      </x:c>
      <x:c r="I1196" s="20" t="n">
        <x:v>1</x:v>
      </x:c>
      <x:c r="J1196" s="20" t="n">
        <x:v>-1</x:v>
      </x:c>
      <x:c r="K1196" s="20" t="n">
        <x:f>F1196*G1196*H1196*I1196*J1196</x:f>
        <x:v>-105.84</x:v>
      </x:c>
      <x:c r="L1196" s="7" t="str">
        <x:v>No plaster over openings</x:v>
      </x:c>
      <x:c r="M1196" s="2"/>
      <x:c r="N1196" s="2"/>
      <x:c r="O1196" s="2"/>
      <x:c r="P1196" s="2"/>
      <x:c r="Q1196" s="2"/>
    </x:row>
    <x:row r="1197" ht="22" customHeight="1">
      <x:c r="A1197" s="2" t="str">
        <x:v>M1190</x:v>
      </x:c>
      <x:c r="B1197" s="2" t="str">
        <x:v>AR03</x:v>
      </x:c>
      <x:c r="C1197" s="2" t="str">
        <x:v>T4</x:v>
      </x:c>
      <x:c r="D1197" s="2" t="str">
        <x:v>L11</x:v>
      </x:c>
      <x:c r="E1197" s="2" t="str">
        <x:v>Floor screed net</x:v>
      </x:c>
      <x:c r="F1197" s="21" t="n">
        <x:v>1</x:v>
      </x:c>
      <x:c r="G1197" s="21" t="n">
        <x:f>'Controls'!$B$10*'Controls'!$B$11-'Controls'!$B$20*'Controls'!$B$21</x:f>
        <x:v>696</x:v>
      </x:c>
      <x:c r="H1197" s="21" t="n">
        <x:v>1</x:v>
      </x:c>
      <x:c r="I1197" s="21" t="n">
        <x:v>1</x:v>
      </x:c>
      <x:c r="J1197" s="21" t="n">
        <x:v>1</x:v>
      </x:c>
      <x:c r="K1197" s="21" t="n">
        <x:f>F1197*G1197*H1197*I1197*J1197</x:f>
        <x:v>696</x:v>
      </x:c>
      <x:c r="L1197" s="2" t="str">
        <x:v>Net structural floor area</x:v>
      </x:c>
      <x:c r="M1197" s="2"/>
      <x:c r="N1197" s="2"/>
      <x:c r="O1197" s="2"/>
      <x:c r="P1197" s="2"/>
      <x:c r="Q1197" s="2"/>
    </x:row>
    <x:row r="1198" ht="22" customHeight="1">
      <x:c r="A1198" s="7" t="str">
        <x:v>M1191</x:v>
      </x:c>
      <x:c r="B1198" s="7" t="str">
        <x:v>AR04</x:v>
      </x:c>
      <x:c r="C1198" s="7" t="str">
        <x:v>T4</x:v>
      </x:c>
      <x:c r="D1198" s="7" t="str">
        <x:v>L11</x:v>
      </x:c>
      <x:c r="E1198" s="7" t="str">
        <x:v>Floor finish net</x:v>
      </x:c>
      <x:c r="F1198" s="20" t="n">
        <x:v>1</x:v>
      </x:c>
      <x:c r="G1198" s="20" t="n">
        <x:f>'Controls'!$B$10*'Controls'!$B$11-'Controls'!$B$20*'Controls'!$B$21</x:f>
        <x:v>696</x:v>
      </x:c>
      <x:c r="H1198" s="20" t="n">
        <x:v>1</x:v>
      </x:c>
      <x:c r="I1198" s="20" t="n">
        <x:v>1</x:v>
      </x:c>
      <x:c r="J1198" s="20" t="n">
        <x:v>1</x:v>
      </x:c>
      <x:c r="K1198" s="20" t="n">
        <x:f>F1198*G1198*H1198*I1198*J1198</x:f>
        <x:v>696</x:v>
      </x:c>
      <x:c r="L1198" s="7" t="str">
        <x:v>Waste excluded from BOQ</x:v>
      </x:c>
      <x:c r="M1198" s="2"/>
      <x:c r="N1198" s="2"/>
      <x:c r="O1198" s="2"/>
      <x:c r="P1198" s="2"/>
      <x:c r="Q1198" s="2"/>
    </x:row>
    <x:row r="1199" ht="22" customHeight="1">
      <x:c r="A1199" s="2" t="str">
        <x:v>M1192</x:v>
      </x:c>
      <x:c r="B1199" s="2" t="str">
        <x:v>AR05</x:v>
      </x:c>
      <x:c r="C1199" s="2" t="str">
        <x:v>T4</x:v>
      </x:c>
      <x:c r="D1199" s="2" t="str">
        <x:v>L11</x:v>
      </x:c>
      <x:c r="E1199" s="2" t="str">
        <x:v>Internal wall paint net</x:v>
      </x:c>
      <x:c r="F1199" s="21" t="n">
        <x:v>2</x:v>
      </x:c>
      <x:c r="G1199" s="21" t="n">
        <x:f>'Controls'!$B$45*('Controls'!$B$12-'Controls'!$B$13)-'Controls'!$B$48*'Controls'!$B$49*'Controls'!$B$50</x:f>
        <x:v>602.6800000000001</x:v>
      </x:c>
      <x:c r="H1199" s="21" t="n">
        <x:v>1</x:v>
      </x:c>
      <x:c r="I1199" s="21" t="n">
        <x:v>1</x:v>
      </x:c>
      <x:c r="J1199" s="21" t="n">
        <x:v>1</x:v>
      </x:c>
      <x:c r="K1199" s="21" t="n">
        <x:f>F1199*G1199*H1199*I1199*J1199</x:f>
        <x:v>1205.3600000000001</x:v>
      </x:c>
      <x:c r="L1199" s="2" t="str">
        <x:v>Finished area; two coats priced in rate</x:v>
      </x:c>
      <x:c r="M1199" s="2"/>
      <x:c r="N1199" s="2"/>
      <x:c r="O1199" s="2"/>
      <x:c r="P1199" s="2"/>
      <x:c r="Q1199" s="2"/>
    </x:row>
    <x:row r="1200" ht="22" customHeight="1">
      <x:c r="A1200" s="7" t="str">
        <x:v>M1193</x:v>
      </x:c>
      <x:c r="B1200" s="7" t="str">
        <x:v>AR06</x:v>
      </x:c>
      <x:c r="C1200" s="7" t="str">
        <x:v>T4</x:v>
      </x:c>
      <x:c r="D1200" s="7" t="str">
        <x:v>L11</x:v>
      </x:c>
      <x:c r="E1200" s="7" t="str">
        <x:v>Door sets</x:v>
      </x:c>
      <x:c r="F1200" s="20" t="n">
        <x:f>'Controls'!$B$48</x:f>
        <x:v>28</x:v>
      </x:c>
      <x:c r="G1200" s="20" t="n">
        <x:v>1</x:v>
      </x:c>
      <x:c r="H1200" s="20" t="n">
        <x:v>1</x:v>
      </x:c>
      <x:c r="I1200" s="20" t="n">
        <x:v>1</x:v>
      </x:c>
      <x:c r="J1200" s="20" t="n">
        <x:v>1</x:v>
      </x:c>
      <x:c r="K1200" s="20" t="n">
        <x:f>F1200*G1200*H1200*I1200*J1200</x:f>
        <x:v>28</x:v>
      </x:c>
      <x:c r="L1200" s="7" t="str">
        <x:v>Door count, not double face</x:v>
      </x:c>
      <x:c r="M1200" s="2"/>
      <x:c r="N1200" s="2"/>
      <x:c r="O1200" s="2"/>
      <x:c r="P1200" s="2"/>
      <x:c r="Q1200" s="2"/>
    </x:row>
    <x:row r="1201" ht="22" customHeight="1">
      <x:c r="A1201" s="2" t="str">
        <x:v>M1194</x:v>
      </x:c>
      <x:c r="B1201" s="2" t="str">
        <x:v>RC03</x:v>
      </x:c>
      <x:c r="C1201" s="2" t="str">
        <x:v>T4</x:v>
      </x:c>
      <x:c r="D1201" s="2" t="str">
        <x:v>L12</x:v>
      </x:c>
      <x:c r="E1201" s="2" t="str">
        <x:v>Floor slab gross</x:v>
      </x:c>
      <x:c r="F1201" s="21" t="n">
        <x:v>1</x:v>
      </x:c>
      <x:c r="G1201" s="21" t="n">
        <x:f>'Controls'!$B$10</x:f>
        <x:v>30</x:v>
      </x:c>
      <x:c r="H1201" s="21" t="n">
        <x:f>'Controls'!$B$11</x:f>
        <x:v>24</x:v>
      </x:c>
      <x:c r="I1201" s="21" t="n">
        <x:f>'Controls'!$B$13</x:f>
        <x:v>0.22</x:v>
      </x:c>
      <x:c r="J1201" s="21" t="n">
        <x:v>1</x:v>
      </x:c>
      <x:c r="K1201" s="21" t="n">
        <x:f>F1201*G1201*H1201*I1201*J1201</x:f>
        <x:v>158.4</x:v>
      </x:c>
      <x:c r="L1201" s="2" t="str">
        <x:v>Slab includes beam top flange; downstand separate</x:v>
      </x:c>
      <x:c r="M1201" s="2"/>
      <x:c r="N1201" s="2"/>
      <x:c r="O1201" s="2"/>
      <x:c r="P1201" s="2"/>
      <x:c r="Q1201" s="2"/>
    </x:row>
    <x:row r="1202" ht="22" customHeight="1">
      <x:c r="A1202" s="7" t="str">
        <x:v>M1195</x:v>
      </x:c>
      <x:c r="B1202" s="7" t="str">
        <x:v>RC03</x:v>
      </x:c>
      <x:c r="C1202" s="7" t="str">
        <x:v>T4</x:v>
      </x:c>
      <x:c r="D1202" s="7" t="str">
        <x:v>L12</x:v>
      </x:c>
      <x:c r="E1202" s="7" t="str">
        <x:v>Stair opening deduction</x:v>
      </x:c>
      <x:c r="F1202" s="20" t="n">
        <x:v>1</x:v>
      </x:c>
      <x:c r="G1202" s="20" t="n">
        <x:f>'Controls'!$B$20</x:f>
        <x:v>4</x:v>
      </x:c>
      <x:c r="H1202" s="20" t="n">
        <x:f>'Controls'!$B$21</x:f>
        <x:v>6</x:v>
      </x:c>
      <x:c r="I1202" s="20" t="n">
        <x:f>'Controls'!$B$13</x:f>
        <x:v>0.22</x:v>
      </x:c>
      <x:c r="J1202" s="20" t="n">
        <x:v>-1</x:v>
      </x:c>
      <x:c r="K1202" s="20" t="n">
        <x:f>F1202*G1202*H1202*I1202*J1202</x:f>
        <x:v>-5.28</x:v>
      </x:c>
      <x:c r="L1202" s="7" t="str">
        <x:v>Opening OP-01</x:v>
      </x:c>
      <x:c r="M1202" s="2"/>
      <x:c r="N1202" s="2"/>
      <x:c r="O1202" s="2"/>
      <x:c r="P1202" s="2"/>
      <x:c r="Q1202" s="2"/>
    </x:row>
    <x:row r="1203" ht="22" customHeight="1">
      <x:c r="A1203" s="2" t="str">
        <x:v>M1196</x:v>
      </x:c>
      <x:c r="B1203" s="2" t="str">
        <x:v>RC04</x:v>
      </x:c>
      <x:c r="C1203" s="2" t="str">
        <x:v>T4</x:v>
      </x:c>
      <x:c r="D1203" s="2" t="str">
        <x:v>L12</x:v>
      </x:c>
      <x:c r="E1203" s="2" t="str">
        <x:v>Beam downstands X</x:v>
      </x:c>
      <x:c r="F1203" s="21" t="n">
        <x:v>1</x:v>
      </x:c>
      <x:c r="G1203" s="21" t="n">
        <x:f>5*5*('Controls'!$B$10/5-'Controls'!$B$14)</x:f>
        <x:v>137.5</x:v>
      </x:c>
      <x:c r="H1203" s="21" t="n">
        <x:f>'Controls'!$B$16</x:f>
        <x:v>0.3</x:v>
      </x:c>
      <x:c r="I1203" s="21" t="n">
        <x:f>'Controls'!$B$17-'Controls'!$B$13</x:f>
        <x:v>0.38</x:v>
      </x:c>
      <x:c r="J1203" s="21" t="n">
        <x:v>1</x:v>
      </x:c>
      <x:c r="K1203" s="21" t="n">
        <x:f>F1203*G1203*H1203*I1203*J1203</x:f>
        <x:v>15.675</x:v>
      </x:c>
      <x:c r="L1203" s="2" t="str">
        <x:v>Clear spans between column faces; no joint overlap</x:v>
      </x:c>
      <x:c r="M1203" s="2"/>
      <x:c r="N1203" s="2"/>
      <x:c r="O1203" s="2"/>
      <x:c r="P1203" s="2"/>
      <x:c r="Q1203" s="2"/>
    </x:row>
    <x:row r="1204" ht="22" customHeight="1">
      <x:c r="A1204" s="7" t="str">
        <x:v>M1197</x:v>
      </x:c>
      <x:c r="B1204" s="7" t="str">
        <x:v>FW02</x:v>
      </x:c>
      <x:c r="C1204" s="7" t="str">
        <x:v>T4</x:v>
      </x:c>
      <x:c r="D1204" s="7" t="str">
        <x:v>L12</x:v>
      </x:c>
      <x:c r="E1204" s="7" t="str">
        <x:v>Beam forms X</x:v>
      </x:c>
      <x:c r="F1204" s="20" t="n">
        <x:v>1</x:v>
      </x:c>
      <x:c r="G1204" s="20" t="n">
        <x:f>5*5*('Controls'!$B$10/5-'Controls'!$B$14)</x:f>
        <x:v>137.5</x:v>
      </x:c>
      <x:c r="H1204" s="20" t="n">
        <x:f>'Controls'!$B$16+2*('Controls'!$B$17-'Controls'!$B$13)</x:f>
        <x:v>1.06</x:v>
      </x:c>
      <x:c r="I1204" s="20" t="n">
        <x:v>1</x:v>
      </x:c>
      <x:c r="J1204" s="20" t="n">
        <x:v>1</x:v>
      </x:c>
      <x:c r="K1204" s="20" t="n">
        <x:f>F1204*G1204*H1204*I1204*J1204</x:f>
        <x:v>145.75</x:v>
      </x:c>
      <x:c r="L1204" s="7" t="str">
        <x:v>Soffit plus two downstand sides</x:v>
      </x:c>
      <x:c r="M1204" s="2"/>
      <x:c r="N1204" s="2"/>
      <x:c r="O1204" s="2"/>
      <x:c r="P1204" s="2"/>
      <x:c r="Q1204" s="2"/>
    </x:row>
    <x:row r="1205" ht="22" customHeight="1">
      <x:c r="A1205" s="2" t="str">
        <x:v>M1198</x:v>
      </x:c>
      <x:c r="B1205" s="2" t="str">
        <x:v>RC04</x:v>
      </x:c>
      <x:c r="C1205" s="2" t="str">
        <x:v>T4</x:v>
      </x:c>
      <x:c r="D1205" s="2" t="str">
        <x:v>L12</x:v>
      </x:c>
      <x:c r="E1205" s="2" t="str">
        <x:v>Beam downstands Y</x:v>
      </x:c>
      <x:c r="F1205" s="21" t="n">
        <x:v>1</x:v>
      </x:c>
      <x:c r="G1205" s="21" t="n">
        <x:f>6*4*('Controls'!$B$11/4-'Controls'!$B$15)</x:f>
        <x:v>132</x:v>
      </x:c>
      <x:c r="H1205" s="21" t="n">
        <x:f>'Controls'!$B$16</x:f>
        <x:v>0.3</x:v>
      </x:c>
      <x:c r="I1205" s="21" t="n">
        <x:f>'Controls'!$B$17-'Controls'!$B$13</x:f>
        <x:v>0.38</x:v>
      </x:c>
      <x:c r="J1205" s="21" t="n">
        <x:v>1</x:v>
      </x:c>
      <x:c r="K1205" s="21" t="n">
        <x:f>F1205*G1205*H1205*I1205*J1205</x:f>
        <x:v>15.048</x:v>
      </x:c>
      <x:c r="L1205" s="2" t="str">
        <x:v>Clear spans between column faces; no joint overlap</x:v>
      </x:c>
      <x:c r="M1205" s="2"/>
      <x:c r="N1205" s="2"/>
      <x:c r="O1205" s="2"/>
      <x:c r="P1205" s="2"/>
      <x:c r="Q1205" s="2"/>
    </x:row>
    <x:row r="1206" ht="22" customHeight="1">
      <x:c r="A1206" s="7" t="str">
        <x:v>M1199</x:v>
      </x:c>
      <x:c r="B1206" s="7" t="str">
        <x:v>FW02</x:v>
      </x:c>
      <x:c r="C1206" s="7" t="str">
        <x:v>T4</x:v>
      </x:c>
      <x:c r="D1206" s="7" t="str">
        <x:v>L12</x:v>
      </x:c>
      <x:c r="E1206" s="7" t="str">
        <x:v>Beam forms Y</x:v>
      </x:c>
      <x:c r="F1206" s="20" t="n">
        <x:v>1</x:v>
      </x:c>
      <x:c r="G1206" s="20" t="n">
        <x:f>6*4*('Controls'!$B$11/4-'Controls'!$B$15)</x:f>
        <x:v>132</x:v>
      </x:c>
      <x:c r="H1206" s="20" t="n">
        <x:f>'Controls'!$B$16+2*('Controls'!$B$17-'Controls'!$B$13)</x:f>
        <x:v>1.06</x:v>
      </x:c>
      <x:c r="I1206" s="20" t="n">
        <x:v>1</x:v>
      </x:c>
      <x:c r="J1206" s="20" t="n">
        <x:v>1</x:v>
      </x:c>
      <x:c r="K1206" s="20" t="n">
        <x:f>F1206*G1206*H1206*I1206*J1206</x:f>
        <x:v>139.92000000000002</x:v>
      </x:c>
      <x:c r="L1206" s="7" t="str">
        <x:v>Soffit plus two downstand sides</x:v>
      </x:c>
      <x:c r="M1206" s="2"/>
      <x:c r="N1206" s="2"/>
      <x:c r="O1206" s="2"/>
      <x:c r="P1206" s="2"/>
      <x:c r="Q1206" s="2"/>
    </x:row>
    <x:row r="1207" ht="22" customHeight="1">
      <x:c r="A1207" s="2" t="str">
        <x:v>M1200</x:v>
      </x:c>
      <x:c r="B1207" s="2" t="str">
        <x:v>RC05</x:v>
      </x:c>
      <x:c r="C1207" s="2" t="str">
        <x:v>T4</x:v>
      </x:c>
      <x:c r="D1207" s="2" t="str">
        <x:v>L12</x:v>
      </x:c>
      <x:c r="E1207" s="2" t="str">
        <x:v>Thirty columns, clear storey</x:v>
      </x:c>
      <x:c r="F1207" s="21" t="n">
        <x:v>30</x:v>
      </x:c>
      <x:c r="G1207" s="21" t="n">
        <x:f>'Controls'!$B$14</x:f>
        <x:v>0.5</x:v>
      </x:c>
      <x:c r="H1207" s="21" t="n">
        <x:f>'Controls'!$B$15</x:f>
        <x:v>0.5</x:v>
      </x:c>
      <x:c r="I1207" s="21" t="n">
        <x:f>'Controls'!$B$12-'Controls'!$B$13</x:f>
        <x:v>2.98</x:v>
      </x:c>
      <x:c r="J1207" s="21" t="n">
        <x:v>1</x:v>
      </x:c>
      <x:c r="K1207" s="21" t="n">
        <x:f>F1207*G1207*H1207*I1207*J1207</x:f>
        <x:v>22.35</x:v>
      </x:c>
      <x:c r="L1207" s="2" t="str">
        <x:v>Slab volume excluded from columns</x:v>
      </x:c>
      <x:c r="M1207" s="2"/>
      <x:c r="N1207" s="2"/>
      <x:c r="O1207" s="2"/>
      <x:c r="P1207" s="2"/>
      <x:c r="Q1207" s="2"/>
    </x:row>
    <x:row r="1208" ht="22" customHeight="1">
      <x:c r="A1208" s="7" t="str">
        <x:v>M1201</x:v>
      </x:c>
      <x:c r="B1208" s="7" t="str">
        <x:v>RC06</x:v>
      </x:c>
      <x:c r="C1208" s="7" t="str">
        <x:v>T4</x:v>
      </x:c>
      <x:c r="D1208" s="7" t="str">
        <x:v>L12</x:v>
      </x:c>
      <x:c r="E1208" s="7" t="str">
        <x:v>Core walls clear storey</x:v>
      </x:c>
      <x:c r="F1208" s="20" t="n">
        <x:v>1</x:v>
      </x:c>
      <x:c r="G1208" s="20" t="n">
        <x:f>'Controls'!$B$19</x:f>
        <x:v>24</x:v>
      </x:c>
      <x:c r="H1208" s="20" t="n">
        <x:f>'Controls'!$B$18</x:f>
        <x:v>0.25</x:v>
      </x:c>
      <x:c r="I1208" s="20" t="n">
        <x:f>'Controls'!$B$12-'Controls'!$B$13</x:f>
        <x:v>2.98</x:v>
      </x:c>
      <x:c r="J1208" s="20" t="n">
        <x:v>1</x:v>
      </x:c>
      <x:c r="K1208" s="20" t="n">
        <x:f>F1208*G1208*H1208*I1208*J1208</x:f>
        <x:v>17.88</x:v>
      </x:c>
      <x:c r="L1208" s="7" t="str">
        <x:v>Net clear wall length excludes corners</x:v>
      </x:c>
      <x:c r="M1208" s="2"/>
      <x:c r="N1208" s="2"/>
      <x:c r="O1208" s="2"/>
      <x:c r="P1208" s="2"/>
      <x:c r="Q1208" s="2"/>
    </x:row>
    <x:row r="1209" ht="22" customHeight="1">
      <x:c r="A1209" s="2" t="str">
        <x:v>M1202</x:v>
      </x:c>
      <x:c r="B1209" s="2" t="str">
        <x:v>RC07</x:v>
      </x:c>
      <x:c r="C1209" s="2" t="str">
        <x:v>T4</x:v>
      </x:c>
      <x:c r="D1209" s="2" t="str">
        <x:v>L12</x:v>
      </x:c>
      <x:c r="E1209" s="2" t="str">
        <x:v>Stair flights waist</x:v>
      </x:c>
      <x:c r="F1209" s="21" t="n">
        <x:v>2</x:v>
      </x:c>
      <x:c r="G1209" s="21" t="n">
        <x:v>4.1</x:v>
      </x:c>
      <x:c r="H1209" s="21" t="n">
        <x:v>1.2</x:v>
      </x:c>
      <x:c r="I1209" s="21" t="n">
        <x:v>0.18</x:v>
      </x:c>
      <x:c r="J1209" s="21" t="n">
        <x:v>1</x:v>
      </x:c>
      <x:c r="K1209" s="21" t="n">
        <x:f>F1209*G1209*H1209*I1209*J1209</x:f>
        <x:v>1.7711999999999997</x:v>
      </x:c>
      <x:c r="L1209" s="2" t="str">
        <x:v>Two flights; geometry separate from floor slab</x:v>
      </x:c>
      <x:c r="M1209" s="2"/>
      <x:c r="N1209" s="2"/>
      <x:c r="O1209" s="2"/>
      <x:c r="P1209" s="2"/>
      <x:c r="Q1209" s="2"/>
    </x:row>
    <x:row r="1210" ht="22" customHeight="1">
      <x:c r="A1210" s="7" t="str">
        <x:v>M1203</x:v>
      </x:c>
      <x:c r="B1210" s="7" t="str">
        <x:v>RC07</x:v>
      </x:c>
      <x:c r="C1210" s="7" t="str">
        <x:v>T4</x:v>
      </x:c>
      <x:c r="D1210" s="7" t="str">
        <x:v>L12</x:v>
      </x:c>
      <x:c r="E1210" s="7" t="str">
        <x:v>Stair landings</x:v>
      </x:c>
      <x:c r="F1210" s="20" t="n">
        <x:v>2</x:v>
      </x:c>
      <x:c r="G1210" s="20" t="n">
        <x:v>2</x:v>
      </x:c>
      <x:c r="H1210" s="20" t="n">
        <x:v>1.2</x:v>
      </x:c>
      <x:c r="I1210" s="20" t="n">
        <x:v>0.18</x:v>
      </x:c>
      <x:c r="J1210" s="20" t="n">
        <x:v>1</x:v>
      </x:c>
      <x:c r="K1210" s="20" t="n">
        <x:f>F1210*G1210*H1210*I1210*J1210</x:f>
        <x:v>0.864</x:v>
      </x:c>
      <x:c r="L1210" s="7" t="str">
        <x:v>Within stair opening</x:v>
      </x:c>
      <x:c r="M1210" s="2"/>
      <x:c r="N1210" s="2"/>
      <x:c r="O1210" s="2"/>
      <x:c r="P1210" s="2"/>
      <x:c r="Q1210" s="2"/>
    </x:row>
    <x:row r="1211" ht="22" customHeight="1">
      <x:c r="A1211" s="2" t="str">
        <x:v>M1204</x:v>
      </x:c>
      <x:c r="B1211" s="2" t="str">
        <x:v>FW01</x:v>
      </x:c>
      <x:c r="C1211" s="2" t="str">
        <x:v>T4</x:v>
      </x:c>
      <x:c r="D1211" s="2" t="str">
        <x:v>L12</x:v>
      </x:c>
      <x:c r="E1211" s="2" t="str">
        <x:v>Slab soffit gross</x:v>
      </x:c>
      <x:c r="F1211" s="21" t="n">
        <x:v>1</x:v>
      </x:c>
      <x:c r="G1211" s="21" t="n">
        <x:f>'Controls'!$B$10</x:f>
        <x:v>30</x:v>
      </x:c>
      <x:c r="H1211" s="21" t="n">
        <x:f>'Controls'!$B$11</x:f>
        <x:v>24</x:v>
      </x:c>
      <x:c r="I1211" s="21" t="n">
        <x:v>1</x:v>
      </x:c>
      <x:c r="J1211" s="21" t="n">
        <x:v>1</x:v>
      </x:c>
      <x:c r="K1211" s="21" t="n">
        <x:f>F1211*G1211*H1211*I1211*J1211</x:f>
        <x:v>720</x:v>
      </x:c>
      <x:c r="L1211" s="2" t="str">
        <x:v>Beam soffit deducted below</x:v>
      </x:c>
      <x:c r="M1211" s="2"/>
      <x:c r="N1211" s="2"/>
      <x:c r="O1211" s="2"/>
      <x:c r="P1211" s="2"/>
      <x:c r="Q1211" s="2"/>
    </x:row>
    <x:row r="1212" ht="22" customHeight="1">
      <x:c r="A1212" s="7" t="str">
        <x:v>M1205</x:v>
      </x:c>
      <x:c r="B1212" s="7" t="str">
        <x:v>FW01</x:v>
      </x:c>
      <x:c r="C1212" s="7" t="str">
        <x:v>T4</x:v>
      </x:c>
      <x:c r="D1212" s="7" t="str">
        <x:v>L12</x:v>
      </x:c>
      <x:c r="E1212" s="7" t="str">
        <x:v>Stair opening deduction</x:v>
      </x:c>
      <x:c r="F1212" s="20" t="n">
        <x:v>1</x:v>
      </x:c>
      <x:c r="G1212" s="20" t="n">
        <x:f>'Controls'!$B$20</x:f>
        <x:v>4</x:v>
      </x:c>
      <x:c r="H1212" s="20" t="n">
        <x:f>'Controls'!$B$21</x:f>
        <x:v>6</x:v>
      </x:c>
      <x:c r="I1212" s="20" t="n">
        <x:v>1</x:v>
      </x:c>
      <x:c r="J1212" s="20" t="n">
        <x:v>-1</x:v>
      </x:c>
      <x:c r="K1212" s="20" t="n">
        <x:f>F1212*G1212*H1212*I1212*J1212</x:f>
        <x:v>-24</x:v>
      </x:c>
      <x:c r="L1212" s="7" t="str">
        <x:v>OP-01</x:v>
      </x:c>
      <x:c r="M1212" s="2"/>
      <x:c r="N1212" s="2"/>
      <x:c r="O1212" s="2"/>
      <x:c r="P1212" s="2"/>
      <x:c r="Q1212" s="2"/>
    </x:row>
    <x:row r="1213" ht="22" customHeight="1">
      <x:c r="A1213" s="2" t="str">
        <x:v>M1206</x:v>
      </x:c>
      <x:c r="B1213" s="2" t="str">
        <x:v>FW01</x:v>
      </x:c>
      <x:c r="C1213" s="2" t="str">
        <x:v>T4</x:v>
      </x:c>
      <x:c r="D1213" s="2" t="str">
        <x:v>L12</x:v>
      </x:c>
      <x:c r="E1213" s="2" t="str">
        <x:v>Beam soffit deduction</x:v>
      </x:c>
      <x:c r="F1213" s="21" t="n">
        <x:v>1</x:v>
      </x:c>
      <x:c r="G1213" s="21" t="n">
        <x:f>5*5*('Controls'!$B$10/5-'Controls'!$B$14)+6*4*('Controls'!$B$11/4-'Controls'!$B$15)</x:f>
        <x:v>269.5</x:v>
      </x:c>
      <x:c r="H1213" s="21" t="n">
        <x:f>'Controls'!$B$16</x:f>
        <x:v>0.3</x:v>
      </x:c>
      <x:c r="I1213" s="21" t="n">
        <x:v>1</x:v>
      </x:c>
      <x:c r="J1213" s="21" t="n">
        <x:v>-1</x:v>
      </x:c>
      <x:c r="K1213" s="21" t="n">
        <x:f>F1213*G1213*H1213*I1213*J1213</x:f>
        <x:v>-80.85</x:v>
      </x:c>
      <x:c r="L1213" s="2" t="str">
        <x:v>Beam forms measured in FW02</x:v>
      </x:c>
      <x:c r="M1213" s="2"/>
      <x:c r="N1213" s="2"/>
      <x:c r="O1213" s="2"/>
      <x:c r="P1213" s="2"/>
      <x:c r="Q1213" s="2"/>
    </x:row>
    <x:row r="1214" ht="22" customHeight="1">
      <x:c r="A1214" s="7" t="str">
        <x:v>M1207</x:v>
      </x:c>
      <x:c r="B1214" s="7" t="str">
        <x:v>FW03</x:v>
      </x:c>
      <x:c r="C1214" s="7" t="str">
        <x:v>T4</x:v>
      </x:c>
      <x:c r="D1214" s="7" t="str">
        <x:v>L12</x:v>
      </x:c>
      <x:c r="E1214" s="7" t="str">
        <x:v>Column four faces</x:v>
      </x:c>
      <x:c r="F1214" s="20" t="n">
        <x:v>30</x:v>
      </x:c>
      <x:c r="G1214" s="20" t="n">
        <x:f>2*('Controls'!$B$14+'Controls'!$B$15)</x:f>
        <x:v>2</x:v>
      </x:c>
      <x:c r="H1214" s="20" t="n">
        <x:f>'Controls'!$B$12-'Controls'!$B$13</x:f>
        <x:v>2.98</x:v>
      </x:c>
      <x:c r="I1214" s="20" t="n">
        <x:v>1</x:v>
      </x:c>
      <x:c r="J1214" s="20" t="n">
        <x:v>1</x:v>
      </x:c>
      <x:c r="K1214" s="20" t="n">
        <x:f>F1214*G1214*H1214*I1214*J1214</x:f>
        <x:v>178.8</x:v>
      </x:c>
      <x:c r="L1214" s="7" t="str">
        <x:v>Clear floor-to-soffit</x:v>
      </x:c>
      <x:c r="M1214" s="2"/>
      <x:c r="N1214" s="2"/>
      <x:c r="O1214" s="2"/>
      <x:c r="P1214" s="2"/>
      <x:c r="Q1214" s="2"/>
    </x:row>
    <x:row r="1215" ht="22" customHeight="1">
      <x:c r="A1215" s="2" t="str">
        <x:v>M1208</x:v>
      </x:c>
      <x:c r="B1215" s="2" t="str">
        <x:v>FW04</x:v>
      </x:c>
      <x:c r="C1215" s="2" t="str">
        <x:v>T4</x:v>
      </x:c>
      <x:c r="D1215" s="2" t="str">
        <x:v>L12</x:v>
      </x:c>
      <x:c r="E1215" s="2" t="str">
        <x:v>Core wall two faces</x:v>
      </x:c>
      <x:c r="F1215" s="21" t="n">
        <x:v>2</x:v>
      </x:c>
      <x:c r="G1215" s="21" t="n">
        <x:f>'Controls'!$B$19</x:f>
        <x:v>24</x:v>
      </x:c>
      <x:c r="H1215" s="21" t="n">
        <x:f>'Controls'!$B$12-'Controls'!$B$13</x:f>
        <x:v>2.98</x:v>
      </x:c>
      <x:c r="I1215" s="21" t="n">
        <x:v>1</x:v>
      </x:c>
      <x:c r="J1215" s="21" t="n">
        <x:v>1</x:v>
      </x:c>
      <x:c r="K1215" s="21" t="n">
        <x:f>F1215*G1215*H1215*I1215*J1215</x:f>
        <x:v>143.04</x:v>
      </x:c>
      <x:c r="L1215" s="2" t="str">
        <x:v>Net perimeter, no repeated corners</x:v>
      </x:c>
      <x:c r="M1215" s="2"/>
      <x:c r="N1215" s="2"/>
      <x:c r="O1215" s="2"/>
      <x:c r="P1215" s="2"/>
      <x:c r="Q1215" s="2"/>
    </x:row>
    <x:row r="1216" ht="22" customHeight="1">
      <x:c r="A1216" s="7" t="str">
        <x:v>M1209</x:v>
      </x:c>
      <x:c r="B1216" s="7" t="str">
        <x:v>AR01</x:v>
      </x:c>
      <x:c r="C1216" s="7" t="str">
        <x:v>T4</x:v>
      </x:c>
      <x:c r="D1216" s="7" t="str">
        <x:v>L12</x:v>
      </x:c>
      <x:c r="E1216" s="7" t="str">
        <x:v>Partition walls gross</x:v>
      </x:c>
      <x:c r="F1216" s="20" t="n">
        <x:v>1</x:v>
      </x:c>
      <x:c r="G1216" s="20" t="n">
        <x:f>'Controls'!$B$45</x:f>
        <x:v>220</x:v>
      </x:c>
      <x:c r="H1216" s="20" t="n">
        <x:f>'Controls'!$B$12-'Controls'!$B$13</x:f>
        <x:v>2.98</x:v>
      </x:c>
      <x:c r="I1216" s="20" t="n">
        <x:f>'Controls'!$B$46</x:f>
        <x:v>0.15</x:v>
      </x:c>
      <x:c r="J1216" s="20" t="n">
        <x:v>1</x:v>
      </x:c>
      <x:c r="K1216" s="20" t="n">
        <x:f>F1216*G1216*H1216*I1216*J1216</x:f>
        <x:v>98.34</x:v>
      </x:c>
      <x:c r="L1216" s="7" t="str">
        <x:v>Net openings deducted below</x:v>
      </x:c>
      <x:c r="M1216" s="2"/>
      <x:c r="N1216" s="2"/>
      <x:c r="O1216" s="2"/>
      <x:c r="P1216" s="2"/>
      <x:c r="Q1216" s="2"/>
    </x:row>
    <x:row r="1217" ht="22" customHeight="1">
      <x:c r="A1217" s="2" t="str">
        <x:v>M1210</x:v>
      </x:c>
      <x:c r="B1217" s="2" t="str">
        <x:v>AR01</x:v>
      </x:c>
      <x:c r="C1217" s="2" t="str">
        <x:v>T4</x:v>
      </x:c>
      <x:c r="D1217" s="2" t="str">
        <x:v>L12</x:v>
      </x:c>
      <x:c r="E1217" s="2" t="str">
        <x:v>Internal doors deduction</x:v>
      </x:c>
      <x:c r="F1217" s="21" t="n">
        <x:f>'Controls'!$B$48</x:f>
        <x:v>28</x:v>
      </x:c>
      <x:c r="G1217" s="21" t="n">
        <x:f>'Controls'!$B$49</x:f>
        <x:v>0.9</x:v>
      </x:c>
      <x:c r="H1217" s="21" t="n">
        <x:f>'Controls'!$B$50</x:f>
        <x:v>2.1</x:v>
      </x:c>
      <x:c r="I1217" s="21" t="n">
        <x:f>'Controls'!$B$46</x:f>
        <x:v>0.15</x:v>
      </x:c>
      <x:c r="J1217" s="21" t="n">
        <x:v>-1</x:v>
      </x:c>
      <x:c r="K1217" s="21" t="n">
        <x:f>F1217*G1217*H1217*I1217*J1217</x:f>
        <x:v>-7.938</x:v>
      </x:c>
      <x:c r="L1217" s="2" t="str">
        <x:v>28 doors per floor, OP-02</x:v>
      </x:c>
      <x:c r="M1217" s="2"/>
      <x:c r="N1217" s="2"/>
      <x:c r="O1217" s="2"/>
      <x:c r="P1217" s="2"/>
      <x:c r="Q1217" s="2"/>
    </x:row>
    <x:row r="1218" ht="22" customHeight="1">
      <x:c r="A1218" s="7" t="str">
        <x:v>M1211</x:v>
      </x:c>
      <x:c r="B1218" s="7" t="str">
        <x:v>AR02</x:v>
      </x:c>
      <x:c r="C1218" s="7" t="str">
        <x:v>T4</x:v>
      </x:c>
      <x:c r="D1218" s="7" t="str">
        <x:v>L12</x:v>
      </x:c>
      <x:c r="E1218" s="7" t="str">
        <x:v>Internal plaster gross</x:v>
      </x:c>
      <x:c r="F1218" s="20" t="n">
        <x:v>2</x:v>
      </x:c>
      <x:c r="G1218" s="20" t="n">
        <x:f>'Controls'!$B$45</x:f>
        <x:v>220</x:v>
      </x:c>
      <x:c r="H1218" s="20" t="n">
        <x:f>'Controls'!$B$12-'Controls'!$B$13</x:f>
        <x:v>2.98</x:v>
      </x:c>
      <x:c r="I1218" s="20" t="n">
        <x:v>1</x:v>
      </x:c>
      <x:c r="J1218" s="20" t="n">
        <x:v>1</x:v>
      </x:c>
      <x:c r="K1218" s="20" t="n">
        <x:f>F1218*G1218*H1218*I1218*J1218</x:f>
        <x:v>1311.2</x:v>
      </x:c>
      <x:c r="L1218" s="7" t="str">
        <x:v>Both faces of partition walls</x:v>
      </x:c>
      <x:c r="M1218" s="2"/>
      <x:c r="N1218" s="2"/>
      <x:c r="O1218" s="2"/>
      <x:c r="P1218" s="2"/>
      <x:c r="Q1218" s="2"/>
    </x:row>
    <x:row r="1219" ht="22" customHeight="1">
      <x:c r="A1219" s="2" t="str">
        <x:v>M1212</x:v>
      </x:c>
      <x:c r="B1219" s="2" t="str">
        <x:v>AR02</x:v>
      </x:c>
      <x:c r="C1219" s="2" t="str">
        <x:v>T4</x:v>
      </x:c>
      <x:c r="D1219" s="2" t="str">
        <x:v>L12</x:v>
      </x:c>
      <x:c r="E1219" s="2" t="str">
        <x:v>Door area deduction both faces</x:v>
      </x:c>
      <x:c r="F1219" s="21" t="n">
        <x:f>2*'Controls'!$B$48</x:f>
        <x:v>56</x:v>
      </x:c>
      <x:c r="G1219" s="21" t="n">
        <x:f>'Controls'!$B$49</x:f>
        <x:v>0.9</x:v>
      </x:c>
      <x:c r="H1219" s="21" t="n">
        <x:f>'Controls'!$B$50</x:f>
        <x:v>2.1</x:v>
      </x:c>
      <x:c r="I1219" s="21" t="n">
        <x:v>1</x:v>
      </x:c>
      <x:c r="J1219" s="21" t="n">
        <x:v>-1</x:v>
      </x:c>
      <x:c r="K1219" s="21" t="n">
        <x:f>F1219*G1219*H1219*I1219*J1219</x:f>
        <x:v>-105.84</x:v>
      </x:c>
      <x:c r="L1219" s="2" t="str">
        <x:v>No plaster over openings</x:v>
      </x:c>
      <x:c r="M1219" s="2"/>
      <x:c r="N1219" s="2"/>
      <x:c r="O1219" s="2"/>
      <x:c r="P1219" s="2"/>
      <x:c r="Q1219" s="2"/>
    </x:row>
    <x:row r="1220" ht="22" customHeight="1">
      <x:c r="A1220" s="7" t="str">
        <x:v>M1213</x:v>
      </x:c>
      <x:c r="B1220" s="7" t="str">
        <x:v>AR03</x:v>
      </x:c>
      <x:c r="C1220" s="7" t="str">
        <x:v>T4</x:v>
      </x:c>
      <x:c r="D1220" s="7" t="str">
        <x:v>L12</x:v>
      </x:c>
      <x:c r="E1220" s="7" t="str">
        <x:v>Floor screed net</x:v>
      </x:c>
      <x:c r="F1220" s="20" t="n">
        <x:v>1</x:v>
      </x:c>
      <x:c r="G1220" s="20" t="n">
        <x:f>'Controls'!$B$10*'Controls'!$B$11-'Controls'!$B$20*'Controls'!$B$21</x:f>
        <x:v>696</x:v>
      </x:c>
      <x:c r="H1220" s="20" t="n">
        <x:v>1</x:v>
      </x:c>
      <x:c r="I1220" s="20" t="n">
        <x:v>1</x:v>
      </x:c>
      <x:c r="J1220" s="20" t="n">
        <x:v>1</x:v>
      </x:c>
      <x:c r="K1220" s="20" t="n">
        <x:f>F1220*G1220*H1220*I1220*J1220</x:f>
        <x:v>696</x:v>
      </x:c>
      <x:c r="L1220" s="7" t="str">
        <x:v>Net structural floor area</x:v>
      </x:c>
      <x:c r="M1220" s="2"/>
      <x:c r="N1220" s="2"/>
      <x:c r="O1220" s="2"/>
      <x:c r="P1220" s="2"/>
      <x:c r="Q1220" s="2"/>
    </x:row>
    <x:row r="1221" ht="22" customHeight="1">
      <x:c r="A1221" s="2" t="str">
        <x:v>M1214</x:v>
      </x:c>
      <x:c r="B1221" s="2" t="str">
        <x:v>AR04</x:v>
      </x:c>
      <x:c r="C1221" s="2" t="str">
        <x:v>T4</x:v>
      </x:c>
      <x:c r="D1221" s="2" t="str">
        <x:v>L12</x:v>
      </x:c>
      <x:c r="E1221" s="2" t="str">
        <x:v>Floor finish net</x:v>
      </x:c>
      <x:c r="F1221" s="21" t="n">
        <x:v>1</x:v>
      </x:c>
      <x:c r="G1221" s="21" t="n">
        <x:f>'Controls'!$B$10*'Controls'!$B$11-'Controls'!$B$20*'Controls'!$B$21</x:f>
        <x:v>696</x:v>
      </x:c>
      <x:c r="H1221" s="21" t="n">
        <x:v>1</x:v>
      </x:c>
      <x:c r="I1221" s="21" t="n">
        <x:v>1</x:v>
      </x:c>
      <x:c r="J1221" s="21" t="n">
        <x:v>1</x:v>
      </x:c>
      <x:c r="K1221" s="21" t="n">
        <x:f>F1221*G1221*H1221*I1221*J1221</x:f>
        <x:v>696</x:v>
      </x:c>
      <x:c r="L1221" s="2" t="str">
        <x:v>Waste excluded from BOQ</x:v>
      </x:c>
      <x:c r="M1221" s="2"/>
      <x:c r="N1221" s="2"/>
      <x:c r="O1221" s="2"/>
      <x:c r="P1221" s="2"/>
      <x:c r="Q1221" s="2"/>
    </x:row>
    <x:row r="1222" ht="22" customHeight="1">
      <x:c r="A1222" s="7" t="str">
        <x:v>M1215</x:v>
      </x:c>
      <x:c r="B1222" s="7" t="str">
        <x:v>AR05</x:v>
      </x:c>
      <x:c r="C1222" s="7" t="str">
        <x:v>T4</x:v>
      </x:c>
      <x:c r="D1222" s="7" t="str">
        <x:v>L12</x:v>
      </x:c>
      <x:c r="E1222" s="7" t="str">
        <x:v>Internal wall paint net</x:v>
      </x:c>
      <x:c r="F1222" s="20" t="n">
        <x:v>2</x:v>
      </x:c>
      <x:c r="G1222" s="20" t="n">
        <x:f>'Controls'!$B$45*('Controls'!$B$12-'Controls'!$B$13)-'Controls'!$B$48*'Controls'!$B$49*'Controls'!$B$50</x:f>
        <x:v>602.6800000000001</x:v>
      </x:c>
      <x:c r="H1222" s="20" t="n">
        <x:v>1</x:v>
      </x:c>
      <x:c r="I1222" s="20" t="n">
        <x:v>1</x:v>
      </x:c>
      <x:c r="J1222" s="20" t="n">
        <x:v>1</x:v>
      </x:c>
      <x:c r="K1222" s="20" t="n">
        <x:f>F1222*G1222*H1222*I1222*J1222</x:f>
        <x:v>1205.3600000000001</x:v>
      </x:c>
      <x:c r="L1222" s="7" t="str">
        <x:v>Finished area; two coats priced in rate</x:v>
      </x:c>
      <x:c r="M1222" s="2"/>
      <x:c r="N1222" s="2"/>
      <x:c r="O1222" s="2"/>
      <x:c r="P1222" s="2"/>
      <x:c r="Q1222" s="2"/>
    </x:row>
    <x:row r="1223" ht="22" customHeight="1">
      <x:c r="A1223" s="2" t="str">
        <x:v>M1216</x:v>
      </x:c>
      <x:c r="B1223" s="2" t="str">
        <x:v>AR06</x:v>
      </x:c>
      <x:c r="C1223" s="2" t="str">
        <x:v>T4</x:v>
      </x:c>
      <x:c r="D1223" s="2" t="str">
        <x:v>L12</x:v>
      </x:c>
      <x:c r="E1223" s="2" t="str">
        <x:v>Door sets</x:v>
      </x:c>
      <x:c r="F1223" s="21" t="n">
        <x:f>'Controls'!$B$48</x:f>
        <x:v>28</x:v>
      </x:c>
      <x:c r="G1223" s="21" t="n">
        <x:v>1</x:v>
      </x:c>
      <x:c r="H1223" s="21" t="n">
        <x:v>1</x:v>
      </x:c>
      <x:c r="I1223" s="21" t="n">
        <x:v>1</x:v>
      </x:c>
      <x:c r="J1223" s="21" t="n">
        <x:v>1</x:v>
      </x:c>
      <x:c r="K1223" s="21" t="n">
        <x:f>F1223*G1223*H1223*I1223*J1223</x:f>
        <x:v>28</x:v>
      </x:c>
      <x:c r="L1223" s="2" t="str">
        <x:v>Door count, not double face</x:v>
      </x:c>
      <x:c r="M1223" s="2"/>
      <x:c r="N1223" s="2"/>
      <x:c r="O1223" s="2"/>
      <x:c r="P1223" s="2"/>
      <x:c r="Q1223" s="2"/>
    </x:row>
    <x:row r="1224" ht="22" customHeight="1">
      <x:c r="A1224" s="7" t="str">
        <x:v>M1217</x:v>
      </x:c>
      <x:c r="B1224" s="7" t="str">
        <x:v>RC03</x:v>
      </x:c>
      <x:c r="C1224" s="7" t="str">
        <x:v>T5</x:v>
      </x:c>
      <x:c r="D1224" s="7" t="str">
        <x:v>L00</x:v>
      </x:c>
      <x:c r="E1224" s="7" t="str">
        <x:v>Floor slab gross</x:v>
      </x:c>
      <x:c r="F1224" s="20" t="n">
        <x:v>1</x:v>
      </x:c>
      <x:c r="G1224" s="20" t="n">
        <x:f>'Controls'!$B$10</x:f>
        <x:v>30</x:v>
      </x:c>
      <x:c r="H1224" s="20" t="n">
        <x:f>'Controls'!$B$11</x:f>
        <x:v>24</x:v>
      </x:c>
      <x:c r="I1224" s="20" t="n">
        <x:f>'Controls'!$B$13</x:f>
        <x:v>0.22</x:v>
      </x:c>
      <x:c r="J1224" s="20" t="n">
        <x:v>1</x:v>
      </x:c>
      <x:c r="K1224" s="20" t="n">
        <x:f>F1224*G1224*H1224*I1224*J1224</x:f>
        <x:v>158.4</x:v>
      </x:c>
      <x:c r="L1224" s="7" t="str">
        <x:v>Slab includes beam top flange; downstand separate</x:v>
      </x:c>
      <x:c r="M1224" s="2"/>
      <x:c r="N1224" s="2"/>
      <x:c r="O1224" s="2"/>
      <x:c r="P1224" s="2"/>
      <x:c r="Q1224" s="2"/>
    </x:row>
    <x:row r="1225" ht="22" customHeight="1">
      <x:c r="A1225" s="2" t="str">
        <x:v>M1218</x:v>
      </x:c>
      <x:c r="B1225" s="2" t="str">
        <x:v>RC03</x:v>
      </x:c>
      <x:c r="C1225" s="2" t="str">
        <x:v>T5</x:v>
      </x:c>
      <x:c r="D1225" s="2" t="str">
        <x:v>L00</x:v>
      </x:c>
      <x:c r="E1225" s="2" t="str">
        <x:v>Stair opening deduction</x:v>
      </x:c>
      <x:c r="F1225" s="21" t="n">
        <x:v>1</x:v>
      </x:c>
      <x:c r="G1225" s="21" t="n">
        <x:f>'Controls'!$B$20</x:f>
        <x:v>4</x:v>
      </x:c>
      <x:c r="H1225" s="21" t="n">
        <x:f>'Controls'!$B$21</x:f>
        <x:v>6</x:v>
      </x:c>
      <x:c r="I1225" s="21" t="n">
        <x:f>'Controls'!$B$13</x:f>
        <x:v>0.22</x:v>
      </x:c>
      <x:c r="J1225" s="21" t="n">
        <x:v>-1</x:v>
      </x:c>
      <x:c r="K1225" s="21" t="n">
        <x:f>F1225*G1225*H1225*I1225*J1225</x:f>
        <x:v>-5.28</x:v>
      </x:c>
      <x:c r="L1225" s="2" t="str">
        <x:v>Opening OP-01</x:v>
      </x:c>
      <x:c r="M1225" s="2"/>
      <x:c r="N1225" s="2"/>
      <x:c r="O1225" s="2"/>
      <x:c r="P1225" s="2"/>
      <x:c r="Q1225" s="2"/>
    </x:row>
    <x:row r="1226" ht="22" customHeight="1">
      <x:c r="A1226" s="7" t="str">
        <x:v>M1219</x:v>
      </x:c>
      <x:c r="B1226" s="7" t="str">
        <x:v>RC04</x:v>
      </x:c>
      <x:c r="C1226" s="7" t="str">
        <x:v>T5</x:v>
      </x:c>
      <x:c r="D1226" s="7" t="str">
        <x:v>L00</x:v>
      </x:c>
      <x:c r="E1226" s="7" t="str">
        <x:v>Beam downstands X</x:v>
      </x:c>
      <x:c r="F1226" s="20" t="n">
        <x:v>1</x:v>
      </x:c>
      <x:c r="G1226" s="20" t="n">
        <x:f>5*5*('Controls'!$B$10/5-'Controls'!$B$14)</x:f>
        <x:v>137.5</x:v>
      </x:c>
      <x:c r="H1226" s="20" t="n">
        <x:f>'Controls'!$B$16</x:f>
        <x:v>0.3</x:v>
      </x:c>
      <x:c r="I1226" s="20" t="n">
        <x:f>'Controls'!$B$17-'Controls'!$B$13</x:f>
        <x:v>0.38</x:v>
      </x:c>
      <x:c r="J1226" s="20" t="n">
        <x:v>1</x:v>
      </x:c>
      <x:c r="K1226" s="20" t="n">
        <x:f>F1226*G1226*H1226*I1226*J1226</x:f>
        <x:v>15.675</x:v>
      </x:c>
      <x:c r="L1226" s="7" t="str">
        <x:v>Clear spans between column faces; no joint overlap</x:v>
      </x:c>
      <x:c r="M1226" s="2"/>
      <x:c r="N1226" s="2"/>
      <x:c r="O1226" s="2"/>
      <x:c r="P1226" s="2"/>
      <x:c r="Q1226" s="2"/>
    </x:row>
    <x:row r="1227" ht="22" customHeight="1">
      <x:c r="A1227" s="2" t="str">
        <x:v>M1220</x:v>
      </x:c>
      <x:c r="B1227" s="2" t="str">
        <x:v>FW02</x:v>
      </x:c>
      <x:c r="C1227" s="2" t="str">
        <x:v>T5</x:v>
      </x:c>
      <x:c r="D1227" s="2" t="str">
        <x:v>L00</x:v>
      </x:c>
      <x:c r="E1227" s="2" t="str">
        <x:v>Beam forms X</x:v>
      </x:c>
      <x:c r="F1227" s="21" t="n">
        <x:v>1</x:v>
      </x:c>
      <x:c r="G1227" s="21" t="n">
        <x:f>5*5*('Controls'!$B$10/5-'Controls'!$B$14)</x:f>
        <x:v>137.5</x:v>
      </x:c>
      <x:c r="H1227" s="21" t="n">
        <x:f>'Controls'!$B$16+2*('Controls'!$B$17-'Controls'!$B$13)</x:f>
        <x:v>1.06</x:v>
      </x:c>
      <x:c r="I1227" s="21" t="n">
        <x:v>1</x:v>
      </x:c>
      <x:c r="J1227" s="21" t="n">
        <x:v>1</x:v>
      </x:c>
      <x:c r="K1227" s="21" t="n">
        <x:f>F1227*G1227*H1227*I1227*J1227</x:f>
        <x:v>145.75</x:v>
      </x:c>
      <x:c r="L1227" s="2" t="str">
        <x:v>Soffit plus two downstand sides</x:v>
      </x:c>
      <x:c r="M1227" s="2"/>
      <x:c r="N1227" s="2"/>
      <x:c r="O1227" s="2"/>
      <x:c r="P1227" s="2"/>
      <x:c r="Q1227" s="2"/>
    </x:row>
    <x:row r="1228" ht="22" customHeight="1">
      <x:c r="A1228" s="7" t="str">
        <x:v>M1221</x:v>
      </x:c>
      <x:c r="B1228" s="7" t="str">
        <x:v>RC04</x:v>
      </x:c>
      <x:c r="C1228" s="7" t="str">
        <x:v>T5</x:v>
      </x:c>
      <x:c r="D1228" s="7" t="str">
        <x:v>L00</x:v>
      </x:c>
      <x:c r="E1228" s="7" t="str">
        <x:v>Beam downstands Y</x:v>
      </x:c>
      <x:c r="F1228" s="20" t="n">
        <x:v>1</x:v>
      </x:c>
      <x:c r="G1228" s="20" t="n">
        <x:f>6*4*('Controls'!$B$11/4-'Controls'!$B$15)</x:f>
        <x:v>132</x:v>
      </x:c>
      <x:c r="H1228" s="20" t="n">
        <x:f>'Controls'!$B$16</x:f>
        <x:v>0.3</x:v>
      </x:c>
      <x:c r="I1228" s="20" t="n">
        <x:f>'Controls'!$B$17-'Controls'!$B$13</x:f>
        <x:v>0.38</x:v>
      </x:c>
      <x:c r="J1228" s="20" t="n">
        <x:v>1</x:v>
      </x:c>
      <x:c r="K1228" s="20" t="n">
        <x:f>F1228*G1228*H1228*I1228*J1228</x:f>
        <x:v>15.048</x:v>
      </x:c>
      <x:c r="L1228" s="7" t="str">
        <x:v>Clear spans between column faces; no joint overlap</x:v>
      </x:c>
      <x:c r="M1228" s="2"/>
      <x:c r="N1228" s="2"/>
      <x:c r="O1228" s="2"/>
      <x:c r="P1228" s="2"/>
      <x:c r="Q1228" s="2"/>
    </x:row>
    <x:row r="1229" ht="22" customHeight="1">
      <x:c r="A1229" s="2" t="str">
        <x:v>M1222</x:v>
      </x:c>
      <x:c r="B1229" s="2" t="str">
        <x:v>FW02</x:v>
      </x:c>
      <x:c r="C1229" s="2" t="str">
        <x:v>T5</x:v>
      </x:c>
      <x:c r="D1229" s="2" t="str">
        <x:v>L00</x:v>
      </x:c>
      <x:c r="E1229" s="2" t="str">
        <x:v>Beam forms Y</x:v>
      </x:c>
      <x:c r="F1229" s="21" t="n">
        <x:v>1</x:v>
      </x:c>
      <x:c r="G1229" s="21" t="n">
        <x:f>6*4*('Controls'!$B$11/4-'Controls'!$B$15)</x:f>
        <x:v>132</x:v>
      </x:c>
      <x:c r="H1229" s="21" t="n">
        <x:f>'Controls'!$B$16+2*('Controls'!$B$17-'Controls'!$B$13)</x:f>
        <x:v>1.06</x:v>
      </x:c>
      <x:c r="I1229" s="21" t="n">
        <x:v>1</x:v>
      </x:c>
      <x:c r="J1229" s="21" t="n">
        <x:v>1</x:v>
      </x:c>
      <x:c r="K1229" s="21" t="n">
        <x:f>F1229*G1229*H1229*I1229*J1229</x:f>
        <x:v>139.92000000000002</x:v>
      </x:c>
      <x:c r="L1229" s="2" t="str">
        <x:v>Soffit plus two downstand sides</x:v>
      </x:c>
      <x:c r="M1229" s="2"/>
      <x:c r="N1229" s="2"/>
      <x:c r="O1229" s="2"/>
      <x:c r="P1229" s="2"/>
      <x:c r="Q1229" s="2"/>
    </x:row>
    <x:row r="1230" ht="22" customHeight="1">
      <x:c r="A1230" s="7" t="str">
        <x:v>M1223</x:v>
      </x:c>
      <x:c r="B1230" s="7" t="str">
        <x:v>RC05</x:v>
      </x:c>
      <x:c r="C1230" s="7" t="str">
        <x:v>T5</x:v>
      </x:c>
      <x:c r="D1230" s="7" t="str">
        <x:v>L00</x:v>
      </x:c>
      <x:c r="E1230" s="7" t="str">
        <x:v>Thirty columns, clear storey</x:v>
      </x:c>
      <x:c r="F1230" s="20" t="n">
        <x:v>30</x:v>
      </x:c>
      <x:c r="G1230" s="20" t="n">
        <x:f>'Controls'!$B$14</x:f>
        <x:v>0.5</x:v>
      </x:c>
      <x:c r="H1230" s="20" t="n">
        <x:f>'Controls'!$B$15</x:f>
        <x:v>0.5</x:v>
      </x:c>
      <x:c r="I1230" s="20" t="n">
        <x:f>'Controls'!$B$12-'Controls'!$B$13</x:f>
        <x:v>2.98</x:v>
      </x:c>
      <x:c r="J1230" s="20" t="n">
        <x:v>1</x:v>
      </x:c>
      <x:c r="K1230" s="20" t="n">
        <x:f>F1230*G1230*H1230*I1230*J1230</x:f>
        <x:v>22.35</x:v>
      </x:c>
      <x:c r="L1230" s="7" t="str">
        <x:v>Slab volume excluded from columns</x:v>
      </x:c>
      <x:c r="M1230" s="2"/>
      <x:c r="N1230" s="2"/>
      <x:c r="O1230" s="2"/>
      <x:c r="P1230" s="2"/>
      <x:c r="Q1230" s="2"/>
    </x:row>
    <x:row r="1231" ht="22" customHeight="1">
      <x:c r="A1231" s="2" t="str">
        <x:v>M1224</x:v>
      </x:c>
      <x:c r="B1231" s="2" t="str">
        <x:v>RC06</x:v>
      </x:c>
      <x:c r="C1231" s="2" t="str">
        <x:v>T5</x:v>
      </x:c>
      <x:c r="D1231" s="2" t="str">
        <x:v>L00</x:v>
      </x:c>
      <x:c r="E1231" s="2" t="str">
        <x:v>Core walls clear storey</x:v>
      </x:c>
      <x:c r="F1231" s="21" t="n">
        <x:v>1</x:v>
      </x:c>
      <x:c r="G1231" s="21" t="n">
        <x:f>'Controls'!$B$19</x:f>
        <x:v>24</x:v>
      </x:c>
      <x:c r="H1231" s="21" t="n">
        <x:f>'Controls'!$B$18</x:f>
        <x:v>0.25</x:v>
      </x:c>
      <x:c r="I1231" s="21" t="n">
        <x:f>'Controls'!$B$12-'Controls'!$B$13</x:f>
        <x:v>2.98</x:v>
      </x:c>
      <x:c r="J1231" s="21" t="n">
        <x:v>1</x:v>
      </x:c>
      <x:c r="K1231" s="21" t="n">
        <x:f>F1231*G1231*H1231*I1231*J1231</x:f>
        <x:v>17.88</x:v>
      </x:c>
      <x:c r="L1231" s="2" t="str">
        <x:v>Net clear wall length excludes corners</x:v>
      </x:c>
      <x:c r="M1231" s="2"/>
      <x:c r="N1231" s="2"/>
      <x:c r="O1231" s="2"/>
      <x:c r="P1231" s="2"/>
      <x:c r="Q1231" s="2"/>
    </x:row>
    <x:row r="1232" ht="22" customHeight="1">
      <x:c r="A1232" s="7" t="str">
        <x:v>M1225</x:v>
      </x:c>
      <x:c r="B1232" s="7" t="str">
        <x:v>RC07</x:v>
      </x:c>
      <x:c r="C1232" s="7" t="str">
        <x:v>T5</x:v>
      </x:c>
      <x:c r="D1232" s="7" t="str">
        <x:v>L00</x:v>
      </x:c>
      <x:c r="E1232" s="7" t="str">
        <x:v>Stair flights waist</x:v>
      </x:c>
      <x:c r="F1232" s="20" t="n">
        <x:v>2</x:v>
      </x:c>
      <x:c r="G1232" s="20" t="n">
        <x:v>4.1</x:v>
      </x:c>
      <x:c r="H1232" s="20" t="n">
        <x:v>1.2</x:v>
      </x:c>
      <x:c r="I1232" s="20" t="n">
        <x:v>0.18</x:v>
      </x:c>
      <x:c r="J1232" s="20" t="n">
        <x:v>1</x:v>
      </x:c>
      <x:c r="K1232" s="20" t="n">
        <x:f>F1232*G1232*H1232*I1232*J1232</x:f>
        <x:v>1.7711999999999997</x:v>
      </x:c>
      <x:c r="L1232" s="7" t="str">
        <x:v>Two flights; geometry separate from floor slab</x:v>
      </x:c>
      <x:c r="M1232" s="2"/>
      <x:c r="N1232" s="2"/>
      <x:c r="O1232" s="2"/>
      <x:c r="P1232" s="2"/>
      <x:c r="Q1232" s="2"/>
    </x:row>
    <x:row r="1233" ht="22" customHeight="1">
      <x:c r="A1233" s="2" t="str">
        <x:v>M1226</x:v>
      </x:c>
      <x:c r="B1233" s="2" t="str">
        <x:v>RC07</x:v>
      </x:c>
      <x:c r="C1233" s="2" t="str">
        <x:v>T5</x:v>
      </x:c>
      <x:c r="D1233" s="2" t="str">
        <x:v>L00</x:v>
      </x:c>
      <x:c r="E1233" s="2" t="str">
        <x:v>Stair landings</x:v>
      </x:c>
      <x:c r="F1233" s="21" t="n">
        <x:v>2</x:v>
      </x:c>
      <x:c r="G1233" s="21" t="n">
        <x:v>2</x:v>
      </x:c>
      <x:c r="H1233" s="21" t="n">
        <x:v>1.2</x:v>
      </x:c>
      <x:c r="I1233" s="21" t="n">
        <x:v>0.18</x:v>
      </x:c>
      <x:c r="J1233" s="21" t="n">
        <x:v>1</x:v>
      </x:c>
      <x:c r="K1233" s="21" t="n">
        <x:f>F1233*G1233*H1233*I1233*J1233</x:f>
        <x:v>0.864</x:v>
      </x:c>
      <x:c r="L1233" s="2" t="str">
        <x:v>Within stair opening</x:v>
      </x:c>
      <x:c r="M1233" s="2"/>
      <x:c r="N1233" s="2"/>
      <x:c r="O1233" s="2"/>
      <x:c r="P1233" s="2"/>
      <x:c r="Q1233" s="2"/>
    </x:row>
    <x:row r="1234" ht="22" customHeight="1">
      <x:c r="A1234" s="7" t="str">
        <x:v>M1227</x:v>
      </x:c>
      <x:c r="B1234" s="7" t="str">
        <x:v>FW01</x:v>
      </x:c>
      <x:c r="C1234" s="7" t="str">
        <x:v>T5</x:v>
      </x:c>
      <x:c r="D1234" s="7" t="str">
        <x:v>L00</x:v>
      </x:c>
      <x:c r="E1234" s="7" t="str">
        <x:v>Slab soffit gross</x:v>
      </x:c>
      <x:c r="F1234" s="20" t="n">
        <x:v>1</x:v>
      </x:c>
      <x:c r="G1234" s="20" t="n">
        <x:f>'Controls'!$B$10</x:f>
        <x:v>30</x:v>
      </x:c>
      <x:c r="H1234" s="20" t="n">
        <x:f>'Controls'!$B$11</x:f>
        <x:v>24</x:v>
      </x:c>
      <x:c r="I1234" s="20" t="n">
        <x:v>1</x:v>
      </x:c>
      <x:c r="J1234" s="20" t="n">
        <x:v>1</x:v>
      </x:c>
      <x:c r="K1234" s="20" t="n">
        <x:f>F1234*G1234*H1234*I1234*J1234</x:f>
        <x:v>720</x:v>
      </x:c>
      <x:c r="L1234" s="7" t="str">
        <x:v>Beam soffit deducted below</x:v>
      </x:c>
      <x:c r="M1234" s="2"/>
      <x:c r="N1234" s="2"/>
      <x:c r="O1234" s="2"/>
      <x:c r="P1234" s="2"/>
      <x:c r="Q1234" s="2"/>
    </x:row>
    <x:row r="1235" ht="22" customHeight="1">
      <x:c r="A1235" s="2" t="str">
        <x:v>M1228</x:v>
      </x:c>
      <x:c r="B1235" s="2" t="str">
        <x:v>FW01</x:v>
      </x:c>
      <x:c r="C1235" s="2" t="str">
        <x:v>T5</x:v>
      </x:c>
      <x:c r="D1235" s="2" t="str">
        <x:v>L00</x:v>
      </x:c>
      <x:c r="E1235" s="2" t="str">
        <x:v>Stair opening deduction</x:v>
      </x:c>
      <x:c r="F1235" s="21" t="n">
        <x:v>1</x:v>
      </x:c>
      <x:c r="G1235" s="21" t="n">
        <x:f>'Controls'!$B$20</x:f>
        <x:v>4</x:v>
      </x:c>
      <x:c r="H1235" s="21" t="n">
        <x:f>'Controls'!$B$21</x:f>
        <x:v>6</x:v>
      </x:c>
      <x:c r="I1235" s="21" t="n">
        <x:v>1</x:v>
      </x:c>
      <x:c r="J1235" s="21" t="n">
        <x:v>-1</x:v>
      </x:c>
      <x:c r="K1235" s="21" t="n">
        <x:f>F1235*G1235*H1235*I1235*J1235</x:f>
        <x:v>-24</x:v>
      </x:c>
      <x:c r="L1235" s="2" t="str">
        <x:v>OP-01</x:v>
      </x:c>
      <x:c r="M1235" s="2"/>
      <x:c r="N1235" s="2"/>
      <x:c r="O1235" s="2"/>
      <x:c r="P1235" s="2"/>
      <x:c r="Q1235" s="2"/>
    </x:row>
    <x:row r="1236" ht="22" customHeight="1">
      <x:c r="A1236" s="7" t="str">
        <x:v>M1229</x:v>
      </x:c>
      <x:c r="B1236" s="7" t="str">
        <x:v>FW01</x:v>
      </x:c>
      <x:c r="C1236" s="7" t="str">
        <x:v>T5</x:v>
      </x:c>
      <x:c r="D1236" s="7" t="str">
        <x:v>L00</x:v>
      </x:c>
      <x:c r="E1236" s="7" t="str">
        <x:v>Beam soffit deduction</x:v>
      </x:c>
      <x:c r="F1236" s="20" t="n">
        <x:v>1</x:v>
      </x:c>
      <x:c r="G1236" s="20" t="n">
        <x:f>5*5*('Controls'!$B$10/5-'Controls'!$B$14)+6*4*('Controls'!$B$11/4-'Controls'!$B$15)</x:f>
        <x:v>269.5</x:v>
      </x:c>
      <x:c r="H1236" s="20" t="n">
        <x:f>'Controls'!$B$16</x:f>
        <x:v>0.3</x:v>
      </x:c>
      <x:c r="I1236" s="20" t="n">
        <x:v>1</x:v>
      </x:c>
      <x:c r="J1236" s="20" t="n">
        <x:v>-1</x:v>
      </x:c>
      <x:c r="K1236" s="20" t="n">
        <x:f>F1236*G1236*H1236*I1236*J1236</x:f>
        <x:v>-80.85</x:v>
      </x:c>
      <x:c r="L1236" s="7" t="str">
        <x:v>Beam forms measured in FW02</x:v>
      </x:c>
      <x:c r="M1236" s="2"/>
      <x:c r="N1236" s="2"/>
      <x:c r="O1236" s="2"/>
      <x:c r="P1236" s="2"/>
      <x:c r="Q1236" s="2"/>
    </x:row>
    <x:row r="1237" ht="22" customHeight="1">
      <x:c r="A1237" s="2" t="str">
        <x:v>M1230</x:v>
      </x:c>
      <x:c r="B1237" s="2" t="str">
        <x:v>FW03</x:v>
      </x:c>
      <x:c r="C1237" s="2" t="str">
        <x:v>T5</x:v>
      </x:c>
      <x:c r="D1237" s="2" t="str">
        <x:v>L00</x:v>
      </x:c>
      <x:c r="E1237" s="2" t="str">
        <x:v>Column four faces</x:v>
      </x:c>
      <x:c r="F1237" s="21" t="n">
        <x:v>30</x:v>
      </x:c>
      <x:c r="G1237" s="21" t="n">
        <x:f>2*('Controls'!$B$14+'Controls'!$B$15)</x:f>
        <x:v>2</x:v>
      </x:c>
      <x:c r="H1237" s="21" t="n">
        <x:f>'Controls'!$B$12-'Controls'!$B$13</x:f>
        <x:v>2.98</x:v>
      </x:c>
      <x:c r="I1237" s="21" t="n">
        <x:v>1</x:v>
      </x:c>
      <x:c r="J1237" s="21" t="n">
        <x:v>1</x:v>
      </x:c>
      <x:c r="K1237" s="21" t="n">
        <x:f>F1237*G1237*H1237*I1237*J1237</x:f>
        <x:v>178.8</x:v>
      </x:c>
      <x:c r="L1237" s="2" t="str">
        <x:v>Clear floor-to-soffit</x:v>
      </x:c>
      <x:c r="M1237" s="2"/>
      <x:c r="N1237" s="2"/>
      <x:c r="O1237" s="2"/>
      <x:c r="P1237" s="2"/>
      <x:c r="Q1237" s="2"/>
    </x:row>
    <x:row r="1238" ht="22" customHeight="1">
      <x:c r="A1238" s="7" t="str">
        <x:v>M1231</x:v>
      </x:c>
      <x:c r="B1238" s="7" t="str">
        <x:v>FW04</x:v>
      </x:c>
      <x:c r="C1238" s="7" t="str">
        <x:v>T5</x:v>
      </x:c>
      <x:c r="D1238" s="7" t="str">
        <x:v>L00</x:v>
      </x:c>
      <x:c r="E1238" s="7" t="str">
        <x:v>Core wall two faces</x:v>
      </x:c>
      <x:c r="F1238" s="20" t="n">
        <x:v>2</x:v>
      </x:c>
      <x:c r="G1238" s="20" t="n">
        <x:f>'Controls'!$B$19</x:f>
        <x:v>24</x:v>
      </x:c>
      <x:c r="H1238" s="20" t="n">
        <x:f>'Controls'!$B$12-'Controls'!$B$13</x:f>
        <x:v>2.98</x:v>
      </x:c>
      <x:c r="I1238" s="20" t="n">
        <x:v>1</x:v>
      </x:c>
      <x:c r="J1238" s="20" t="n">
        <x:v>1</x:v>
      </x:c>
      <x:c r="K1238" s="20" t="n">
        <x:f>F1238*G1238*H1238*I1238*J1238</x:f>
        <x:v>143.04</x:v>
      </x:c>
      <x:c r="L1238" s="7" t="str">
        <x:v>Net perimeter, no repeated corners</x:v>
      </x:c>
      <x:c r="M1238" s="2"/>
      <x:c r="N1238" s="2"/>
      <x:c r="O1238" s="2"/>
      <x:c r="P1238" s="2"/>
      <x:c r="Q1238" s="2"/>
    </x:row>
    <x:row r="1239" ht="22" customHeight="1">
      <x:c r="A1239" s="2" t="str">
        <x:v>M1232</x:v>
      </x:c>
      <x:c r="B1239" s="2" t="str">
        <x:v>AR01</x:v>
      </x:c>
      <x:c r="C1239" s="2" t="str">
        <x:v>T5</x:v>
      </x:c>
      <x:c r="D1239" s="2" t="str">
        <x:v>L00</x:v>
      </x:c>
      <x:c r="E1239" s="2" t="str">
        <x:v>Partition walls gross</x:v>
      </x:c>
      <x:c r="F1239" s="21" t="n">
        <x:v>1</x:v>
      </x:c>
      <x:c r="G1239" s="21" t="n">
        <x:f>'Controls'!$B$45</x:f>
        <x:v>220</x:v>
      </x:c>
      <x:c r="H1239" s="21" t="n">
        <x:f>'Controls'!$B$12-'Controls'!$B$13</x:f>
        <x:v>2.98</x:v>
      </x:c>
      <x:c r="I1239" s="21" t="n">
        <x:f>'Controls'!$B$46</x:f>
        <x:v>0.15</x:v>
      </x:c>
      <x:c r="J1239" s="21" t="n">
        <x:v>1</x:v>
      </x:c>
      <x:c r="K1239" s="21" t="n">
        <x:f>F1239*G1239*H1239*I1239*J1239</x:f>
        <x:v>98.34</x:v>
      </x:c>
      <x:c r="L1239" s="2" t="str">
        <x:v>Net openings deducted below</x:v>
      </x:c>
      <x:c r="M1239" s="2"/>
      <x:c r="N1239" s="2"/>
      <x:c r="O1239" s="2"/>
      <x:c r="P1239" s="2"/>
      <x:c r="Q1239" s="2"/>
    </x:row>
    <x:row r="1240" ht="22" customHeight="1">
      <x:c r="A1240" s="7" t="str">
        <x:v>M1233</x:v>
      </x:c>
      <x:c r="B1240" s="7" t="str">
        <x:v>AR01</x:v>
      </x:c>
      <x:c r="C1240" s="7" t="str">
        <x:v>T5</x:v>
      </x:c>
      <x:c r="D1240" s="7" t="str">
        <x:v>L00</x:v>
      </x:c>
      <x:c r="E1240" s="7" t="str">
        <x:v>Internal doors deduction</x:v>
      </x:c>
      <x:c r="F1240" s="20" t="n">
        <x:f>'Controls'!$B$48</x:f>
        <x:v>28</x:v>
      </x:c>
      <x:c r="G1240" s="20" t="n">
        <x:f>'Controls'!$B$49</x:f>
        <x:v>0.9</x:v>
      </x:c>
      <x:c r="H1240" s="20" t="n">
        <x:f>'Controls'!$B$50</x:f>
        <x:v>2.1</x:v>
      </x:c>
      <x:c r="I1240" s="20" t="n">
        <x:f>'Controls'!$B$46</x:f>
        <x:v>0.15</x:v>
      </x:c>
      <x:c r="J1240" s="20" t="n">
        <x:v>-1</x:v>
      </x:c>
      <x:c r="K1240" s="20" t="n">
        <x:f>F1240*G1240*H1240*I1240*J1240</x:f>
        <x:v>-7.938</x:v>
      </x:c>
      <x:c r="L1240" s="7" t="str">
        <x:v>28 doors per floor, OP-02</x:v>
      </x:c>
      <x:c r="M1240" s="2"/>
      <x:c r="N1240" s="2"/>
      <x:c r="O1240" s="2"/>
      <x:c r="P1240" s="2"/>
      <x:c r="Q1240" s="2"/>
    </x:row>
    <x:row r="1241" ht="22" customHeight="1">
      <x:c r="A1241" s="2" t="str">
        <x:v>M1234</x:v>
      </x:c>
      <x:c r="B1241" s="2" t="str">
        <x:v>AR02</x:v>
      </x:c>
      <x:c r="C1241" s="2" t="str">
        <x:v>T5</x:v>
      </x:c>
      <x:c r="D1241" s="2" t="str">
        <x:v>L00</x:v>
      </x:c>
      <x:c r="E1241" s="2" t="str">
        <x:v>Internal plaster gross</x:v>
      </x:c>
      <x:c r="F1241" s="21" t="n">
        <x:v>2</x:v>
      </x:c>
      <x:c r="G1241" s="21" t="n">
        <x:f>'Controls'!$B$45</x:f>
        <x:v>220</x:v>
      </x:c>
      <x:c r="H1241" s="21" t="n">
        <x:f>'Controls'!$B$12-'Controls'!$B$13</x:f>
        <x:v>2.98</x:v>
      </x:c>
      <x:c r="I1241" s="21" t="n">
        <x:v>1</x:v>
      </x:c>
      <x:c r="J1241" s="21" t="n">
        <x:v>1</x:v>
      </x:c>
      <x:c r="K1241" s="21" t="n">
        <x:f>F1241*G1241*H1241*I1241*J1241</x:f>
        <x:v>1311.2</x:v>
      </x:c>
      <x:c r="L1241" s="2" t="str">
        <x:v>Both faces of partition walls</x:v>
      </x:c>
      <x:c r="M1241" s="2"/>
      <x:c r="N1241" s="2"/>
      <x:c r="O1241" s="2"/>
      <x:c r="P1241" s="2"/>
      <x:c r="Q1241" s="2"/>
    </x:row>
    <x:row r="1242" ht="22" customHeight="1">
      <x:c r="A1242" s="7" t="str">
        <x:v>M1235</x:v>
      </x:c>
      <x:c r="B1242" s="7" t="str">
        <x:v>AR02</x:v>
      </x:c>
      <x:c r="C1242" s="7" t="str">
        <x:v>T5</x:v>
      </x:c>
      <x:c r="D1242" s="7" t="str">
        <x:v>L00</x:v>
      </x:c>
      <x:c r="E1242" s="7" t="str">
        <x:v>Door area deduction both faces</x:v>
      </x:c>
      <x:c r="F1242" s="20" t="n">
        <x:f>2*'Controls'!$B$48</x:f>
        <x:v>56</x:v>
      </x:c>
      <x:c r="G1242" s="20" t="n">
        <x:f>'Controls'!$B$49</x:f>
        <x:v>0.9</x:v>
      </x:c>
      <x:c r="H1242" s="20" t="n">
        <x:f>'Controls'!$B$50</x:f>
        <x:v>2.1</x:v>
      </x:c>
      <x:c r="I1242" s="20" t="n">
        <x:v>1</x:v>
      </x:c>
      <x:c r="J1242" s="20" t="n">
        <x:v>-1</x:v>
      </x:c>
      <x:c r="K1242" s="20" t="n">
        <x:f>F1242*G1242*H1242*I1242*J1242</x:f>
        <x:v>-105.84</x:v>
      </x:c>
      <x:c r="L1242" s="7" t="str">
        <x:v>No plaster over openings</x:v>
      </x:c>
      <x:c r="M1242" s="2"/>
      <x:c r="N1242" s="2"/>
      <x:c r="O1242" s="2"/>
      <x:c r="P1242" s="2"/>
      <x:c r="Q1242" s="2"/>
    </x:row>
    <x:row r="1243" ht="22" customHeight="1">
      <x:c r="A1243" s="2" t="str">
        <x:v>M1236</x:v>
      </x:c>
      <x:c r="B1243" s="2" t="str">
        <x:v>AR03</x:v>
      </x:c>
      <x:c r="C1243" s="2" t="str">
        <x:v>T5</x:v>
      </x:c>
      <x:c r="D1243" s="2" t="str">
        <x:v>L00</x:v>
      </x:c>
      <x:c r="E1243" s="2" t="str">
        <x:v>Floor screed net</x:v>
      </x:c>
      <x:c r="F1243" s="21" t="n">
        <x:v>1</x:v>
      </x:c>
      <x:c r="G1243" s="21" t="n">
        <x:f>'Controls'!$B$10*'Controls'!$B$11-'Controls'!$B$20*'Controls'!$B$21</x:f>
        <x:v>696</x:v>
      </x:c>
      <x:c r="H1243" s="21" t="n">
        <x:v>1</x:v>
      </x:c>
      <x:c r="I1243" s="21" t="n">
        <x:v>1</x:v>
      </x:c>
      <x:c r="J1243" s="21" t="n">
        <x:v>1</x:v>
      </x:c>
      <x:c r="K1243" s="21" t="n">
        <x:f>F1243*G1243*H1243*I1243*J1243</x:f>
        <x:v>696</x:v>
      </x:c>
      <x:c r="L1243" s="2" t="str">
        <x:v>Net structural floor area</x:v>
      </x:c>
      <x:c r="M1243" s="2"/>
      <x:c r="N1243" s="2"/>
      <x:c r="O1243" s="2"/>
      <x:c r="P1243" s="2"/>
      <x:c r="Q1243" s="2"/>
    </x:row>
    <x:row r="1244" ht="22" customHeight="1">
      <x:c r="A1244" s="7" t="str">
        <x:v>M1237</x:v>
      </x:c>
      <x:c r="B1244" s="7" t="str">
        <x:v>AR04</x:v>
      </x:c>
      <x:c r="C1244" s="7" t="str">
        <x:v>T5</x:v>
      </x:c>
      <x:c r="D1244" s="7" t="str">
        <x:v>L00</x:v>
      </x:c>
      <x:c r="E1244" s="7" t="str">
        <x:v>Floor finish net</x:v>
      </x:c>
      <x:c r="F1244" s="20" t="n">
        <x:v>1</x:v>
      </x:c>
      <x:c r="G1244" s="20" t="n">
        <x:f>'Controls'!$B$10*'Controls'!$B$11-'Controls'!$B$20*'Controls'!$B$21</x:f>
        <x:v>696</x:v>
      </x:c>
      <x:c r="H1244" s="20" t="n">
        <x:v>1</x:v>
      </x:c>
      <x:c r="I1244" s="20" t="n">
        <x:v>1</x:v>
      </x:c>
      <x:c r="J1244" s="20" t="n">
        <x:v>1</x:v>
      </x:c>
      <x:c r="K1244" s="20" t="n">
        <x:f>F1244*G1244*H1244*I1244*J1244</x:f>
        <x:v>696</x:v>
      </x:c>
      <x:c r="L1244" s="7" t="str">
        <x:v>Waste excluded from BOQ</x:v>
      </x:c>
      <x:c r="M1244" s="2"/>
      <x:c r="N1244" s="2"/>
      <x:c r="O1244" s="2"/>
      <x:c r="P1244" s="2"/>
      <x:c r="Q1244" s="2"/>
    </x:row>
    <x:row r="1245" ht="22" customHeight="1">
      <x:c r="A1245" s="2" t="str">
        <x:v>M1238</x:v>
      </x:c>
      <x:c r="B1245" s="2" t="str">
        <x:v>AR05</x:v>
      </x:c>
      <x:c r="C1245" s="2" t="str">
        <x:v>T5</x:v>
      </x:c>
      <x:c r="D1245" s="2" t="str">
        <x:v>L00</x:v>
      </x:c>
      <x:c r="E1245" s="2" t="str">
        <x:v>Internal wall paint net</x:v>
      </x:c>
      <x:c r="F1245" s="21" t="n">
        <x:v>2</x:v>
      </x:c>
      <x:c r="G1245" s="21" t="n">
        <x:f>'Controls'!$B$45*('Controls'!$B$12-'Controls'!$B$13)-'Controls'!$B$48*'Controls'!$B$49*'Controls'!$B$50</x:f>
        <x:v>602.6800000000001</x:v>
      </x:c>
      <x:c r="H1245" s="21" t="n">
        <x:v>1</x:v>
      </x:c>
      <x:c r="I1245" s="21" t="n">
        <x:v>1</x:v>
      </x:c>
      <x:c r="J1245" s="21" t="n">
        <x:v>1</x:v>
      </x:c>
      <x:c r="K1245" s="21" t="n">
        <x:f>F1245*G1245*H1245*I1245*J1245</x:f>
        <x:v>1205.3600000000001</x:v>
      </x:c>
      <x:c r="L1245" s="2" t="str">
        <x:v>Finished area; two coats priced in rate</x:v>
      </x:c>
      <x:c r="M1245" s="2"/>
      <x:c r="N1245" s="2"/>
      <x:c r="O1245" s="2"/>
      <x:c r="P1245" s="2"/>
      <x:c r="Q1245" s="2"/>
    </x:row>
    <x:row r="1246" ht="22" customHeight="1">
      <x:c r="A1246" s="7" t="str">
        <x:v>M1239</x:v>
      </x:c>
      <x:c r="B1246" s="7" t="str">
        <x:v>AR06</x:v>
      </x:c>
      <x:c r="C1246" s="7" t="str">
        <x:v>T5</x:v>
      </x:c>
      <x:c r="D1246" s="7" t="str">
        <x:v>L00</x:v>
      </x:c>
      <x:c r="E1246" s="7" t="str">
        <x:v>Door sets</x:v>
      </x:c>
      <x:c r="F1246" s="20" t="n">
        <x:f>'Controls'!$B$48</x:f>
        <x:v>28</x:v>
      </x:c>
      <x:c r="G1246" s="20" t="n">
        <x:v>1</x:v>
      </x:c>
      <x:c r="H1246" s="20" t="n">
        <x:v>1</x:v>
      </x:c>
      <x:c r="I1246" s="20" t="n">
        <x:v>1</x:v>
      </x:c>
      <x:c r="J1246" s="20" t="n">
        <x:v>1</x:v>
      </x:c>
      <x:c r="K1246" s="20" t="n">
        <x:f>F1246*G1246*H1246*I1246*J1246</x:f>
        <x:v>28</x:v>
      </x:c>
      <x:c r="L1246" s="7" t="str">
        <x:v>Door count, not double face</x:v>
      </x:c>
      <x:c r="M1246" s="2"/>
      <x:c r="N1246" s="2"/>
      <x:c r="O1246" s="2"/>
      <x:c r="P1246" s="2"/>
      <x:c r="Q1246" s="2"/>
    </x:row>
    <x:row r="1247" ht="22" customHeight="1">
      <x:c r="A1247" s="2" t="str">
        <x:v>M1240</x:v>
      </x:c>
      <x:c r="B1247" s="2" t="str">
        <x:v>RC03</x:v>
      </x:c>
      <x:c r="C1247" s="2" t="str">
        <x:v>T5</x:v>
      </x:c>
      <x:c r="D1247" s="2" t="str">
        <x:v>L01</x:v>
      </x:c>
      <x:c r="E1247" s="2" t="str">
        <x:v>Floor slab gross</x:v>
      </x:c>
      <x:c r="F1247" s="21" t="n">
        <x:v>1</x:v>
      </x:c>
      <x:c r="G1247" s="21" t="n">
        <x:f>'Controls'!$B$10</x:f>
        <x:v>30</x:v>
      </x:c>
      <x:c r="H1247" s="21" t="n">
        <x:f>'Controls'!$B$11</x:f>
        <x:v>24</x:v>
      </x:c>
      <x:c r="I1247" s="21" t="n">
        <x:f>'Controls'!$B$13</x:f>
        <x:v>0.22</x:v>
      </x:c>
      <x:c r="J1247" s="21" t="n">
        <x:v>1</x:v>
      </x:c>
      <x:c r="K1247" s="21" t="n">
        <x:f>F1247*G1247*H1247*I1247*J1247</x:f>
        <x:v>158.4</x:v>
      </x:c>
      <x:c r="L1247" s="2" t="str">
        <x:v>Slab includes beam top flange; downstand separate</x:v>
      </x:c>
      <x:c r="M1247" s="2"/>
      <x:c r="N1247" s="2"/>
      <x:c r="O1247" s="2"/>
      <x:c r="P1247" s="2"/>
      <x:c r="Q1247" s="2"/>
    </x:row>
    <x:row r="1248" ht="22" customHeight="1">
      <x:c r="A1248" s="7" t="str">
        <x:v>M1241</x:v>
      </x:c>
      <x:c r="B1248" s="7" t="str">
        <x:v>RC03</x:v>
      </x:c>
      <x:c r="C1248" s="7" t="str">
        <x:v>T5</x:v>
      </x:c>
      <x:c r="D1248" s="7" t="str">
        <x:v>L01</x:v>
      </x:c>
      <x:c r="E1248" s="7" t="str">
        <x:v>Stair opening deduction</x:v>
      </x:c>
      <x:c r="F1248" s="20" t="n">
        <x:v>1</x:v>
      </x:c>
      <x:c r="G1248" s="20" t="n">
        <x:f>'Controls'!$B$20</x:f>
        <x:v>4</x:v>
      </x:c>
      <x:c r="H1248" s="20" t="n">
        <x:f>'Controls'!$B$21</x:f>
        <x:v>6</x:v>
      </x:c>
      <x:c r="I1248" s="20" t="n">
        <x:f>'Controls'!$B$13</x:f>
        <x:v>0.22</x:v>
      </x:c>
      <x:c r="J1248" s="20" t="n">
        <x:v>-1</x:v>
      </x:c>
      <x:c r="K1248" s="20" t="n">
        <x:f>F1248*G1248*H1248*I1248*J1248</x:f>
        <x:v>-5.28</x:v>
      </x:c>
      <x:c r="L1248" s="7" t="str">
        <x:v>Opening OP-01</x:v>
      </x:c>
      <x:c r="M1248" s="2"/>
      <x:c r="N1248" s="2"/>
      <x:c r="O1248" s="2"/>
      <x:c r="P1248" s="2"/>
      <x:c r="Q1248" s="2"/>
    </x:row>
    <x:row r="1249" ht="22" customHeight="1">
      <x:c r="A1249" s="2" t="str">
        <x:v>M1242</x:v>
      </x:c>
      <x:c r="B1249" s="2" t="str">
        <x:v>RC04</x:v>
      </x:c>
      <x:c r="C1249" s="2" t="str">
        <x:v>T5</x:v>
      </x:c>
      <x:c r="D1249" s="2" t="str">
        <x:v>L01</x:v>
      </x:c>
      <x:c r="E1249" s="2" t="str">
        <x:v>Beam downstands X</x:v>
      </x:c>
      <x:c r="F1249" s="21" t="n">
        <x:v>1</x:v>
      </x:c>
      <x:c r="G1249" s="21" t="n">
        <x:f>5*5*('Controls'!$B$10/5-'Controls'!$B$14)</x:f>
        <x:v>137.5</x:v>
      </x:c>
      <x:c r="H1249" s="21" t="n">
        <x:f>'Controls'!$B$16</x:f>
        <x:v>0.3</x:v>
      </x:c>
      <x:c r="I1249" s="21" t="n">
        <x:f>'Controls'!$B$17-'Controls'!$B$13</x:f>
        <x:v>0.38</x:v>
      </x:c>
      <x:c r="J1249" s="21" t="n">
        <x:v>1</x:v>
      </x:c>
      <x:c r="K1249" s="21" t="n">
        <x:f>F1249*G1249*H1249*I1249*J1249</x:f>
        <x:v>15.675</x:v>
      </x:c>
      <x:c r="L1249" s="2" t="str">
        <x:v>Clear spans between column faces; no joint overlap</x:v>
      </x:c>
      <x:c r="M1249" s="2"/>
      <x:c r="N1249" s="2"/>
      <x:c r="O1249" s="2"/>
      <x:c r="P1249" s="2"/>
      <x:c r="Q1249" s="2"/>
    </x:row>
    <x:row r="1250" ht="22" customHeight="1">
      <x:c r="A1250" s="7" t="str">
        <x:v>M1243</x:v>
      </x:c>
      <x:c r="B1250" s="7" t="str">
        <x:v>FW02</x:v>
      </x:c>
      <x:c r="C1250" s="7" t="str">
        <x:v>T5</x:v>
      </x:c>
      <x:c r="D1250" s="7" t="str">
        <x:v>L01</x:v>
      </x:c>
      <x:c r="E1250" s="7" t="str">
        <x:v>Beam forms X</x:v>
      </x:c>
      <x:c r="F1250" s="20" t="n">
        <x:v>1</x:v>
      </x:c>
      <x:c r="G1250" s="20" t="n">
        <x:f>5*5*('Controls'!$B$10/5-'Controls'!$B$14)</x:f>
        <x:v>137.5</x:v>
      </x:c>
      <x:c r="H1250" s="20" t="n">
        <x:f>'Controls'!$B$16+2*('Controls'!$B$17-'Controls'!$B$13)</x:f>
        <x:v>1.06</x:v>
      </x:c>
      <x:c r="I1250" s="20" t="n">
        <x:v>1</x:v>
      </x:c>
      <x:c r="J1250" s="20" t="n">
        <x:v>1</x:v>
      </x:c>
      <x:c r="K1250" s="20" t="n">
        <x:f>F1250*G1250*H1250*I1250*J1250</x:f>
        <x:v>145.75</x:v>
      </x:c>
      <x:c r="L1250" s="7" t="str">
        <x:v>Soffit plus two downstand sides</x:v>
      </x:c>
      <x:c r="M1250" s="2"/>
      <x:c r="N1250" s="2"/>
      <x:c r="O1250" s="2"/>
      <x:c r="P1250" s="2"/>
      <x:c r="Q1250" s="2"/>
    </x:row>
    <x:row r="1251" ht="22" customHeight="1">
      <x:c r="A1251" s="2" t="str">
        <x:v>M1244</x:v>
      </x:c>
      <x:c r="B1251" s="2" t="str">
        <x:v>RC04</x:v>
      </x:c>
      <x:c r="C1251" s="2" t="str">
        <x:v>T5</x:v>
      </x:c>
      <x:c r="D1251" s="2" t="str">
        <x:v>L01</x:v>
      </x:c>
      <x:c r="E1251" s="2" t="str">
        <x:v>Beam downstands Y</x:v>
      </x:c>
      <x:c r="F1251" s="21" t="n">
        <x:v>1</x:v>
      </x:c>
      <x:c r="G1251" s="21" t="n">
        <x:f>6*4*('Controls'!$B$11/4-'Controls'!$B$15)</x:f>
        <x:v>132</x:v>
      </x:c>
      <x:c r="H1251" s="21" t="n">
        <x:f>'Controls'!$B$16</x:f>
        <x:v>0.3</x:v>
      </x:c>
      <x:c r="I1251" s="21" t="n">
        <x:f>'Controls'!$B$17-'Controls'!$B$13</x:f>
        <x:v>0.38</x:v>
      </x:c>
      <x:c r="J1251" s="21" t="n">
        <x:v>1</x:v>
      </x:c>
      <x:c r="K1251" s="21" t="n">
        <x:f>F1251*G1251*H1251*I1251*J1251</x:f>
        <x:v>15.048</x:v>
      </x:c>
      <x:c r="L1251" s="2" t="str">
        <x:v>Clear spans between column faces; no joint overlap</x:v>
      </x:c>
      <x:c r="M1251" s="2"/>
      <x:c r="N1251" s="2"/>
      <x:c r="O1251" s="2"/>
      <x:c r="P1251" s="2"/>
      <x:c r="Q1251" s="2"/>
    </x:row>
    <x:row r="1252" ht="22" customHeight="1">
      <x:c r="A1252" s="7" t="str">
        <x:v>M1245</x:v>
      </x:c>
      <x:c r="B1252" s="7" t="str">
        <x:v>FW02</x:v>
      </x:c>
      <x:c r="C1252" s="7" t="str">
        <x:v>T5</x:v>
      </x:c>
      <x:c r="D1252" s="7" t="str">
        <x:v>L01</x:v>
      </x:c>
      <x:c r="E1252" s="7" t="str">
        <x:v>Beam forms Y</x:v>
      </x:c>
      <x:c r="F1252" s="20" t="n">
        <x:v>1</x:v>
      </x:c>
      <x:c r="G1252" s="20" t="n">
        <x:f>6*4*('Controls'!$B$11/4-'Controls'!$B$15)</x:f>
        <x:v>132</x:v>
      </x:c>
      <x:c r="H1252" s="20" t="n">
        <x:f>'Controls'!$B$16+2*('Controls'!$B$17-'Controls'!$B$13)</x:f>
        <x:v>1.06</x:v>
      </x:c>
      <x:c r="I1252" s="20" t="n">
        <x:v>1</x:v>
      </x:c>
      <x:c r="J1252" s="20" t="n">
        <x:v>1</x:v>
      </x:c>
      <x:c r="K1252" s="20" t="n">
        <x:f>F1252*G1252*H1252*I1252*J1252</x:f>
        <x:v>139.92000000000002</x:v>
      </x:c>
      <x:c r="L1252" s="7" t="str">
        <x:v>Soffit plus two downstand sides</x:v>
      </x:c>
      <x:c r="M1252" s="2"/>
      <x:c r="N1252" s="2"/>
      <x:c r="O1252" s="2"/>
      <x:c r="P1252" s="2"/>
      <x:c r="Q1252" s="2"/>
    </x:row>
    <x:row r="1253" ht="22" customHeight="1">
      <x:c r="A1253" s="2" t="str">
        <x:v>M1246</x:v>
      </x:c>
      <x:c r="B1253" s="2" t="str">
        <x:v>RC05</x:v>
      </x:c>
      <x:c r="C1253" s="2" t="str">
        <x:v>T5</x:v>
      </x:c>
      <x:c r="D1253" s="2" t="str">
        <x:v>L01</x:v>
      </x:c>
      <x:c r="E1253" s="2" t="str">
        <x:v>Thirty columns, clear storey</x:v>
      </x:c>
      <x:c r="F1253" s="21" t="n">
        <x:v>30</x:v>
      </x:c>
      <x:c r="G1253" s="21" t="n">
        <x:f>'Controls'!$B$14</x:f>
        <x:v>0.5</x:v>
      </x:c>
      <x:c r="H1253" s="21" t="n">
        <x:f>'Controls'!$B$15</x:f>
        <x:v>0.5</x:v>
      </x:c>
      <x:c r="I1253" s="21" t="n">
        <x:f>'Controls'!$B$12-'Controls'!$B$13</x:f>
        <x:v>2.98</x:v>
      </x:c>
      <x:c r="J1253" s="21" t="n">
        <x:v>1</x:v>
      </x:c>
      <x:c r="K1253" s="21" t="n">
        <x:f>F1253*G1253*H1253*I1253*J1253</x:f>
        <x:v>22.35</x:v>
      </x:c>
      <x:c r="L1253" s="2" t="str">
        <x:v>Slab volume excluded from columns</x:v>
      </x:c>
      <x:c r="M1253" s="2"/>
      <x:c r="N1253" s="2"/>
      <x:c r="O1253" s="2"/>
      <x:c r="P1253" s="2"/>
      <x:c r="Q1253" s="2"/>
    </x:row>
    <x:row r="1254" ht="22" customHeight="1">
      <x:c r="A1254" s="7" t="str">
        <x:v>M1247</x:v>
      </x:c>
      <x:c r="B1254" s="7" t="str">
        <x:v>RC06</x:v>
      </x:c>
      <x:c r="C1254" s="7" t="str">
        <x:v>T5</x:v>
      </x:c>
      <x:c r="D1254" s="7" t="str">
        <x:v>L01</x:v>
      </x:c>
      <x:c r="E1254" s="7" t="str">
        <x:v>Core walls clear storey</x:v>
      </x:c>
      <x:c r="F1254" s="20" t="n">
        <x:v>1</x:v>
      </x:c>
      <x:c r="G1254" s="20" t="n">
        <x:f>'Controls'!$B$19</x:f>
        <x:v>24</x:v>
      </x:c>
      <x:c r="H1254" s="20" t="n">
        <x:f>'Controls'!$B$18</x:f>
        <x:v>0.25</x:v>
      </x:c>
      <x:c r="I1254" s="20" t="n">
        <x:f>'Controls'!$B$12-'Controls'!$B$13</x:f>
        <x:v>2.98</x:v>
      </x:c>
      <x:c r="J1254" s="20" t="n">
        <x:v>1</x:v>
      </x:c>
      <x:c r="K1254" s="20" t="n">
        <x:f>F1254*G1254*H1254*I1254*J1254</x:f>
        <x:v>17.88</x:v>
      </x:c>
      <x:c r="L1254" s="7" t="str">
        <x:v>Net clear wall length excludes corners</x:v>
      </x:c>
      <x:c r="M1254" s="2"/>
      <x:c r="N1254" s="2"/>
      <x:c r="O1254" s="2"/>
      <x:c r="P1254" s="2"/>
      <x:c r="Q1254" s="2"/>
    </x:row>
    <x:row r="1255" ht="22" customHeight="1">
      <x:c r="A1255" s="2" t="str">
        <x:v>M1248</x:v>
      </x:c>
      <x:c r="B1255" s="2" t="str">
        <x:v>RC07</x:v>
      </x:c>
      <x:c r="C1255" s="2" t="str">
        <x:v>T5</x:v>
      </x:c>
      <x:c r="D1255" s="2" t="str">
        <x:v>L01</x:v>
      </x:c>
      <x:c r="E1255" s="2" t="str">
        <x:v>Stair flights waist</x:v>
      </x:c>
      <x:c r="F1255" s="21" t="n">
        <x:v>2</x:v>
      </x:c>
      <x:c r="G1255" s="21" t="n">
        <x:v>4.1</x:v>
      </x:c>
      <x:c r="H1255" s="21" t="n">
        <x:v>1.2</x:v>
      </x:c>
      <x:c r="I1255" s="21" t="n">
        <x:v>0.18</x:v>
      </x:c>
      <x:c r="J1255" s="21" t="n">
        <x:v>1</x:v>
      </x:c>
      <x:c r="K1255" s="21" t="n">
        <x:f>F1255*G1255*H1255*I1255*J1255</x:f>
        <x:v>1.7711999999999997</x:v>
      </x:c>
      <x:c r="L1255" s="2" t="str">
        <x:v>Two flights; geometry separate from floor slab</x:v>
      </x:c>
      <x:c r="M1255" s="2"/>
      <x:c r="N1255" s="2"/>
      <x:c r="O1255" s="2"/>
      <x:c r="P1255" s="2"/>
      <x:c r="Q1255" s="2"/>
    </x:row>
    <x:row r="1256" ht="22" customHeight="1">
      <x:c r="A1256" s="7" t="str">
        <x:v>M1249</x:v>
      </x:c>
      <x:c r="B1256" s="7" t="str">
        <x:v>RC07</x:v>
      </x:c>
      <x:c r="C1256" s="7" t="str">
        <x:v>T5</x:v>
      </x:c>
      <x:c r="D1256" s="7" t="str">
        <x:v>L01</x:v>
      </x:c>
      <x:c r="E1256" s="7" t="str">
        <x:v>Stair landings</x:v>
      </x:c>
      <x:c r="F1256" s="20" t="n">
        <x:v>2</x:v>
      </x:c>
      <x:c r="G1256" s="20" t="n">
        <x:v>2</x:v>
      </x:c>
      <x:c r="H1256" s="20" t="n">
        <x:v>1.2</x:v>
      </x:c>
      <x:c r="I1256" s="20" t="n">
        <x:v>0.18</x:v>
      </x:c>
      <x:c r="J1256" s="20" t="n">
        <x:v>1</x:v>
      </x:c>
      <x:c r="K1256" s="20" t="n">
        <x:f>F1256*G1256*H1256*I1256*J1256</x:f>
        <x:v>0.864</x:v>
      </x:c>
      <x:c r="L1256" s="7" t="str">
        <x:v>Within stair opening</x:v>
      </x:c>
      <x:c r="M1256" s="2"/>
      <x:c r="N1256" s="2"/>
      <x:c r="O1256" s="2"/>
      <x:c r="P1256" s="2"/>
      <x:c r="Q1256" s="2"/>
    </x:row>
    <x:row r="1257" ht="22" customHeight="1">
      <x:c r="A1257" s="2" t="str">
        <x:v>M1250</x:v>
      </x:c>
      <x:c r="B1257" s="2" t="str">
        <x:v>FW01</x:v>
      </x:c>
      <x:c r="C1257" s="2" t="str">
        <x:v>T5</x:v>
      </x:c>
      <x:c r="D1257" s="2" t="str">
        <x:v>L01</x:v>
      </x:c>
      <x:c r="E1257" s="2" t="str">
        <x:v>Slab soffit gross</x:v>
      </x:c>
      <x:c r="F1257" s="21" t="n">
        <x:v>1</x:v>
      </x:c>
      <x:c r="G1257" s="21" t="n">
        <x:f>'Controls'!$B$10</x:f>
        <x:v>30</x:v>
      </x:c>
      <x:c r="H1257" s="21" t="n">
        <x:f>'Controls'!$B$11</x:f>
        <x:v>24</x:v>
      </x:c>
      <x:c r="I1257" s="21" t="n">
        <x:v>1</x:v>
      </x:c>
      <x:c r="J1257" s="21" t="n">
        <x:v>1</x:v>
      </x:c>
      <x:c r="K1257" s="21" t="n">
        <x:f>F1257*G1257*H1257*I1257*J1257</x:f>
        <x:v>720</x:v>
      </x:c>
      <x:c r="L1257" s="2" t="str">
        <x:v>Beam soffit deducted below</x:v>
      </x:c>
      <x:c r="M1257" s="2"/>
      <x:c r="N1257" s="2"/>
      <x:c r="O1257" s="2"/>
      <x:c r="P1257" s="2"/>
      <x:c r="Q1257" s="2"/>
    </x:row>
    <x:row r="1258" ht="22" customHeight="1">
      <x:c r="A1258" s="7" t="str">
        <x:v>M1251</x:v>
      </x:c>
      <x:c r="B1258" s="7" t="str">
        <x:v>FW01</x:v>
      </x:c>
      <x:c r="C1258" s="7" t="str">
        <x:v>T5</x:v>
      </x:c>
      <x:c r="D1258" s="7" t="str">
        <x:v>L01</x:v>
      </x:c>
      <x:c r="E1258" s="7" t="str">
        <x:v>Stair opening deduction</x:v>
      </x:c>
      <x:c r="F1258" s="20" t="n">
        <x:v>1</x:v>
      </x:c>
      <x:c r="G1258" s="20" t="n">
        <x:f>'Controls'!$B$20</x:f>
        <x:v>4</x:v>
      </x:c>
      <x:c r="H1258" s="20" t="n">
        <x:f>'Controls'!$B$21</x:f>
        <x:v>6</x:v>
      </x:c>
      <x:c r="I1258" s="20" t="n">
        <x:v>1</x:v>
      </x:c>
      <x:c r="J1258" s="20" t="n">
        <x:v>-1</x:v>
      </x:c>
      <x:c r="K1258" s="20" t="n">
        <x:f>F1258*G1258*H1258*I1258*J1258</x:f>
        <x:v>-24</x:v>
      </x:c>
      <x:c r="L1258" s="7" t="str">
        <x:v>OP-01</x:v>
      </x:c>
      <x:c r="M1258" s="2"/>
      <x:c r="N1258" s="2"/>
      <x:c r="O1258" s="2"/>
      <x:c r="P1258" s="2"/>
      <x:c r="Q1258" s="2"/>
    </x:row>
    <x:row r="1259" ht="22" customHeight="1">
      <x:c r="A1259" s="2" t="str">
        <x:v>M1252</x:v>
      </x:c>
      <x:c r="B1259" s="2" t="str">
        <x:v>FW01</x:v>
      </x:c>
      <x:c r="C1259" s="2" t="str">
        <x:v>T5</x:v>
      </x:c>
      <x:c r="D1259" s="2" t="str">
        <x:v>L01</x:v>
      </x:c>
      <x:c r="E1259" s="2" t="str">
        <x:v>Beam soffit deduction</x:v>
      </x:c>
      <x:c r="F1259" s="21" t="n">
        <x:v>1</x:v>
      </x:c>
      <x:c r="G1259" s="21" t="n">
        <x:f>5*5*('Controls'!$B$10/5-'Controls'!$B$14)+6*4*('Controls'!$B$11/4-'Controls'!$B$15)</x:f>
        <x:v>269.5</x:v>
      </x:c>
      <x:c r="H1259" s="21" t="n">
        <x:f>'Controls'!$B$16</x:f>
        <x:v>0.3</x:v>
      </x:c>
      <x:c r="I1259" s="21" t="n">
        <x:v>1</x:v>
      </x:c>
      <x:c r="J1259" s="21" t="n">
        <x:v>-1</x:v>
      </x:c>
      <x:c r="K1259" s="21" t="n">
        <x:f>F1259*G1259*H1259*I1259*J1259</x:f>
        <x:v>-80.85</x:v>
      </x:c>
      <x:c r="L1259" s="2" t="str">
        <x:v>Beam forms measured in FW02</x:v>
      </x:c>
      <x:c r="M1259" s="2"/>
      <x:c r="N1259" s="2"/>
      <x:c r="O1259" s="2"/>
      <x:c r="P1259" s="2"/>
      <x:c r="Q1259" s="2"/>
    </x:row>
    <x:row r="1260" ht="22" customHeight="1">
      <x:c r="A1260" s="7" t="str">
        <x:v>M1253</x:v>
      </x:c>
      <x:c r="B1260" s="7" t="str">
        <x:v>FW03</x:v>
      </x:c>
      <x:c r="C1260" s="7" t="str">
        <x:v>T5</x:v>
      </x:c>
      <x:c r="D1260" s="7" t="str">
        <x:v>L01</x:v>
      </x:c>
      <x:c r="E1260" s="7" t="str">
        <x:v>Column four faces</x:v>
      </x:c>
      <x:c r="F1260" s="20" t="n">
        <x:v>30</x:v>
      </x:c>
      <x:c r="G1260" s="20" t="n">
        <x:f>2*('Controls'!$B$14+'Controls'!$B$15)</x:f>
        <x:v>2</x:v>
      </x:c>
      <x:c r="H1260" s="20" t="n">
        <x:f>'Controls'!$B$12-'Controls'!$B$13</x:f>
        <x:v>2.98</x:v>
      </x:c>
      <x:c r="I1260" s="20" t="n">
        <x:v>1</x:v>
      </x:c>
      <x:c r="J1260" s="20" t="n">
        <x:v>1</x:v>
      </x:c>
      <x:c r="K1260" s="20" t="n">
        <x:f>F1260*G1260*H1260*I1260*J1260</x:f>
        <x:v>178.8</x:v>
      </x:c>
      <x:c r="L1260" s="7" t="str">
        <x:v>Clear floor-to-soffit</x:v>
      </x:c>
      <x:c r="M1260" s="2"/>
      <x:c r="N1260" s="2"/>
      <x:c r="O1260" s="2"/>
      <x:c r="P1260" s="2"/>
      <x:c r="Q1260" s="2"/>
    </x:row>
    <x:row r="1261" ht="22" customHeight="1">
      <x:c r="A1261" s="2" t="str">
        <x:v>M1254</x:v>
      </x:c>
      <x:c r="B1261" s="2" t="str">
        <x:v>FW04</x:v>
      </x:c>
      <x:c r="C1261" s="2" t="str">
        <x:v>T5</x:v>
      </x:c>
      <x:c r="D1261" s="2" t="str">
        <x:v>L01</x:v>
      </x:c>
      <x:c r="E1261" s="2" t="str">
        <x:v>Core wall two faces</x:v>
      </x:c>
      <x:c r="F1261" s="21" t="n">
        <x:v>2</x:v>
      </x:c>
      <x:c r="G1261" s="21" t="n">
        <x:f>'Controls'!$B$19</x:f>
        <x:v>24</x:v>
      </x:c>
      <x:c r="H1261" s="21" t="n">
        <x:f>'Controls'!$B$12-'Controls'!$B$13</x:f>
        <x:v>2.98</x:v>
      </x:c>
      <x:c r="I1261" s="21" t="n">
        <x:v>1</x:v>
      </x:c>
      <x:c r="J1261" s="21" t="n">
        <x:v>1</x:v>
      </x:c>
      <x:c r="K1261" s="21" t="n">
        <x:f>F1261*G1261*H1261*I1261*J1261</x:f>
        <x:v>143.04</x:v>
      </x:c>
      <x:c r="L1261" s="2" t="str">
        <x:v>Net perimeter, no repeated corners</x:v>
      </x:c>
      <x:c r="M1261" s="2"/>
      <x:c r="N1261" s="2"/>
      <x:c r="O1261" s="2"/>
      <x:c r="P1261" s="2"/>
      <x:c r="Q1261" s="2"/>
    </x:row>
    <x:row r="1262" ht="22" customHeight="1">
      <x:c r="A1262" s="7" t="str">
        <x:v>M1255</x:v>
      </x:c>
      <x:c r="B1262" s="7" t="str">
        <x:v>AR01</x:v>
      </x:c>
      <x:c r="C1262" s="7" t="str">
        <x:v>T5</x:v>
      </x:c>
      <x:c r="D1262" s="7" t="str">
        <x:v>L01</x:v>
      </x:c>
      <x:c r="E1262" s="7" t="str">
        <x:v>Partition walls gross</x:v>
      </x:c>
      <x:c r="F1262" s="20" t="n">
        <x:v>1</x:v>
      </x:c>
      <x:c r="G1262" s="20" t="n">
        <x:f>'Controls'!$B$45</x:f>
        <x:v>220</x:v>
      </x:c>
      <x:c r="H1262" s="20" t="n">
        <x:f>'Controls'!$B$12-'Controls'!$B$13</x:f>
        <x:v>2.98</x:v>
      </x:c>
      <x:c r="I1262" s="20" t="n">
        <x:f>'Controls'!$B$46</x:f>
        <x:v>0.15</x:v>
      </x:c>
      <x:c r="J1262" s="20" t="n">
        <x:v>1</x:v>
      </x:c>
      <x:c r="K1262" s="20" t="n">
        <x:f>F1262*G1262*H1262*I1262*J1262</x:f>
        <x:v>98.34</x:v>
      </x:c>
      <x:c r="L1262" s="7" t="str">
        <x:v>Net openings deducted below</x:v>
      </x:c>
      <x:c r="M1262" s="2"/>
      <x:c r="N1262" s="2"/>
      <x:c r="O1262" s="2"/>
      <x:c r="P1262" s="2"/>
      <x:c r="Q1262" s="2"/>
    </x:row>
    <x:row r="1263" ht="22" customHeight="1">
      <x:c r="A1263" s="2" t="str">
        <x:v>M1256</x:v>
      </x:c>
      <x:c r="B1263" s="2" t="str">
        <x:v>AR01</x:v>
      </x:c>
      <x:c r="C1263" s="2" t="str">
        <x:v>T5</x:v>
      </x:c>
      <x:c r="D1263" s="2" t="str">
        <x:v>L01</x:v>
      </x:c>
      <x:c r="E1263" s="2" t="str">
        <x:v>Internal doors deduction</x:v>
      </x:c>
      <x:c r="F1263" s="21" t="n">
        <x:f>'Controls'!$B$48</x:f>
        <x:v>28</x:v>
      </x:c>
      <x:c r="G1263" s="21" t="n">
        <x:f>'Controls'!$B$49</x:f>
        <x:v>0.9</x:v>
      </x:c>
      <x:c r="H1263" s="21" t="n">
        <x:f>'Controls'!$B$50</x:f>
        <x:v>2.1</x:v>
      </x:c>
      <x:c r="I1263" s="21" t="n">
        <x:f>'Controls'!$B$46</x:f>
        <x:v>0.15</x:v>
      </x:c>
      <x:c r="J1263" s="21" t="n">
        <x:v>-1</x:v>
      </x:c>
      <x:c r="K1263" s="21" t="n">
        <x:f>F1263*G1263*H1263*I1263*J1263</x:f>
        <x:v>-7.938</x:v>
      </x:c>
      <x:c r="L1263" s="2" t="str">
        <x:v>28 doors per floor, OP-02</x:v>
      </x:c>
      <x:c r="M1263" s="2"/>
      <x:c r="N1263" s="2"/>
      <x:c r="O1263" s="2"/>
      <x:c r="P1263" s="2"/>
      <x:c r="Q1263" s="2"/>
    </x:row>
    <x:row r="1264" ht="22" customHeight="1">
      <x:c r="A1264" s="7" t="str">
        <x:v>M1257</x:v>
      </x:c>
      <x:c r="B1264" s="7" t="str">
        <x:v>AR02</x:v>
      </x:c>
      <x:c r="C1264" s="7" t="str">
        <x:v>T5</x:v>
      </x:c>
      <x:c r="D1264" s="7" t="str">
        <x:v>L01</x:v>
      </x:c>
      <x:c r="E1264" s="7" t="str">
        <x:v>Internal plaster gross</x:v>
      </x:c>
      <x:c r="F1264" s="20" t="n">
        <x:v>2</x:v>
      </x:c>
      <x:c r="G1264" s="20" t="n">
        <x:f>'Controls'!$B$45</x:f>
        <x:v>220</x:v>
      </x:c>
      <x:c r="H1264" s="20" t="n">
        <x:f>'Controls'!$B$12-'Controls'!$B$13</x:f>
        <x:v>2.98</x:v>
      </x:c>
      <x:c r="I1264" s="20" t="n">
        <x:v>1</x:v>
      </x:c>
      <x:c r="J1264" s="20" t="n">
        <x:v>1</x:v>
      </x:c>
      <x:c r="K1264" s="20" t="n">
        <x:f>F1264*G1264*H1264*I1264*J1264</x:f>
        <x:v>1311.2</x:v>
      </x:c>
      <x:c r="L1264" s="7" t="str">
        <x:v>Both faces of partition walls</x:v>
      </x:c>
      <x:c r="M1264" s="2"/>
      <x:c r="N1264" s="2"/>
      <x:c r="O1264" s="2"/>
      <x:c r="P1264" s="2"/>
      <x:c r="Q1264" s="2"/>
    </x:row>
    <x:row r="1265" ht="22" customHeight="1">
      <x:c r="A1265" s="2" t="str">
        <x:v>M1258</x:v>
      </x:c>
      <x:c r="B1265" s="2" t="str">
        <x:v>AR02</x:v>
      </x:c>
      <x:c r="C1265" s="2" t="str">
        <x:v>T5</x:v>
      </x:c>
      <x:c r="D1265" s="2" t="str">
        <x:v>L01</x:v>
      </x:c>
      <x:c r="E1265" s="2" t="str">
        <x:v>Door area deduction both faces</x:v>
      </x:c>
      <x:c r="F1265" s="21" t="n">
        <x:f>2*'Controls'!$B$48</x:f>
        <x:v>56</x:v>
      </x:c>
      <x:c r="G1265" s="21" t="n">
        <x:f>'Controls'!$B$49</x:f>
        <x:v>0.9</x:v>
      </x:c>
      <x:c r="H1265" s="21" t="n">
        <x:f>'Controls'!$B$50</x:f>
        <x:v>2.1</x:v>
      </x:c>
      <x:c r="I1265" s="21" t="n">
        <x:v>1</x:v>
      </x:c>
      <x:c r="J1265" s="21" t="n">
        <x:v>-1</x:v>
      </x:c>
      <x:c r="K1265" s="21" t="n">
        <x:f>F1265*G1265*H1265*I1265*J1265</x:f>
        <x:v>-105.84</x:v>
      </x:c>
      <x:c r="L1265" s="2" t="str">
        <x:v>No plaster over openings</x:v>
      </x:c>
      <x:c r="M1265" s="2"/>
      <x:c r="N1265" s="2"/>
      <x:c r="O1265" s="2"/>
      <x:c r="P1265" s="2"/>
      <x:c r="Q1265" s="2"/>
    </x:row>
    <x:row r="1266" ht="22" customHeight="1">
      <x:c r="A1266" s="7" t="str">
        <x:v>M1259</x:v>
      </x:c>
      <x:c r="B1266" s="7" t="str">
        <x:v>AR03</x:v>
      </x:c>
      <x:c r="C1266" s="7" t="str">
        <x:v>T5</x:v>
      </x:c>
      <x:c r="D1266" s="7" t="str">
        <x:v>L01</x:v>
      </x:c>
      <x:c r="E1266" s="7" t="str">
        <x:v>Floor screed net</x:v>
      </x:c>
      <x:c r="F1266" s="20" t="n">
        <x:v>1</x:v>
      </x:c>
      <x:c r="G1266" s="20" t="n">
        <x:f>'Controls'!$B$10*'Controls'!$B$11-'Controls'!$B$20*'Controls'!$B$21</x:f>
        <x:v>696</x:v>
      </x:c>
      <x:c r="H1266" s="20" t="n">
        <x:v>1</x:v>
      </x:c>
      <x:c r="I1266" s="20" t="n">
        <x:v>1</x:v>
      </x:c>
      <x:c r="J1266" s="20" t="n">
        <x:v>1</x:v>
      </x:c>
      <x:c r="K1266" s="20" t="n">
        <x:f>F1266*G1266*H1266*I1266*J1266</x:f>
        <x:v>696</x:v>
      </x:c>
      <x:c r="L1266" s="7" t="str">
        <x:v>Net structural floor area</x:v>
      </x:c>
      <x:c r="M1266" s="2"/>
      <x:c r="N1266" s="2"/>
      <x:c r="O1266" s="2"/>
      <x:c r="P1266" s="2"/>
      <x:c r="Q1266" s="2"/>
    </x:row>
    <x:row r="1267" ht="22" customHeight="1">
      <x:c r="A1267" s="2" t="str">
        <x:v>M1260</x:v>
      </x:c>
      <x:c r="B1267" s="2" t="str">
        <x:v>AR04</x:v>
      </x:c>
      <x:c r="C1267" s="2" t="str">
        <x:v>T5</x:v>
      </x:c>
      <x:c r="D1267" s="2" t="str">
        <x:v>L01</x:v>
      </x:c>
      <x:c r="E1267" s="2" t="str">
        <x:v>Floor finish net</x:v>
      </x:c>
      <x:c r="F1267" s="21" t="n">
        <x:v>1</x:v>
      </x:c>
      <x:c r="G1267" s="21" t="n">
        <x:f>'Controls'!$B$10*'Controls'!$B$11-'Controls'!$B$20*'Controls'!$B$21</x:f>
        <x:v>696</x:v>
      </x:c>
      <x:c r="H1267" s="21" t="n">
        <x:v>1</x:v>
      </x:c>
      <x:c r="I1267" s="21" t="n">
        <x:v>1</x:v>
      </x:c>
      <x:c r="J1267" s="21" t="n">
        <x:v>1</x:v>
      </x:c>
      <x:c r="K1267" s="21" t="n">
        <x:f>F1267*G1267*H1267*I1267*J1267</x:f>
        <x:v>696</x:v>
      </x:c>
      <x:c r="L1267" s="2" t="str">
        <x:v>Waste excluded from BOQ</x:v>
      </x:c>
      <x:c r="M1267" s="2"/>
      <x:c r="N1267" s="2"/>
      <x:c r="O1267" s="2"/>
      <x:c r="P1267" s="2"/>
      <x:c r="Q1267" s="2"/>
    </x:row>
    <x:row r="1268" ht="22" customHeight="1">
      <x:c r="A1268" s="7" t="str">
        <x:v>M1261</x:v>
      </x:c>
      <x:c r="B1268" s="7" t="str">
        <x:v>AR05</x:v>
      </x:c>
      <x:c r="C1268" s="7" t="str">
        <x:v>T5</x:v>
      </x:c>
      <x:c r="D1268" s="7" t="str">
        <x:v>L01</x:v>
      </x:c>
      <x:c r="E1268" s="7" t="str">
        <x:v>Internal wall paint net</x:v>
      </x:c>
      <x:c r="F1268" s="20" t="n">
        <x:v>2</x:v>
      </x:c>
      <x:c r="G1268" s="20" t="n">
        <x:f>'Controls'!$B$45*('Controls'!$B$12-'Controls'!$B$13)-'Controls'!$B$48*'Controls'!$B$49*'Controls'!$B$50</x:f>
        <x:v>602.6800000000001</x:v>
      </x:c>
      <x:c r="H1268" s="20" t="n">
        <x:v>1</x:v>
      </x:c>
      <x:c r="I1268" s="20" t="n">
        <x:v>1</x:v>
      </x:c>
      <x:c r="J1268" s="20" t="n">
        <x:v>1</x:v>
      </x:c>
      <x:c r="K1268" s="20" t="n">
        <x:f>F1268*G1268*H1268*I1268*J1268</x:f>
        <x:v>1205.3600000000001</x:v>
      </x:c>
      <x:c r="L1268" s="7" t="str">
        <x:v>Finished area; two coats priced in rate</x:v>
      </x:c>
      <x:c r="M1268" s="2"/>
      <x:c r="N1268" s="2"/>
      <x:c r="O1268" s="2"/>
      <x:c r="P1268" s="2"/>
      <x:c r="Q1268" s="2"/>
    </x:row>
    <x:row r="1269" ht="22" customHeight="1">
      <x:c r="A1269" s="2" t="str">
        <x:v>M1262</x:v>
      </x:c>
      <x:c r="B1269" s="2" t="str">
        <x:v>AR06</x:v>
      </x:c>
      <x:c r="C1269" s="2" t="str">
        <x:v>T5</x:v>
      </x:c>
      <x:c r="D1269" s="2" t="str">
        <x:v>L01</x:v>
      </x:c>
      <x:c r="E1269" s="2" t="str">
        <x:v>Door sets</x:v>
      </x:c>
      <x:c r="F1269" s="21" t="n">
        <x:f>'Controls'!$B$48</x:f>
        <x:v>28</x:v>
      </x:c>
      <x:c r="G1269" s="21" t="n">
        <x:v>1</x:v>
      </x:c>
      <x:c r="H1269" s="21" t="n">
        <x:v>1</x:v>
      </x:c>
      <x:c r="I1269" s="21" t="n">
        <x:v>1</x:v>
      </x:c>
      <x:c r="J1269" s="21" t="n">
        <x:v>1</x:v>
      </x:c>
      <x:c r="K1269" s="21" t="n">
        <x:f>F1269*G1269*H1269*I1269*J1269</x:f>
        <x:v>28</x:v>
      </x:c>
      <x:c r="L1269" s="2" t="str">
        <x:v>Door count, not double face</x:v>
      </x:c>
      <x:c r="M1269" s="2"/>
      <x:c r="N1269" s="2"/>
      <x:c r="O1269" s="2"/>
      <x:c r="P1269" s="2"/>
      <x:c r="Q1269" s="2"/>
    </x:row>
    <x:row r="1270" ht="22" customHeight="1">
      <x:c r="A1270" s="7" t="str">
        <x:v>M1263</x:v>
      </x:c>
      <x:c r="B1270" s="7" t="str">
        <x:v>RC03</x:v>
      </x:c>
      <x:c r="C1270" s="7" t="str">
        <x:v>T5</x:v>
      </x:c>
      <x:c r="D1270" s="7" t="str">
        <x:v>L02</x:v>
      </x:c>
      <x:c r="E1270" s="7" t="str">
        <x:v>Floor slab gross</x:v>
      </x:c>
      <x:c r="F1270" s="20" t="n">
        <x:v>1</x:v>
      </x:c>
      <x:c r="G1270" s="20" t="n">
        <x:f>'Controls'!$B$10</x:f>
        <x:v>30</x:v>
      </x:c>
      <x:c r="H1270" s="20" t="n">
        <x:f>'Controls'!$B$11</x:f>
        <x:v>24</x:v>
      </x:c>
      <x:c r="I1270" s="20" t="n">
        <x:f>'Controls'!$B$13</x:f>
        <x:v>0.22</x:v>
      </x:c>
      <x:c r="J1270" s="20" t="n">
        <x:v>1</x:v>
      </x:c>
      <x:c r="K1270" s="20" t="n">
        <x:f>F1270*G1270*H1270*I1270*J1270</x:f>
        <x:v>158.4</x:v>
      </x:c>
      <x:c r="L1270" s="7" t="str">
        <x:v>Slab includes beam top flange; downstand separate</x:v>
      </x:c>
      <x:c r="M1270" s="2"/>
      <x:c r="N1270" s="2"/>
      <x:c r="O1270" s="2"/>
      <x:c r="P1270" s="2"/>
      <x:c r="Q1270" s="2"/>
    </x:row>
    <x:row r="1271" ht="22" customHeight="1">
      <x:c r="A1271" s="2" t="str">
        <x:v>M1264</x:v>
      </x:c>
      <x:c r="B1271" s="2" t="str">
        <x:v>RC03</x:v>
      </x:c>
      <x:c r="C1271" s="2" t="str">
        <x:v>T5</x:v>
      </x:c>
      <x:c r="D1271" s="2" t="str">
        <x:v>L02</x:v>
      </x:c>
      <x:c r="E1271" s="2" t="str">
        <x:v>Stair opening deduction</x:v>
      </x:c>
      <x:c r="F1271" s="21" t="n">
        <x:v>1</x:v>
      </x:c>
      <x:c r="G1271" s="21" t="n">
        <x:f>'Controls'!$B$20</x:f>
        <x:v>4</x:v>
      </x:c>
      <x:c r="H1271" s="21" t="n">
        <x:f>'Controls'!$B$21</x:f>
        <x:v>6</x:v>
      </x:c>
      <x:c r="I1271" s="21" t="n">
        <x:f>'Controls'!$B$13</x:f>
        <x:v>0.22</x:v>
      </x:c>
      <x:c r="J1271" s="21" t="n">
        <x:v>-1</x:v>
      </x:c>
      <x:c r="K1271" s="21" t="n">
        <x:f>F1271*G1271*H1271*I1271*J1271</x:f>
        <x:v>-5.28</x:v>
      </x:c>
      <x:c r="L1271" s="2" t="str">
        <x:v>Opening OP-01</x:v>
      </x:c>
      <x:c r="M1271" s="2"/>
      <x:c r="N1271" s="2"/>
      <x:c r="O1271" s="2"/>
      <x:c r="P1271" s="2"/>
      <x:c r="Q1271" s="2"/>
    </x:row>
    <x:row r="1272" ht="22" customHeight="1">
      <x:c r="A1272" s="7" t="str">
        <x:v>M1265</x:v>
      </x:c>
      <x:c r="B1272" s="7" t="str">
        <x:v>RC04</x:v>
      </x:c>
      <x:c r="C1272" s="7" t="str">
        <x:v>T5</x:v>
      </x:c>
      <x:c r="D1272" s="7" t="str">
        <x:v>L02</x:v>
      </x:c>
      <x:c r="E1272" s="7" t="str">
        <x:v>Beam downstands X</x:v>
      </x:c>
      <x:c r="F1272" s="20" t="n">
        <x:v>1</x:v>
      </x:c>
      <x:c r="G1272" s="20" t="n">
        <x:f>5*5*('Controls'!$B$10/5-'Controls'!$B$14)</x:f>
        <x:v>137.5</x:v>
      </x:c>
      <x:c r="H1272" s="20" t="n">
        <x:f>'Controls'!$B$16</x:f>
        <x:v>0.3</x:v>
      </x:c>
      <x:c r="I1272" s="20" t="n">
        <x:f>'Controls'!$B$17-'Controls'!$B$13</x:f>
        <x:v>0.38</x:v>
      </x:c>
      <x:c r="J1272" s="20" t="n">
        <x:v>1</x:v>
      </x:c>
      <x:c r="K1272" s="20" t="n">
        <x:f>F1272*G1272*H1272*I1272*J1272</x:f>
        <x:v>15.675</x:v>
      </x:c>
      <x:c r="L1272" s="7" t="str">
        <x:v>Clear spans between column faces; no joint overlap</x:v>
      </x:c>
      <x:c r="M1272" s="2"/>
      <x:c r="N1272" s="2"/>
      <x:c r="O1272" s="2"/>
      <x:c r="P1272" s="2"/>
      <x:c r="Q1272" s="2"/>
    </x:row>
    <x:row r="1273" ht="22" customHeight="1">
      <x:c r="A1273" s="2" t="str">
        <x:v>M1266</x:v>
      </x:c>
      <x:c r="B1273" s="2" t="str">
        <x:v>FW02</x:v>
      </x:c>
      <x:c r="C1273" s="2" t="str">
        <x:v>T5</x:v>
      </x:c>
      <x:c r="D1273" s="2" t="str">
        <x:v>L02</x:v>
      </x:c>
      <x:c r="E1273" s="2" t="str">
        <x:v>Beam forms X</x:v>
      </x:c>
      <x:c r="F1273" s="21" t="n">
        <x:v>1</x:v>
      </x:c>
      <x:c r="G1273" s="21" t="n">
        <x:f>5*5*('Controls'!$B$10/5-'Controls'!$B$14)</x:f>
        <x:v>137.5</x:v>
      </x:c>
      <x:c r="H1273" s="21" t="n">
        <x:f>'Controls'!$B$16+2*('Controls'!$B$17-'Controls'!$B$13)</x:f>
        <x:v>1.06</x:v>
      </x:c>
      <x:c r="I1273" s="21" t="n">
        <x:v>1</x:v>
      </x:c>
      <x:c r="J1273" s="21" t="n">
        <x:v>1</x:v>
      </x:c>
      <x:c r="K1273" s="21" t="n">
        <x:f>F1273*G1273*H1273*I1273*J1273</x:f>
        <x:v>145.75</x:v>
      </x:c>
      <x:c r="L1273" s="2" t="str">
        <x:v>Soffit plus two downstand sides</x:v>
      </x:c>
      <x:c r="M1273" s="2"/>
      <x:c r="N1273" s="2"/>
      <x:c r="O1273" s="2"/>
      <x:c r="P1273" s="2"/>
      <x:c r="Q1273" s="2"/>
    </x:row>
    <x:row r="1274" ht="22" customHeight="1">
      <x:c r="A1274" s="7" t="str">
        <x:v>M1267</x:v>
      </x:c>
      <x:c r="B1274" s="7" t="str">
        <x:v>RC04</x:v>
      </x:c>
      <x:c r="C1274" s="7" t="str">
        <x:v>T5</x:v>
      </x:c>
      <x:c r="D1274" s="7" t="str">
        <x:v>L02</x:v>
      </x:c>
      <x:c r="E1274" s="7" t="str">
        <x:v>Beam downstands Y</x:v>
      </x:c>
      <x:c r="F1274" s="20" t="n">
        <x:v>1</x:v>
      </x:c>
      <x:c r="G1274" s="20" t="n">
        <x:f>6*4*('Controls'!$B$11/4-'Controls'!$B$15)</x:f>
        <x:v>132</x:v>
      </x:c>
      <x:c r="H1274" s="20" t="n">
        <x:f>'Controls'!$B$16</x:f>
        <x:v>0.3</x:v>
      </x:c>
      <x:c r="I1274" s="20" t="n">
        <x:f>'Controls'!$B$17-'Controls'!$B$13</x:f>
        <x:v>0.38</x:v>
      </x:c>
      <x:c r="J1274" s="20" t="n">
        <x:v>1</x:v>
      </x:c>
      <x:c r="K1274" s="20" t="n">
        <x:f>F1274*G1274*H1274*I1274*J1274</x:f>
        <x:v>15.048</x:v>
      </x:c>
      <x:c r="L1274" s="7" t="str">
        <x:v>Clear spans between column faces; no joint overlap</x:v>
      </x:c>
      <x:c r="M1274" s="2"/>
      <x:c r="N1274" s="2"/>
      <x:c r="O1274" s="2"/>
      <x:c r="P1274" s="2"/>
      <x:c r="Q1274" s="2"/>
    </x:row>
    <x:row r="1275" ht="22" customHeight="1">
      <x:c r="A1275" s="2" t="str">
        <x:v>M1268</x:v>
      </x:c>
      <x:c r="B1275" s="2" t="str">
        <x:v>FW02</x:v>
      </x:c>
      <x:c r="C1275" s="2" t="str">
        <x:v>T5</x:v>
      </x:c>
      <x:c r="D1275" s="2" t="str">
        <x:v>L02</x:v>
      </x:c>
      <x:c r="E1275" s="2" t="str">
        <x:v>Beam forms Y</x:v>
      </x:c>
      <x:c r="F1275" s="21" t="n">
        <x:v>1</x:v>
      </x:c>
      <x:c r="G1275" s="21" t="n">
        <x:f>6*4*('Controls'!$B$11/4-'Controls'!$B$15)</x:f>
        <x:v>132</x:v>
      </x:c>
      <x:c r="H1275" s="21" t="n">
        <x:f>'Controls'!$B$16+2*('Controls'!$B$17-'Controls'!$B$13)</x:f>
        <x:v>1.06</x:v>
      </x:c>
      <x:c r="I1275" s="21" t="n">
        <x:v>1</x:v>
      </x:c>
      <x:c r="J1275" s="21" t="n">
        <x:v>1</x:v>
      </x:c>
      <x:c r="K1275" s="21" t="n">
        <x:f>F1275*G1275*H1275*I1275*J1275</x:f>
        <x:v>139.92000000000002</x:v>
      </x:c>
      <x:c r="L1275" s="2" t="str">
        <x:v>Soffit plus two downstand sides</x:v>
      </x:c>
      <x:c r="M1275" s="2"/>
      <x:c r="N1275" s="2"/>
      <x:c r="O1275" s="2"/>
      <x:c r="P1275" s="2"/>
      <x:c r="Q1275" s="2"/>
    </x:row>
    <x:row r="1276" ht="22" customHeight="1">
      <x:c r="A1276" s="7" t="str">
        <x:v>M1269</x:v>
      </x:c>
      <x:c r="B1276" s="7" t="str">
        <x:v>RC05</x:v>
      </x:c>
      <x:c r="C1276" s="7" t="str">
        <x:v>T5</x:v>
      </x:c>
      <x:c r="D1276" s="7" t="str">
        <x:v>L02</x:v>
      </x:c>
      <x:c r="E1276" s="7" t="str">
        <x:v>Thirty columns, clear storey</x:v>
      </x:c>
      <x:c r="F1276" s="20" t="n">
        <x:v>30</x:v>
      </x:c>
      <x:c r="G1276" s="20" t="n">
        <x:f>'Controls'!$B$14</x:f>
        <x:v>0.5</x:v>
      </x:c>
      <x:c r="H1276" s="20" t="n">
        <x:f>'Controls'!$B$15</x:f>
        <x:v>0.5</x:v>
      </x:c>
      <x:c r="I1276" s="20" t="n">
        <x:f>'Controls'!$B$12-'Controls'!$B$13</x:f>
        <x:v>2.98</x:v>
      </x:c>
      <x:c r="J1276" s="20" t="n">
        <x:v>1</x:v>
      </x:c>
      <x:c r="K1276" s="20" t="n">
        <x:f>F1276*G1276*H1276*I1276*J1276</x:f>
        <x:v>22.35</x:v>
      </x:c>
      <x:c r="L1276" s="7" t="str">
        <x:v>Slab volume excluded from columns</x:v>
      </x:c>
      <x:c r="M1276" s="2"/>
      <x:c r="N1276" s="2"/>
      <x:c r="O1276" s="2"/>
      <x:c r="P1276" s="2"/>
      <x:c r="Q1276" s="2"/>
    </x:row>
    <x:row r="1277" ht="22" customHeight="1">
      <x:c r="A1277" s="2" t="str">
        <x:v>M1270</x:v>
      </x:c>
      <x:c r="B1277" s="2" t="str">
        <x:v>RC06</x:v>
      </x:c>
      <x:c r="C1277" s="2" t="str">
        <x:v>T5</x:v>
      </x:c>
      <x:c r="D1277" s="2" t="str">
        <x:v>L02</x:v>
      </x:c>
      <x:c r="E1277" s="2" t="str">
        <x:v>Core walls clear storey</x:v>
      </x:c>
      <x:c r="F1277" s="21" t="n">
        <x:v>1</x:v>
      </x:c>
      <x:c r="G1277" s="21" t="n">
        <x:f>'Controls'!$B$19</x:f>
        <x:v>24</x:v>
      </x:c>
      <x:c r="H1277" s="21" t="n">
        <x:f>'Controls'!$B$18</x:f>
        <x:v>0.25</x:v>
      </x:c>
      <x:c r="I1277" s="21" t="n">
        <x:f>'Controls'!$B$12-'Controls'!$B$13</x:f>
        <x:v>2.98</x:v>
      </x:c>
      <x:c r="J1277" s="21" t="n">
        <x:v>1</x:v>
      </x:c>
      <x:c r="K1277" s="21" t="n">
        <x:f>F1277*G1277*H1277*I1277*J1277</x:f>
        <x:v>17.88</x:v>
      </x:c>
      <x:c r="L1277" s="2" t="str">
        <x:v>Net clear wall length excludes corners</x:v>
      </x:c>
      <x:c r="M1277" s="2"/>
      <x:c r="N1277" s="2"/>
      <x:c r="O1277" s="2"/>
      <x:c r="P1277" s="2"/>
      <x:c r="Q1277" s="2"/>
    </x:row>
    <x:row r="1278" ht="22" customHeight="1">
      <x:c r="A1278" s="7" t="str">
        <x:v>M1271</x:v>
      </x:c>
      <x:c r="B1278" s="7" t="str">
        <x:v>RC07</x:v>
      </x:c>
      <x:c r="C1278" s="7" t="str">
        <x:v>T5</x:v>
      </x:c>
      <x:c r="D1278" s="7" t="str">
        <x:v>L02</x:v>
      </x:c>
      <x:c r="E1278" s="7" t="str">
        <x:v>Stair flights waist</x:v>
      </x:c>
      <x:c r="F1278" s="20" t="n">
        <x:v>2</x:v>
      </x:c>
      <x:c r="G1278" s="20" t="n">
        <x:v>4.1</x:v>
      </x:c>
      <x:c r="H1278" s="20" t="n">
        <x:v>1.2</x:v>
      </x:c>
      <x:c r="I1278" s="20" t="n">
        <x:v>0.18</x:v>
      </x:c>
      <x:c r="J1278" s="20" t="n">
        <x:v>1</x:v>
      </x:c>
      <x:c r="K1278" s="20" t="n">
        <x:f>F1278*G1278*H1278*I1278*J1278</x:f>
        <x:v>1.7711999999999997</x:v>
      </x:c>
      <x:c r="L1278" s="7" t="str">
        <x:v>Two flights; geometry separate from floor slab</x:v>
      </x:c>
      <x:c r="M1278" s="2"/>
      <x:c r="N1278" s="2"/>
      <x:c r="O1278" s="2"/>
      <x:c r="P1278" s="2"/>
      <x:c r="Q1278" s="2"/>
    </x:row>
    <x:row r="1279" ht="22" customHeight="1">
      <x:c r="A1279" s="2" t="str">
        <x:v>M1272</x:v>
      </x:c>
      <x:c r="B1279" s="2" t="str">
        <x:v>RC07</x:v>
      </x:c>
      <x:c r="C1279" s="2" t="str">
        <x:v>T5</x:v>
      </x:c>
      <x:c r="D1279" s="2" t="str">
        <x:v>L02</x:v>
      </x:c>
      <x:c r="E1279" s="2" t="str">
        <x:v>Stair landings</x:v>
      </x:c>
      <x:c r="F1279" s="21" t="n">
        <x:v>2</x:v>
      </x:c>
      <x:c r="G1279" s="21" t="n">
        <x:v>2</x:v>
      </x:c>
      <x:c r="H1279" s="21" t="n">
        <x:v>1.2</x:v>
      </x:c>
      <x:c r="I1279" s="21" t="n">
        <x:v>0.18</x:v>
      </x:c>
      <x:c r="J1279" s="21" t="n">
        <x:v>1</x:v>
      </x:c>
      <x:c r="K1279" s="21" t="n">
        <x:f>F1279*G1279*H1279*I1279*J1279</x:f>
        <x:v>0.864</x:v>
      </x:c>
      <x:c r="L1279" s="2" t="str">
        <x:v>Within stair opening</x:v>
      </x:c>
      <x:c r="M1279" s="2"/>
      <x:c r="N1279" s="2"/>
      <x:c r="O1279" s="2"/>
      <x:c r="P1279" s="2"/>
      <x:c r="Q1279" s="2"/>
    </x:row>
    <x:row r="1280" ht="22" customHeight="1">
      <x:c r="A1280" s="7" t="str">
        <x:v>M1273</x:v>
      </x:c>
      <x:c r="B1280" s="7" t="str">
        <x:v>FW01</x:v>
      </x:c>
      <x:c r="C1280" s="7" t="str">
        <x:v>T5</x:v>
      </x:c>
      <x:c r="D1280" s="7" t="str">
        <x:v>L02</x:v>
      </x:c>
      <x:c r="E1280" s="7" t="str">
        <x:v>Slab soffit gross</x:v>
      </x:c>
      <x:c r="F1280" s="20" t="n">
        <x:v>1</x:v>
      </x:c>
      <x:c r="G1280" s="20" t="n">
        <x:f>'Controls'!$B$10</x:f>
        <x:v>30</x:v>
      </x:c>
      <x:c r="H1280" s="20" t="n">
        <x:f>'Controls'!$B$11</x:f>
        <x:v>24</x:v>
      </x:c>
      <x:c r="I1280" s="20" t="n">
        <x:v>1</x:v>
      </x:c>
      <x:c r="J1280" s="20" t="n">
        <x:v>1</x:v>
      </x:c>
      <x:c r="K1280" s="20" t="n">
        <x:f>F1280*G1280*H1280*I1280*J1280</x:f>
        <x:v>720</x:v>
      </x:c>
      <x:c r="L1280" s="7" t="str">
        <x:v>Beam soffit deducted below</x:v>
      </x:c>
      <x:c r="M1280" s="2"/>
      <x:c r="N1280" s="2"/>
      <x:c r="O1280" s="2"/>
      <x:c r="P1280" s="2"/>
      <x:c r="Q1280" s="2"/>
    </x:row>
    <x:row r="1281" ht="22" customHeight="1">
      <x:c r="A1281" s="2" t="str">
        <x:v>M1274</x:v>
      </x:c>
      <x:c r="B1281" s="2" t="str">
        <x:v>FW01</x:v>
      </x:c>
      <x:c r="C1281" s="2" t="str">
        <x:v>T5</x:v>
      </x:c>
      <x:c r="D1281" s="2" t="str">
        <x:v>L02</x:v>
      </x:c>
      <x:c r="E1281" s="2" t="str">
        <x:v>Stair opening deduction</x:v>
      </x:c>
      <x:c r="F1281" s="21" t="n">
        <x:v>1</x:v>
      </x:c>
      <x:c r="G1281" s="21" t="n">
        <x:f>'Controls'!$B$20</x:f>
        <x:v>4</x:v>
      </x:c>
      <x:c r="H1281" s="21" t="n">
        <x:f>'Controls'!$B$21</x:f>
        <x:v>6</x:v>
      </x:c>
      <x:c r="I1281" s="21" t="n">
        <x:v>1</x:v>
      </x:c>
      <x:c r="J1281" s="21" t="n">
        <x:v>-1</x:v>
      </x:c>
      <x:c r="K1281" s="21" t="n">
        <x:f>F1281*G1281*H1281*I1281*J1281</x:f>
        <x:v>-24</x:v>
      </x:c>
      <x:c r="L1281" s="2" t="str">
        <x:v>OP-01</x:v>
      </x:c>
      <x:c r="M1281" s="2"/>
      <x:c r="N1281" s="2"/>
      <x:c r="O1281" s="2"/>
      <x:c r="P1281" s="2"/>
      <x:c r="Q1281" s="2"/>
    </x:row>
    <x:row r="1282" ht="22" customHeight="1">
      <x:c r="A1282" s="7" t="str">
        <x:v>M1275</x:v>
      </x:c>
      <x:c r="B1282" s="7" t="str">
        <x:v>FW01</x:v>
      </x:c>
      <x:c r="C1282" s="7" t="str">
        <x:v>T5</x:v>
      </x:c>
      <x:c r="D1282" s="7" t="str">
        <x:v>L02</x:v>
      </x:c>
      <x:c r="E1282" s="7" t="str">
        <x:v>Beam soffit deduction</x:v>
      </x:c>
      <x:c r="F1282" s="20" t="n">
        <x:v>1</x:v>
      </x:c>
      <x:c r="G1282" s="20" t="n">
        <x:f>5*5*('Controls'!$B$10/5-'Controls'!$B$14)+6*4*('Controls'!$B$11/4-'Controls'!$B$15)</x:f>
        <x:v>269.5</x:v>
      </x:c>
      <x:c r="H1282" s="20" t="n">
        <x:f>'Controls'!$B$16</x:f>
        <x:v>0.3</x:v>
      </x:c>
      <x:c r="I1282" s="20" t="n">
        <x:v>1</x:v>
      </x:c>
      <x:c r="J1282" s="20" t="n">
        <x:v>-1</x:v>
      </x:c>
      <x:c r="K1282" s="20" t="n">
        <x:f>F1282*G1282*H1282*I1282*J1282</x:f>
        <x:v>-80.85</x:v>
      </x:c>
      <x:c r="L1282" s="7" t="str">
        <x:v>Beam forms measured in FW02</x:v>
      </x:c>
      <x:c r="M1282" s="2"/>
      <x:c r="N1282" s="2"/>
      <x:c r="O1282" s="2"/>
      <x:c r="P1282" s="2"/>
      <x:c r="Q1282" s="2"/>
    </x:row>
    <x:row r="1283" ht="22" customHeight="1">
      <x:c r="A1283" s="2" t="str">
        <x:v>M1276</x:v>
      </x:c>
      <x:c r="B1283" s="2" t="str">
        <x:v>FW03</x:v>
      </x:c>
      <x:c r="C1283" s="2" t="str">
        <x:v>T5</x:v>
      </x:c>
      <x:c r="D1283" s="2" t="str">
        <x:v>L02</x:v>
      </x:c>
      <x:c r="E1283" s="2" t="str">
        <x:v>Column four faces</x:v>
      </x:c>
      <x:c r="F1283" s="21" t="n">
        <x:v>30</x:v>
      </x:c>
      <x:c r="G1283" s="21" t="n">
        <x:f>2*('Controls'!$B$14+'Controls'!$B$15)</x:f>
        <x:v>2</x:v>
      </x:c>
      <x:c r="H1283" s="21" t="n">
        <x:f>'Controls'!$B$12-'Controls'!$B$13</x:f>
        <x:v>2.98</x:v>
      </x:c>
      <x:c r="I1283" s="21" t="n">
        <x:v>1</x:v>
      </x:c>
      <x:c r="J1283" s="21" t="n">
        <x:v>1</x:v>
      </x:c>
      <x:c r="K1283" s="21" t="n">
        <x:f>F1283*G1283*H1283*I1283*J1283</x:f>
        <x:v>178.8</x:v>
      </x:c>
      <x:c r="L1283" s="2" t="str">
        <x:v>Clear floor-to-soffit</x:v>
      </x:c>
      <x:c r="M1283" s="2"/>
      <x:c r="N1283" s="2"/>
      <x:c r="O1283" s="2"/>
      <x:c r="P1283" s="2"/>
      <x:c r="Q1283" s="2"/>
    </x:row>
    <x:row r="1284" ht="22" customHeight="1">
      <x:c r="A1284" s="7" t="str">
        <x:v>M1277</x:v>
      </x:c>
      <x:c r="B1284" s="7" t="str">
        <x:v>FW04</x:v>
      </x:c>
      <x:c r="C1284" s="7" t="str">
        <x:v>T5</x:v>
      </x:c>
      <x:c r="D1284" s="7" t="str">
        <x:v>L02</x:v>
      </x:c>
      <x:c r="E1284" s="7" t="str">
        <x:v>Core wall two faces</x:v>
      </x:c>
      <x:c r="F1284" s="20" t="n">
        <x:v>2</x:v>
      </x:c>
      <x:c r="G1284" s="20" t="n">
        <x:f>'Controls'!$B$19</x:f>
        <x:v>24</x:v>
      </x:c>
      <x:c r="H1284" s="20" t="n">
        <x:f>'Controls'!$B$12-'Controls'!$B$13</x:f>
        <x:v>2.98</x:v>
      </x:c>
      <x:c r="I1284" s="20" t="n">
        <x:v>1</x:v>
      </x:c>
      <x:c r="J1284" s="20" t="n">
        <x:v>1</x:v>
      </x:c>
      <x:c r="K1284" s="20" t="n">
        <x:f>F1284*G1284*H1284*I1284*J1284</x:f>
        <x:v>143.04</x:v>
      </x:c>
      <x:c r="L1284" s="7" t="str">
        <x:v>Net perimeter, no repeated corners</x:v>
      </x:c>
      <x:c r="M1284" s="2"/>
      <x:c r="N1284" s="2"/>
      <x:c r="O1284" s="2"/>
      <x:c r="P1284" s="2"/>
      <x:c r="Q1284" s="2"/>
    </x:row>
    <x:row r="1285" ht="22" customHeight="1">
      <x:c r="A1285" s="2" t="str">
        <x:v>M1278</x:v>
      </x:c>
      <x:c r="B1285" s="2" t="str">
        <x:v>AR01</x:v>
      </x:c>
      <x:c r="C1285" s="2" t="str">
        <x:v>T5</x:v>
      </x:c>
      <x:c r="D1285" s="2" t="str">
        <x:v>L02</x:v>
      </x:c>
      <x:c r="E1285" s="2" t="str">
        <x:v>Partition walls gross</x:v>
      </x:c>
      <x:c r="F1285" s="21" t="n">
        <x:v>1</x:v>
      </x:c>
      <x:c r="G1285" s="21" t="n">
        <x:f>'Controls'!$B$45</x:f>
        <x:v>220</x:v>
      </x:c>
      <x:c r="H1285" s="21" t="n">
        <x:f>'Controls'!$B$12-'Controls'!$B$13</x:f>
        <x:v>2.98</x:v>
      </x:c>
      <x:c r="I1285" s="21" t="n">
        <x:f>'Controls'!$B$46</x:f>
        <x:v>0.15</x:v>
      </x:c>
      <x:c r="J1285" s="21" t="n">
        <x:v>1</x:v>
      </x:c>
      <x:c r="K1285" s="21" t="n">
        <x:f>F1285*G1285*H1285*I1285*J1285</x:f>
        <x:v>98.34</x:v>
      </x:c>
      <x:c r="L1285" s="2" t="str">
        <x:v>Net openings deducted below</x:v>
      </x:c>
      <x:c r="M1285" s="2"/>
      <x:c r="N1285" s="2"/>
      <x:c r="O1285" s="2"/>
      <x:c r="P1285" s="2"/>
      <x:c r="Q1285" s="2"/>
    </x:row>
    <x:row r="1286" ht="22" customHeight="1">
      <x:c r="A1286" s="7" t="str">
        <x:v>M1279</x:v>
      </x:c>
      <x:c r="B1286" s="7" t="str">
        <x:v>AR01</x:v>
      </x:c>
      <x:c r="C1286" s="7" t="str">
        <x:v>T5</x:v>
      </x:c>
      <x:c r="D1286" s="7" t="str">
        <x:v>L02</x:v>
      </x:c>
      <x:c r="E1286" s="7" t="str">
        <x:v>Internal doors deduction</x:v>
      </x:c>
      <x:c r="F1286" s="20" t="n">
        <x:f>'Controls'!$B$48</x:f>
        <x:v>28</x:v>
      </x:c>
      <x:c r="G1286" s="20" t="n">
        <x:f>'Controls'!$B$49</x:f>
        <x:v>0.9</x:v>
      </x:c>
      <x:c r="H1286" s="20" t="n">
        <x:f>'Controls'!$B$50</x:f>
        <x:v>2.1</x:v>
      </x:c>
      <x:c r="I1286" s="20" t="n">
        <x:f>'Controls'!$B$46</x:f>
        <x:v>0.15</x:v>
      </x:c>
      <x:c r="J1286" s="20" t="n">
        <x:v>-1</x:v>
      </x:c>
      <x:c r="K1286" s="20" t="n">
        <x:f>F1286*G1286*H1286*I1286*J1286</x:f>
        <x:v>-7.938</x:v>
      </x:c>
      <x:c r="L1286" s="7" t="str">
        <x:v>28 doors per floor, OP-02</x:v>
      </x:c>
      <x:c r="M1286" s="2"/>
      <x:c r="N1286" s="2"/>
      <x:c r="O1286" s="2"/>
      <x:c r="P1286" s="2"/>
      <x:c r="Q1286" s="2"/>
    </x:row>
    <x:row r="1287" ht="22" customHeight="1">
      <x:c r="A1287" s="2" t="str">
        <x:v>M1280</x:v>
      </x:c>
      <x:c r="B1287" s="2" t="str">
        <x:v>AR02</x:v>
      </x:c>
      <x:c r="C1287" s="2" t="str">
        <x:v>T5</x:v>
      </x:c>
      <x:c r="D1287" s="2" t="str">
        <x:v>L02</x:v>
      </x:c>
      <x:c r="E1287" s="2" t="str">
        <x:v>Internal plaster gross</x:v>
      </x:c>
      <x:c r="F1287" s="21" t="n">
        <x:v>2</x:v>
      </x:c>
      <x:c r="G1287" s="21" t="n">
        <x:f>'Controls'!$B$45</x:f>
        <x:v>220</x:v>
      </x:c>
      <x:c r="H1287" s="21" t="n">
        <x:f>'Controls'!$B$12-'Controls'!$B$13</x:f>
        <x:v>2.98</x:v>
      </x:c>
      <x:c r="I1287" s="21" t="n">
        <x:v>1</x:v>
      </x:c>
      <x:c r="J1287" s="21" t="n">
        <x:v>1</x:v>
      </x:c>
      <x:c r="K1287" s="21" t="n">
        <x:f>F1287*G1287*H1287*I1287*J1287</x:f>
        <x:v>1311.2</x:v>
      </x:c>
      <x:c r="L1287" s="2" t="str">
        <x:v>Both faces of partition walls</x:v>
      </x:c>
      <x:c r="M1287" s="2"/>
      <x:c r="N1287" s="2"/>
      <x:c r="O1287" s="2"/>
      <x:c r="P1287" s="2"/>
      <x:c r="Q1287" s="2"/>
    </x:row>
    <x:row r="1288" ht="22" customHeight="1">
      <x:c r="A1288" s="7" t="str">
        <x:v>M1281</x:v>
      </x:c>
      <x:c r="B1288" s="7" t="str">
        <x:v>AR02</x:v>
      </x:c>
      <x:c r="C1288" s="7" t="str">
        <x:v>T5</x:v>
      </x:c>
      <x:c r="D1288" s="7" t="str">
        <x:v>L02</x:v>
      </x:c>
      <x:c r="E1288" s="7" t="str">
        <x:v>Door area deduction both faces</x:v>
      </x:c>
      <x:c r="F1288" s="20" t="n">
        <x:f>2*'Controls'!$B$48</x:f>
        <x:v>56</x:v>
      </x:c>
      <x:c r="G1288" s="20" t="n">
        <x:f>'Controls'!$B$49</x:f>
        <x:v>0.9</x:v>
      </x:c>
      <x:c r="H1288" s="20" t="n">
        <x:f>'Controls'!$B$50</x:f>
        <x:v>2.1</x:v>
      </x:c>
      <x:c r="I1288" s="20" t="n">
        <x:v>1</x:v>
      </x:c>
      <x:c r="J1288" s="20" t="n">
        <x:v>-1</x:v>
      </x:c>
      <x:c r="K1288" s="20" t="n">
        <x:f>F1288*G1288*H1288*I1288*J1288</x:f>
        <x:v>-105.84</x:v>
      </x:c>
      <x:c r="L1288" s="7" t="str">
        <x:v>No plaster over openings</x:v>
      </x:c>
      <x:c r="M1288" s="2"/>
      <x:c r="N1288" s="2"/>
      <x:c r="O1288" s="2"/>
      <x:c r="P1288" s="2"/>
      <x:c r="Q1288" s="2"/>
    </x:row>
    <x:row r="1289" ht="22" customHeight="1">
      <x:c r="A1289" s="2" t="str">
        <x:v>M1282</x:v>
      </x:c>
      <x:c r="B1289" s="2" t="str">
        <x:v>AR03</x:v>
      </x:c>
      <x:c r="C1289" s="2" t="str">
        <x:v>T5</x:v>
      </x:c>
      <x:c r="D1289" s="2" t="str">
        <x:v>L02</x:v>
      </x:c>
      <x:c r="E1289" s="2" t="str">
        <x:v>Floor screed net</x:v>
      </x:c>
      <x:c r="F1289" s="21" t="n">
        <x:v>1</x:v>
      </x:c>
      <x:c r="G1289" s="21" t="n">
        <x:f>'Controls'!$B$10*'Controls'!$B$11-'Controls'!$B$20*'Controls'!$B$21</x:f>
        <x:v>696</x:v>
      </x:c>
      <x:c r="H1289" s="21" t="n">
        <x:v>1</x:v>
      </x:c>
      <x:c r="I1289" s="21" t="n">
        <x:v>1</x:v>
      </x:c>
      <x:c r="J1289" s="21" t="n">
        <x:v>1</x:v>
      </x:c>
      <x:c r="K1289" s="21" t="n">
        <x:f>F1289*G1289*H1289*I1289*J1289</x:f>
        <x:v>696</x:v>
      </x:c>
      <x:c r="L1289" s="2" t="str">
        <x:v>Net structural floor area</x:v>
      </x:c>
      <x:c r="M1289" s="2"/>
      <x:c r="N1289" s="2"/>
      <x:c r="O1289" s="2"/>
      <x:c r="P1289" s="2"/>
      <x:c r="Q1289" s="2"/>
    </x:row>
    <x:row r="1290" ht="22" customHeight="1">
      <x:c r="A1290" s="7" t="str">
        <x:v>M1283</x:v>
      </x:c>
      <x:c r="B1290" s="7" t="str">
        <x:v>AR04</x:v>
      </x:c>
      <x:c r="C1290" s="7" t="str">
        <x:v>T5</x:v>
      </x:c>
      <x:c r="D1290" s="7" t="str">
        <x:v>L02</x:v>
      </x:c>
      <x:c r="E1290" s="7" t="str">
        <x:v>Floor finish net</x:v>
      </x:c>
      <x:c r="F1290" s="20" t="n">
        <x:v>1</x:v>
      </x:c>
      <x:c r="G1290" s="20" t="n">
        <x:f>'Controls'!$B$10*'Controls'!$B$11-'Controls'!$B$20*'Controls'!$B$21</x:f>
        <x:v>696</x:v>
      </x:c>
      <x:c r="H1290" s="20" t="n">
        <x:v>1</x:v>
      </x:c>
      <x:c r="I1290" s="20" t="n">
        <x:v>1</x:v>
      </x:c>
      <x:c r="J1290" s="20" t="n">
        <x:v>1</x:v>
      </x:c>
      <x:c r="K1290" s="20" t="n">
        <x:f>F1290*G1290*H1290*I1290*J1290</x:f>
        <x:v>696</x:v>
      </x:c>
      <x:c r="L1290" s="7" t="str">
        <x:v>Waste excluded from BOQ</x:v>
      </x:c>
      <x:c r="M1290" s="2"/>
      <x:c r="N1290" s="2"/>
      <x:c r="O1290" s="2"/>
      <x:c r="P1290" s="2"/>
      <x:c r="Q1290" s="2"/>
    </x:row>
    <x:row r="1291" ht="22" customHeight="1">
      <x:c r="A1291" s="2" t="str">
        <x:v>M1284</x:v>
      </x:c>
      <x:c r="B1291" s="2" t="str">
        <x:v>AR05</x:v>
      </x:c>
      <x:c r="C1291" s="2" t="str">
        <x:v>T5</x:v>
      </x:c>
      <x:c r="D1291" s="2" t="str">
        <x:v>L02</x:v>
      </x:c>
      <x:c r="E1291" s="2" t="str">
        <x:v>Internal wall paint net</x:v>
      </x:c>
      <x:c r="F1291" s="21" t="n">
        <x:v>2</x:v>
      </x:c>
      <x:c r="G1291" s="21" t="n">
        <x:f>'Controls'!$B$45*('Controls'!$B$12-'Controls'!$B$13)-'Controls'!$B$48*'Controls'!$B$49*'Controls'!$B$50</x:f>
        <x:v>602.6800000000001</x:v>
      </x:c>
      <x:c r="H1291" s="21" t="n">
        <x:v>1</x:v>
      </x:c>
      <x:c r="I1291" s="21" t="n">
        <x:v>1</x:v>
      </x:c>
      <x:c r="J1291" s="21" t="n">
        <x:v>1</x:v>
      </x:c>
      <x:c r="K1291" s="21" t="n">
        <x:f>F1291*G1291*H1291*I1291*J1291</x:f>
        <x:v>1205.3600000000001</x:v>
      </x:c>
      <x:c r="L1291" s="2" t="str">
        <x:v>Finished area; two coats priced in rate</x:v>
      </x:c>
      <x:c r="M1291" s="2"/>
      <x:c r="N1291" s="2"/>
      <x:c r="O1291" s="2"/>
      <x:c r="P1291" s="2"/>
      <x:c r="Q1291" s="2"/>
    </x:row>
    <x:row r="1292" ht="22" customHeight="1">
      <x:c r="A1292" s="7" t="str">
        <x:v>M1285</x:v>
      </x:c>
      <x:c r="B1292" s="7" t="str">
        <x:v>AR06</x:v>
      </x:c>
      <x:c r="C1292" s="7" t="str">
        <x:v>T5</x:v>
      </x:c>
      <x:c r="D1292" s="7" t="str">
        <x:v>L02</x:v>
      </x:c>
      <x:c r="E1292" s="7" t="str">
        <x:v>Door sets</x:v>
      </x:c>
      <x:c r="F1292" s="20" t="n">
        <x:f>'Controls'!$B$48</x:f>
        <x:v>28</x:v>
      </x:c>
      <x:c r="G1292" s="20" t="n">
        <x:v>1</x:v>
      </x:c>
      <x:c r="H1292" s="20" t="n">
        <x:v>1</x:v>
      </x:c>
      <x:c r="I1292" s="20" t="n">
        <x:v>1</x:v>
      </x:c>
      <x:c r="J1292" s="20" t="n">
        <x:v>1</x:v>
      </x:c>
      <x:c r="K1292" s="20" t="n">
        <x:f>F1292*G1292*H1292*I1292*J1292</x:f>
        <x:v>28</x:v>
      </x:c>
      <x:c r="L1292" s="7" t="str">
        <x:v>Door count, not double face</x:v>
      </x:c>
      <x:c r="M1292" s="2"/>
      <x:c r="N1292" s="2"/>
      <x:c r="O1292" s="2"/>
      <x:c r="P1292" s="2"/>
      <x:c r="Q1292" s="2"/>
    </x:row>
    <x:row r="1293" ht="22" customHeight="1">
      <x:c r="A1293" s="2" t="str">
        <x:v>M1286</x:v>
      </x:c>
      <x:c r="B1293" s="2" t="str">
        <x:v>RC03</x:v>
      </x:c>
      <x:c r="C1293" s="2" t="str">
        <x:v>T5</x:v>
      </x:c>
      <x:c r="D1293" s="2" t="str">
        <x:v>L03</x:v>
      </x:c>
      <x:c r="E1293" s="2" t="str">
        <x:v>Floor slab gross</x:v>
      </x:c>
      <x:c r="F1293" s="21" t="n">
        <x:v>1</x:v>
      </x:c>
      <x:c r="G1293" s="21" t="n">
        <x:f>'Controls'!$B$10</x:f>
        <x:v>30</x:v>
      </x:c>
      <x:c r="H1293" s="21" t="n">
        <x:f>'Controls'!$B$11</x:f>
        <x:v>24</x:v>
      </x:c>
      <x:c r="I1293" s="21" t="n">
        <x:f>'Controls'!$B$13</x:f>
        <x:v>0.22</x:v>
      </x:c>
      <x:c r="J1293" s="21" t="n">
        <x:v>1</x:v>
      </x:c>
      <x:c r="K1293" s="21" t="n">
        <x:f>F1293*G1293*H1293*I1293*J1293</x:f>
        <x:v>158.4</x:v>
      </x:c>
      <x:c r="L1293" s="2" t="str">
        <x:v>Slab includes beam top flange; downstand separate</x:v>
      </x:c>
      <x:c r="M1293" s="2"/>
      <x:c r="N1293" s="2"/>
      <x:c r="O1293" s="2"/>
      <x:c r="P1293" s="2"/>
      <x:c r="Q1293" s="2"/>
    </x:row>
    <x:row r="1294" ht="22" customHeight="1">
      <x:c r="A1294" s="7" t="str">
        <x:v>M1287</x:v>
      </x:c>
      <x:c r="B1294" s="7" t="str">
        <x:v>RC03</x:v>
      </x:c>
      <x:c r="C1294" s="7" t="str">
        <x:v>T5</x:v>
      </x:c>
      <x:c r="D1294" s="7" t="str">
        <x:v>L03</x:v>
      </x:c>
      <x:c r="E1294" s="7" t="str">
        <x:v>Stair opening deduction</x:v>
      </x:c>
      <x:c r="F1294" s="20" t="n">
        <x:v>1</x:v>
      </x:c>
      <x:c r="G1294" s="20" t="n">
        <x:f>'Controls'!$B$20</x:f>
        <x:v>4</x:v>
      </x:c>
      <x:c r="H1294" s="20" t="n">
        <x:f>'Controls'!$B$21</x:f>
        <x:v>6</x:v>
      </x:c>
      <x:c r="I1294" s="20" t="n">
        <x:f>'Controls'!$B$13</x:f>
        <x:v>0.22</x:v>
      </x:c>
      <x:c r="J1294" s="20" t="n">
        <x:v>-1</x:v>
      </x:c>
      <x:c r="K1294" s="20" t="n">
        <x:f>F1294*G1294*H1294*I1294*J1294</x:f>
        <x:v>-5.28</x:v>
      </x:c>
      <x:c r="L1294" s="7" t="str">
        <x:v>Opening OP-01</x:v>
      </x:c>
      <x:c r="M1294" s="2"/>
      <x:c r="N1294" s="2"/>
      <x:c r="O1294" s="2"/>
      <x:c r="P1294" s="2"/>
      <x:c r="Q1294" s="2"/>
    </x:row>
    <x:row r="1295" ht="22" customHeight="1">
      <x:c r="A1295" s="2" t="str">
        <x:v>M1288</x:v>
      </x:c>
      <x:c r="B1295" s="2" t="str">
        <x:v>RC04</x:v>
      </x:c>
      <x:c r="C1295" s="2" t="str">
        <x:v>T5</x:v>
      </x:c>
      <x:c r="D1295" s="2" t="str">
        <x:v>L03</x:v>
      </x:c>
      <x:c r="E1295" s="2" t="str">
        <x:v>Beam downstands X</x:v>
      </x:c>
      <x:c r="F1295" s="21" t="n">
        <x:v>1</x:v>
      </x:c>
      <x:c r="G1295" s="21" t="n">
        <x:f>5*5*('Controls'!$B$10/5-'Controls'!$B$14)</x:f>
        <x:v>137.5</x:v>
      </x:c>
      <x:c r="H1295" s="21" t="n">
        <x:f>'Controls'!$B$16</x:f>
        <x:v>0.3</x:v>
      </x:c>
      <x:c r="I1295" s="21" t="n">
        <x:f>'Controls'!$B$17-'Controls'!$B$13</x:f>
        <x:v>0.38</x:v>
      </x:c>
      <x:c r="J1295" s="21" t="n">
        <x:v>1</x:v>
      </x:c>
      <x:c r="K1295" s="21" t="n">
        <x:f>F1295*G1295*H1295*I1295*J1295</x:f>
        <x:v>15.675</x:v>
      </x:c>
      <x:c r="L1295" s="2" t="str">
        <x:v>Clear spans between column faces; no joint overlap</x:v>
      </x:c>
      <x:c r="M1295" s="2"/>
      <x:c r="N1295" s="2"/>
      <x:c r="O1295" s="2"/>
      <x:c r="P1295" s="2"/>
      <x:c r="Q1295" s="2"/>
    </x:row>
    <x:row r="1296" ht="22" customHeight="1">
      <x:c r="A1296" s="7" t="str">
        <x:v>M1289</x:v>
      </x:c>
      <x:c r="B1296" s="7" t="str">
        <x:v>FW02</x:v>
      </x:c>
      <x:c r="C1296" s="7" t="str">
        <x:v>T5</x:v>
      </x:c>
      <x:c r="D1296" s="7" t="str">
        <x:v>L03</x:v>
      </x:c>
      <x:c r="E1296" s="7" t="str">
        <x:v>Beam forms X</x:v>
      </x:c>
      <x:c r="F1296" s="20" t="n">
        <x:v>1</x:v>
      </x:c>
      <x:c r="G1296" s="20" t="n">
        <x:f>5*5*('Controls'!$B$10/5-'Controls'!$B$14)</x:f>
        <x:v>137.5</x:v>
      </x:c>
      <x:c r="H1296" s="20" t="n">
        <x:f>'Controls'!$B$16+2*('Controls'!$B$17-'Controls'!$B$13)</x:f>
        <x:v>1.06</x:v>
      </x:c>
      <x:c r="I1296" s="20" t="n">
        <x:v>1</x:v>
      </x:c>
      <x:c r="J1296" s="20" t="n">
        <x:v>1</x:v>
      </x:c>
      <x:c r="K1296" s="20" t="n">
        <x:f>F1296*G1296*H1296*I1296*J1296</x:f>
        <x:v>145.75</x:v>
      </x:c>
      <x:c r="L1296" s="7" t="str">
        <x:v>Soffit plus two downstand sides</x:v>
      </x:c>
      <x:c r="M1296" s="2"/>
      <x:c r="N1296" s="2"/>
      <x:c r="O1296" s="2"/>
      <x:c r="P1296" s="2"/>
      <x:c r="Q1296" s="2"/>
    </x:row>
    <x:row r="1297" ht="22" customHeight="1">
      <x:c r="A1297" s="2" t="str">
        <x:v>M1290</x:v>
      </x:c>
      <x:c r="B1297" s="2" t="str">
        <x:v>RC04</x:v>
      </x:c>
      <x:c r="C1297" s="2" t="str">
        <x:v>T5</x:v>
      </x:c>
      <x:c r="D1297" s="2" t="str">
        <x:v>L03</x:v>
      </x:c>
      <x:c r="E1297" s="2" t="str">
        <x:v>Beam downstands Y</x:v>
      </x:c>
      <x:c r="F1297" s="21" t="n">
        <x:v>1</x:v>
      </x:c>
      <x:c r="G1297" s="21" t="n">
        <x:f>6*4*('Controls'!$B$11/4-'Controls'!$B$15)</x:f>
        <x:v>132</x:v>
      </x:c>
      <x:c r="H1297" s="21" t="n">
        <x:f>'Controls'!$B$16</x:f>
        <x:v>0.3</x:v>
      </x:c>
      <x:c r="I1297" s="21" t="n">
        <x:f>'Controls'!$B$17-'Controls'!$B$13</x:f>
        <x:v>0.38</x:v>
      </x:c>
      <x:c r="J1297" s="21" t="n">
        <x:v>1</x:v>
      </x:c>
      <x:c r="K1297" s="21" t="n">
        <x:f>F1297*G1297*H1297*I1297*J1297</x:f>
        <x:v>15.048</x:v>
      </x:c>
      <x:c r="L1297" s="2" t="str">
        <x:v>Clear spans between column faces; no joint overlap</x:v>
      </x:c>
      <x:c r="M1297" s="2"/>
      <x:c r="N1297" s="2"/>
      <x:c r="O1297" s="2"/>
      <x:c r="P1297" s="2"/>
      <x:c r="Q1297" s="2"/>
    </x:row>
    <x:row r="1298" ht="22" customHeight="1">
      <x:c r="A1298" s="7" t="str">
        <x:v>M1291</x:v>
      </x:c>
      <x:c r="B1298" s="7" t="str">
        <x:v>FW02</x:v>
      </x:c>
      <x:c r="C1298" s="7" t="str">
        <x:v>T5</x:v>
      </x:c>
      <x:c r="D1298" s="7" t="str">
        <x:v>L03</x:v>
      </x:c>
      <x:c r="E1298" s="7" t="str">
        <x:v>Beam forms Y</x:v>
      </x:c>
      <x:c r="F1298" s="20" t="n">
        <x:v>1</x:v>
      </x:c>
      <x:c r="G1298" s="20" t="n">
        <x:f>6*4*('Controls'!$B$11/4-'Controls'!$B$15)</x:f>
        <x:v>132</x:v>
      </x:c>
      <x:c r="H1298" s="20" t="n">
        <x:f>'Controls'!$B$16+2*('Controls'!$B$17-'Controls'!$B$13)</x:f>
        <x:v>1.06</x:v>
      </x:c>
      <x:c r="I1298" s="20" t="n">
        <x:v>1</x:v>
      </x:c>
      <x:c r="J1298" s="20" t="n">
        <x:v>1</x:v>
      </x:c>
      <x:c r="K1298" s="20" t="n">
        <x:f>F1298*G1298*H1298*I1298*J1298</x:f>
        <x:v>139.92000000000002</x:v>
      </x:c>
      <x:c r="L1298" s="7" t="str">
        <x:v>Soffit plus two downstand sides</x:v>
      </x:c>
      <x:c r="M1298" s="2"/>
      <x:c r="N1298" s="2"/>
      <x:c r="O1298" s="2"/>
      <x:c r="P1298" s="2"/>
      <x:c r="Q1298" s="2"/>
    </x:row>
    <x:row r="1299" ht="22" customHeight="1">
      <x:c r="A1299" s="2" t="str">
        <x:v>M1292</x:v>
      </x:c>
      <x:c r="B1299" s="2" t="str">
        <x:v>RC05</x:v>
      </x:c>
      <x:c r="C1299" s="2" t="str">
        <x:v>T5</x:v>
      </x:c>
      <x:c r="D1299" s="2" t="str">
        <x:v>L03</x:v>
      </x:c>
      <x:c r="E1299" s="2" t="str">
        <x:v>Thirty columns, clear storey</x:v>
      </x:c>
      <x:c r="F1299" s="21" t="n">
        <x:v>30</x:v>
      </x:c>
      <x:c r="G1299" s="21" t="n">
        <x:f>'Controls'!$B$14</x:f>
        <x:v>0.5</x:v>
      </x:c>
      <x:c r="H1299" s="21" t="n">
        <x:f>'Controls'!$B$15</x:f>
        <x:v>0.5</x:v>
      </x:c>
      <x:c r="I1299" s="21" t="n">
        <x:f>'Controls'!$B$12-'Controls'!$B$13</x:f>
        <x:v>2.98</x:v>
      </x:c>
      <x:c r="J1299" s="21" t="n">
        <x:v>1</x:v>
      </x:c>
      <x:c r="K1299" s="21" t="n">
        <x:f>F1299*G1299*H1299*I1299*J1299</x:f>
        <x:v>22.35</x:v>
      </x:c>
      <x:c r="L1299" s="2" t="str">
        <x:v>Slab volume excluded from columns</x:v>
      </x:c>
      <x:c r="M1299" s="2"/>
      <x:c r="N1299" s="2"/>
      <x:c r="O1299" s="2"/>
      <x:c r="P1299" s="2"/>
      <x:c r="Q1299" s="2"/>
    </x:row>
    <x:row r="1300" ht="22" customHeight="1">
      <x:c r="A1300" s="7" t="str">
        <x:v>M1293</x:v>
      </x:c>
      <x:c r="B1300" s="7" t="str">
        <x:v>RC06</x:v>
      </x:c>
      <x:c r="C1300" s="7" t="str">
        <x:v>T5</x:v>
      </x:c>
      <x:c r="D1300" s="7" t="str">
        <x:v>L03</x:v>
      </x:c>
      <x:c r="E1300" s="7" t="str">
        <x:v>Core walls clear storey</x:v>
      </x:c>
      <x:c r="F1300" s="20" t="n">
        <x:v>1</x:v>
      </x:c>
      <x:c r="G1300" s="20" t="n">
        <x:f>'Controls'!$B$19</x:f>
        <x:v>24</x:v>
      </x:c>
      <x:c r="H1300" s="20" t="n">
        <x:f>'Controls'!$B$18</x:f>
        <x:v>0.25</x:v>
      </x:c>
      <x:c r="I1300" s="20" t="n">
        <x:f>'Controls'!$B$12-'Controls'!$B$13</x:f>
        <x:v>2.98</x:v>
      </x:c>
      <x:c r="J1300" s="20" t="n">
        <x:v>1</x:v>
      </x:c>
      <x:c r="K1300" s="20" t="n">
        <x:f>F1300*G1300*H1300*I1300*J1300</x:f>
        <x:v>17.88</x:v>
      </x:c>
      <x:c r="L1300" s="7" t="str">
        <x:v>Net clear wall length excludes corners</x:v>
      </x:c>
      <x:c r="M1300" s="2"/>
      <x:c r="N1300" s="2"/>
      <x:c r="O1300" s="2"/>
      <x:c r="P1300" s="2"/>
      <x:c r="Q1300" s="2"/>
    </x:row>
    <x:row r="1301" ht="22" customHeight="1">
      <x:c r="A1301" s="2" t="str">
        <x:v>M1294</x:v>
      </x:c>
      <x:c r="B1301" s="2" t="str">
        <x:v>RC07</x:v>
      </x:c>
      <x:c r="C1301" s="2" t="str">
        <x:v>T5</x:v>
      </x:c>
      <x:c r="D1301" s="2" t="str">
        <x:v>L03</x:v>
      </x:c>
      <x:c r="E1301" s="2" t="str">
        <x:v>Stair flights waist</x:v>
      </x:c>
      <x:c r="F1301" s="21" t="n">
        <x:v>2</x:v>
      </x:c>
      <x:c r="G1301" s="21" t="n">
        <x:v>4.1</x:v>
      </x:c>
      <x:c r="H1301" s="21" t="n">
        <x:v>1.2</x:v>
      </x:c>
      <x:c r="I1301" s="21" t="n">
        <x:v>0.18</x:v>
      </x:c>
      <x:c r="J1301" s="21" t="n">
        <x:v>1</x:v>
      </x:c>
      <x:c r="K1301" s="21" t="n">
        <x:f>F1301*G1301*H1301*I1301*J1301</x:f>
        <x:v>1.7711999999999997</x:v>
      </x:c>
      <x:c r="L1301" s="2" t="str">
        <x:v>Two flights; geometry separate from floor slab</x:v>
      </x:c>
      <x:c r="M1301" s="2"/>
      <x:c r="N1301" s="2"/>
      <x:c r="O1301" s="2"/>
      <x:c r="P1301" s="2"/>
      <x:c r="Q1301" s="2"/>
    </x:row>
    <x:row r="1302" ht="22" customHeight="1">
      <x:c r="A1302" s="7" t="str">
        <x:v>M1295</x:v>
      </x:c>
      <x:c r="B1302" s="7" t="str">
        <x:v>RC07</x:v>
      </x:c>
      <x:c r="C1302" s="7" t="str">
        <x:v>T5</x:v>
      </x:c>
      <x:c r="D1302" s="7" t="str">
        <x:v>L03</x:v>
      </x:c>
      <x:c r="E1302" s="7" t="str">
        <x:v>Stair landings</x:v>
      </x:c>
      <x:c r="F1302" s="20" t="n">
        <x:v>2</x:v>
      </x:c>
      <x:c r="G1302" s="20" t="n">
        <x:v>2</x:v>
      </x:c>
      <x:c r="H1302" s="20" t="n">
        <x:v>1.2</x:v>
      </x:c>
      <x:c r="I1302" s="20" t="n">
        <x:v>0.18</x:v>
      </x:c>
      <x:c r="J1302" s="20" t="n">
        <x:v>1</x:v>
      </x:c>
      <x:c r="K1302" s="20" t="n">
        <x:f>F1302*G1302*H1302*I1302*J1302</x:f>
        <x:v>0.864</x:v>
      </x:c>
      <x:c r="L1302" s="7" t="str">
        <x:v>Within stair opening</x:v>
      </x:c>
      <x:c r="M1302" s="2"/>
      <x:c r="N1302" s="2"/>
      <x:c r="O1302" s="2"/>
      <x:c r="P1302" s="2"/>
      <x:c r="Q1302" s="2"/>
    </x:row>
    <x:row r="1303" ht="22" customHeight="1">
      <x:c r="A1303" s="2" t="str">
        <x:v>M1296</x:v>
      </x:c>
      <x:c r="B1303" s="2" t="str">
        <x:v>FW01</x:v>
      </x:c>
      <x:c r="C1303" s="2" t="str">
        <x:v>T5</x:v>
      </x:c>
      <x:c r="D1303" s="2" t="str">
        <x:v>L03</x:v>
      </x:c>
      <x:c r="E1303" s="2" t="str">
        <x:v>Slab soffit gross</x:v>
      </x:c>
      <x:c r="F1303" s="21" t="n">
        <x:v>1</x:v>
      </x:c>
      <x:c r="G1303" s="21" t="n">
        <x:f>'Controls'!$B$10</x:f>
        <x:v>30</x:v>
      </x:c>
      <x:c r="H1303" s="21" t="n">
        <x:f>'Controls'!$B$11</x:f>
        <x:v>24</x:v>
      </x:c>
      <x:c r="I1303" s="21" t="n">
        <x:v>1</x:v>
      </x:c>
      <x:c r="J1303" s="21" t="n">
        <x:v>1</x:v>
      </x:c>
      <x:c r="K1303" s="21" t="n">
        <x:f>F1303*G1303*H1303*I1303*J1303</x:f>
        <x:v>720</x:v>
      </x:c>
      <x:c r="L1303" s="2" t="str">
        <x:v>Beam soffit deducted below</x:v>
      </x:c>
      <x:c r="M1303" s="2"/>
      <x:c r="N1303" s="2"/>
      <x:c r="O1303" s="2"/>
      <x:c r="P1303" s="2"/>
      <x:c r="Q1303" s="2"/>
    </x:row>
    <x:row r="1304" ht="22" customHeight="1">
      <x:c r="A1304" s="7" t="str">
        <x:v>M1297</x:v>
      </x:c>
      <x:c r="B1304" s="7" t="str">
        <x:v>FW01</x:v>
      </x:c>
      <x:c r="C1304" s="7" t="str">
        <x:v>T5</x:v>
      </x:c>
      <x:c r="D1304" s="7" t="str">
        <x:v>L03</x:v>
      </x:c>
      <x:c r="E1304" s="7" t="str">
        <x:v>Stair opening deduction</x:v>
      </x:c>
      <x:c r="F1304" s="20" t="n">
        <x:v>1</x:v>
      </x:c>
      <x:c r="G1304" s="20" t="n">
        <x:f>'Controls'!$B$20</x:f>
        <x:v>4</x:v>
      </x:c>
      <x:c r="H1304" s="20" t="n">
        <x:f>'Controls'!$B$21</x:f>
        <x:v>6</x:v>
      </x:c>
      <x:c r="I1304" s="20" t="n">
        <x:v>1</x:v>
      </x:c>
      <x:c r="J1304" s="20" t="n">
        <x:v>-1</x:v>
      </x:c>
      <x:c r="K1304" s="20" t="n">
        <x:f>F1304*G1304*H1304*I1304*J1304</x:f>
        <x:v>-24</x:v>
      </x:c>
      <x:c r="L1304" s="7" t="str">
        <x:v>OP-01</x:v>
      </x:c>
      <x:c r="M1304" s="2"/>
      <x:c r="N1304" s="2"/>
      <x:c r="O1304" s="2"/>
      <x:c r="P1304" s="2"/>
      <x:c r="Q1304" s="2"/>
    </x:row>
    <x:row r="1305" ht="22" customHeight="1">
      <x:c r="A1305" s="2" t="str">
        <x:v>M1298</x:v>
      </x:c>
      <x:c r="B1305" s="2" t="str">
        <x:v>FW01</x:v>
      </x:c>
      <x:c r="C1305" s="2" t="str">
        <x:v>T5</x:v>
      </x:c>
      <x:c r="D1305" s="2" t="str">
        <x:v>L03</x:v>
      </x:c>
      <x:c r="E1305" s="2" t="str">
        <x:v>Beam soffit deduction</x:v>
      </x:c>
      <x:c r="F1305" s="21" t="n">
        <x:v>1</x:v>
      </x:c>
      <x:c r="G1305" s="21" t="n">
        <x:f>5*5*('Controls'!$B$10/5-'Controls'!$B$14)+6*4*('Controls'!$B$11/4-'Controls'!$B$15)</x:f>
        <x:v>269.5</x:v>
      </x:c>
      <x:c r="H1305" s="21" t="n">
        <x:f>'Controls'!$B$16</x:f>
        <x:v>0.3</x:v>
      </x:c>
      <x:c r="I1305" s="21" t="n">
        <x:v>1</x:v>
      </x:c>
      <x:c r="J1305" s="21" t="n">
        <x:v>-1</x:v>
      </x:c>
      <x:c r="K1305" s="21" t="n">
        <x:f>F1305*G1305*H1305*I1305*J1305</x:f>
        <x:v>-80.85</x:v>
      </x:c>
      <x:c r="L1305" s="2" t="str">
        <x:v>Beam forms measured in FW02</x:v>
      </x:c>
      <x:c r="M1305" s="2"/>
      <x:c r="N1305" s="2"/>
      <x:c r="O1305" s="2"/>
      <x:c r="P1305" s="2"/>
      <x:c r="Q1305" s="2"/>
    </x:row>
    <x:row r="1306" ht="22" customHeight="1">
      <x:c r="A1306" s="7" t="str">
        <x:v>M1299</x:v>
      </x:c>
      <x:c r="B1306" s="7" t="str">
        <x:v>FW03</x:v>
      </x:c>
      <x:c r="C1306" s="7" t="str">
        <x:v>T5</x:v>
      </x:c>
      <x:c r="D1306" s="7" t="str">
        <x:v>L03</x:v>
      </x:c>
      <x:c r="E1306" s="7" t="str">
        <x:v>Column four faces</x:v>
      </x:c>
      <x:c r="F1306" s="20" t="n">
        <x:v>30</x:v>
      </x:c>
      <x:c r="G1306" s="20" t="n">
        <x:f>2*('Controls'!$B$14+'Controls'!$B$15)</x:f>
        <x:v>2</x:v>
      </x:c>
      <x:c r="H1306" s="20" t="n">
        <x:f>'Controls'!$B$12-'Controls'!$B$13</x:f>
        <x:v>2.98</x:v>
      </x:c>
      <x:c r="I1306" s="20" t="n">
        <x:v>1</x:v>
      </x:c>
      <x:c r="J1306" s="20" t="n">
        <x:v>1</x:v>
      </x:c>
      <x:c r="K1306" s="20" t="n">
        <x:f>F1306*G1306*H1306*I1306*J1306</x:f>
        <x:v>178.8</x:v>
      </x:c>
      <x:c r="L1306" s="7" t="str">
        <x:v>Clear floor-to-soffit</x:v>
      </x:c>
      <x:c r="M1306" s="2"/>
      <x:c r="N1306" s="2"/>
      <x:c r="O1306" s="2"/>
      <x:c r="P1306" s="2"/>
      <x:c r="Q1306" s="2"/>
    </x:row>
    <x:row r="1307" ht="22" customHeight="1">
      <x:c r="A1307" s="2" t="str">
        <x:v>M1300</x:v>
      </x:c>
      <x:c r="B1307" s="2" t="str">
        <x:v>FW04</x:v>
      </x:c>
      <x:c r="C1307" s="2" t="str">
        <x:v>T5</x:v>
      </x:c>
      <x:c r="D1307" s="2" t="str">
        <x:v>L03</x:v>
      </x:c>
      <x:c r="E1307" s="2" t="str">
        <x:v>Core wall two faces</x:v>
      </x:c>
      <x:c r="F1307" s="21" t="n">
        <x:v>2</x:v>
      </x:c>
      <x:c r="G1307" s="21" t="n">
        <x:f>'Controls'!$B$19</x:f>
        <x:v>24</x:v>
      </x:c>
      <x:c r="H1307" s="21" t="n">
        <x:f>'Controls'!$B$12-'Controls'!$B$13</x:f>
        <x:v>2.98</x:v>
      </x:c>
      <x:c r="I1307" s="21" t="n">
        <x:v>1</x:v>
      </x:c>
      <x:c r="J1307" s="21" t="n">
        <x:v>1</x:v>
      </x:c>
      <x:c r="K1307" s="21" t="n">
        <x:f>F1307*G1307*H1307*I1307*J1307</x:f>
        <x:v>143.04</x:v>
      </x:c>
      <x:c r="L1307" s="2" t="str">
        <x:v>Net perimeter, no repeated corners</x:v>
      </x:c>
      <x:c r="M1307" s="2"/>
      <x:c r="N1307" s="2"/>
      <x:c r="O1307" s="2"/>
      <x:c r="P1307" s="2"/>
      <x:c r="Q1307" s="2"/>
    </x:row>
    <x:row r="1308" ht="22" customHeight="1">
      <x:c r="A1308" s="7" t="str">
        <x:v>M1301</x:v>
      </x:c>
      <x:c r="B1308" s="7" t="str">
        <x:v>AR01</x:v>
      </x:c>
      <x:c r="C1308" s="7" t="str">
        <x:v>T5</x:v>
      </x:c>
      <x:c r="D1308" s="7" t="str">
        <x:v>L03</x:v>
      </x:c>
      <x:c r="E1308" s="7" t="str">
        <x:v>Partition walls gross</x:v>
      </x:c>
      <x:c r="F1308" s="20" t="n">
        <x:v>1</x:v>
      </x:c>
      <x:c r="G1308" s="20" t="n">
        <x:f>'Controls'!$B$45</x:f>
        <x:v>220</x:v>
      </x:c>
      <x:c r="H1308" s="20" t="n">
        <x:f>'Controls'!$B$12-'Controls'!$B$13</x:f>
        <x:v>2.98</x:v>
      </x:c>
      <x:c r="I1308" s="20" t="n">
        <x:f>'Controls'!$B$46</x:f>
        <x:v>0.15</x:v>
      </x:c>
      <x:c r="J1308" s="20" t="n">
        <x:v>1</x:v>
      </x:c>
      <x:c r="K1308" s="20" t="n">
        <x:f>F1308*G1308*H1308*I1308*J1308</x:f>
        <x:v>98.34</x:v>
      </x:c>
      <x:c r="L1308" s="7" t="str">
        <x:v>Net openings deducted below</x:v>
      </x:c>
      <x:c r="M1308" s="2"/>
      <x:c r="N1308" s="2"/>
      <x:c r="O1308" s="2"/>
      <x:c r="P1308" s="2"/>
      <x:c r="Q1308" s="2"/>
    </x:row>
    <x:row r="1309" ht="22" customHeight="1">
      <x:c r="A1309" s="2" t="str">
        <x:v>M1302</x:v>
      </x:c>
      <x:c r="B1309" s="2" t="str">
        <x:v>AR01</x:v>
      </x:c>
      <x:c r="C1309" s="2" t="str">
        <x:v>T5</x:v>
      </x:c>
      <x:c r="D1309" s="2" t="str">
        <x:v>L03</x:v>
      </x:c>
      <x:c r="E1309" s="2" t="str">
        <x:v>Internal doors deduction</x:v>
      </x:c>
      <x:c r="F1309" s="21" t="n">
        <x:f>'Controls'!$B$48</x:f>
        <x:v>28</x:v>
      </x:c>
      <x:c r="G1309" s="21" t="n">
        <x:f>'Controls'!$B$49</x:f>
        <x:v>0.9</x:v>
      </x:c>
      <x:c r="H1309" s="21" t="n">
        <x:f>'Controls'!$B$50</x:f>
        <x:v>2.1</x:v>
      </x:c>
      <x:c r="I1309" s="21" t="n">
        <x:f>'Controls'!$B$46</x:f>
        <x:v>0.15</x:v>
      </x:c>
      <x:c r="J1309" s="21" t="n">
        <x:v>-1</x:v>
      </x:c>
      <x:c r="K1309" s="21" t="n">
        <x:f>F1309*G1309*H1309*I1309*J1309</x:f>
        <x:v>-7.938</x:v>
      </x:c>
      <x:c r="L1309" s="2" t="str">
        <x:v>28 doors per floor, OP-02</x:v>
      </x:c>
      <x:c r="M1309" s="2"/>
      <x:c r="N1309" s="2"/>
      <x:c r="O1309" s="2"/>
      <x:c r="P1309" s="2"/>
      <x:c r="Q1309" s="2"/>
    </x:row>
    <x:row r="1310" ht="22" customHeight="1">
      <x:c r="A1310" s="7" t="str">
        <x:v>M1303</x:v>
      </x:c>
      <x:c r="B1310" s="7" t="str">
        <x:v>AR02</x:v>
      </x:c>
      <x:c r="C1310" s="7" t="str">
        <x:v>T5</x:v>
      </x:c>
      <x:c r="D1310" s="7" t="str">
        <x:v>L03</x:v>
      </x:c>
      <x:c r="E1310" s="7" t="str">
        <x:v>Internal plaster gross</x:v>
      </x:c>
      <x:c r="F1310" s="20" t="n">
        <x:v>2</x:v>
      </x:c>
      <x:c r="G1310" s="20" t="n">
        <x:f>'Controls'!$B$45</x:f>
        <x:v>220</x:v>
      </x:c>
      <x:c r="H1310" s="20" t="n">
        <x:f>'Controls'!$B$12-'Controls'!$B$13</x:f>
        <x:v>2.98</x:v>
      </x:c>
      <x:c r="I1310" s="20" t="n">
        <x:v>1</x:v>
      </x:c>
      <x:c r="J1310" s="20" t="n">
        <x:v>1</x:v>
      </x:c>
      <x:c r="K1310" s="20" t="n">
        <x:f>F1310*G1310*H1310*I1310*J1310</x:f>
        <x:v>1311.2</x:v>
      </x:c>
      <x:c r="L1310" s="7" t="str">
        <x:v>Both faces of partition walls</x:v>
      </x:c>
      <x:c r="M1310" s="2"/>
      <x:c r="N1310" s="2"/>
      <x:c r="O1310" s="2"/>
      <x:c r="P1310" s="2"/>
      <x:c r="Q1310" s="2"/>
    </x:row>
    <x:row r="1311" ht="22" customHeight="1">
      <x:c r="A1311" s="2" t="str">
        <x:v>M1304</x:v>
      </x:c>
      <x:c r="B1311" s="2" t="str">
        <x:v>AR02</x:v>
      </x:c>
      <x:c r="C1311" s="2" t="str">
        <x:v>T5</x:v>
      </x:c>
      <x:c r="D1311" s="2" t="str">
        <x:v>L03</x:v>
      </x:c>
      <x:c r="E1311" s="2" t="str">
        <x:v>Door area deduction both faces</x:v>
      </x:c>
      <x:c r="F1311" s="21" t="n">
        <x:f>2*'Controls'!$B$48</x:f>
        <x:v>56</x:v>
      </x:c>
      <x:c r="G1311" s="21" t="n">
        <x:f>'Controls'!$B$49</x:f>
        <x:v>0.9</x:v>
      </x:c>
      <x:c r="H1311" s="21" t="n">
        <x:f>'Controls'!$B$50</x:f>
        <x:v>2.1</x:v>
      </x:c>
      <x:c r="I1311" s="21" t="n">
        <x:v>1</x:v>
      </x:c>
      <x:c r="J1311" s="21" t="n">
        <x:v>-1</x:v>
      </x:c>
      <x:c r="K1311" s="21" t="n">
        <x:f>F1311*G1311*H1311*I1311*J1311</x:f>
        <x:v>-105.84</x:v>
      </x:c>
      <x:c r="L1311" s="2" t="str">
        <x:v>No plaster over openings</x:v>
      </x:c>
      <x:c r="M1311" s="2"/>
      <x:c r="N1311" s="2"/>
      <x:c r="O1311" s="2"/>
      <x:c r="P1311" s="2"/>
      <x:c r="Q1311" s="2"/>
    </x:row>
    <x:row r="1312" ht="22" customHeight="1">
      <x:c r="A1312" s="7" t="str">
        <x:v>M1305</x:v>
      </x:c>
      <x:c r="B1312" s="7" t="str">
        <x:v>AR03</x:v>
      </x:c>
      <x:c r="C1312" s="7" t="str">
        <x:v>T5</x:v>
      </x:c>
      <x:c r="D1312" s="7" t="str">
        <x:v>L03</x:v>
      </x:c>
      <x:c r="E1312" s="7" t="str">
        <x:v>Floor screed net</x:v>
      </x:c>
      <x:c r="F1312" s="20" t="n">
        <x:v>1</x:v>
      </x:c>
      <x:c r="G1312" s="20" t="n">
        <x:f>'Controls'!$B$10*'Controls'!$B$11-'Controls'!$B$20*'Controls'!$B$21</x:f>
        <x:v>696</x:v>
      </x:c>
      <x:c r="H1312" s="20" t="n">
        <x:v>1</x:v>
      </x:c>
      <x:c r="I1312" s="20" t="n">
        <x:v>1</x:v>
      </x:c>
      <x:c r="J1312" s="20" t="n">
        <x:v>1</x:v>
      </x:c>
      <x:c r="K1312" s="20" t="n">
        <x:f>F1312*G1312*H1312*I1312*J1312</x:f>
        <x:v>696</x:v>
      </x:c>
      <x:c r="L1312" s="7" t="str">
        <x:v>Net structural floor area</x:v>
      </x:c>
      <x:c r="M1312" s="2"/>
      <x:c r="N1312" s="2"/>
      <x:c r="O1312" s="2"/>
      <x:c r="P1312" s="2"/>
      <x:c r="Q1312" s="2"/>
    </x:row>
    <x:row r="1313" ht="22" customHeight="1">
      <x:c r="A1313" s="2" t="str">
        <x:v>M1306</x:v>
      </x:c>
      <x:c r="B1313" s="2" t="str">
        <x:v>AR04</x:v>
      </x:c>
      <x:c r="C1313" s="2" t="str">
        <x:v>T5</x:v>
      </x:c>
      <x:c r="D1313" s="2" t="str">
        <x:v>L03</x:v>
      </x:c>
      <x:c r="E1313" s="2" t="str">
        <x:v>Floor finish net</x:v>
      </x:c>
      <x:c r="F1313" s="21" t="n">
        <x:v>1</x:v>
      </x:c>
      <x:c r="G1313" s="21" t="n">
        <x:f>'Controls'!$B$10*'Controls'!$B$11-'Controls'!$B$20*'Controls'!$B$21</x:f>
        <x:v>696</x:v>
      </x:c>
      <x:c r="H1313" s="21" t="n">
        <x:v>1</x:v>
      </x:c>
      <x:c r="I1313" s="21" t="n">
        <x:v>1</x:v>
      </x:c>
      <x:c r="J1313" s="21" t="n">
        <x:v>1</x:v>
      </x:c>
      <x:c r="K1313" s="21" t="n">
        <x:f>F1313*G1313*H1313*I1313*J1313</x:f>
        <x:v>696</x:v>
      </x:c>
      <x:c r="L1313" s="2" t="str">
        <x:v>Waste excluded from BOQ</x:v>
      </x:c>
      <x:c r="M1313" s="2"/>
      <x:c r="N1313" s="2"/>
      <x:c r="O1313" s="2"/>
      <x:c r="P1313" s="2"/>
      <x:c r="Q1313" s="2"/>
    </x:row>
    <x:row r="1314" ht="22" customHeight="1">
      <x:c r="A1314" s="7" t="str">
        <x:v>M1307</x:v>
      </x:c>
      <x:c r="B1314" s="7" t="str">
        <x:v>AR05</x:v>
      </x:c>
      <x:c r="C1314" s="7" t="str">
        <x:v>T5</x:v>
      </x:c>
      <x:c r="D1314" s="7" t="str">
        <x:v>L03</x:v>
      </x:c>
      <x:c r="E1314" s="7" t="str">
        <x:v>Internal wall paint net</x:v>
      </x:c>
      <x:c r="F1314" s="20" t="n">
        <x:v>2</x:v>
      </x:c>
      <x:c r="G1314" s="20" t="n">
        <x:f>'Controls'!$B$45*('Controls'!$B$12-'Controls'!$B$13)-'Controls'!$B$48*'Controls'!$B$49*'Controls'!$B$50</x:f>
        <x:v>602.6800000000001</x:v>
      </x:c>
      <x:c r="H1314" s="20" t="n">
        <x:v>1</x:v>
      </x:c>
      <x:c r="I1314" s="20" t="n">
        <x:v>1</x:v>
      </x:c>
      <x:c r="J1314" s="20" t="n">
        <x:v>1</x:v>
      </x:c>
      <x:c r="K1314" s="20" t="n">
        <x:f>F1314*G1314*H1314*I1314*J1314</x:f>
        <x:v>1205.3600000000001</x:v>
      </x:c>
      <x:c r="L1314" s="7" t="str">
        <x:v>Finished area; two coats priced in rate</x:v>
      </x:c>
      <x:c r="M1314" s="2"/>
      <x:c r="N1314" s="2"/>
      <x:c r="O1314" s="2"/>
      <x:c r="P1314" s="2"/>
      <x:c r="Q1314" s="2"/>
    </x:row>
    <x:row r="1315" ht="22" customHeight="1">
      <x:c r="A1315" s="2" t="str">
        <x:v>M1308</x:v>
      </x:c>
      <x:c r="B1315" s="2" t="str">
        <x:v>AR06</x:v>
      </x:c>
      <x:c r="C1315" s="2" t="str">
        <x:v>T5</x:v>
      </x:c>
      <x:c r="D1315" s="2" t="str">
        <x:v>L03</x:v>
      </x:c>
      <x:c r="E1315" s="2" t="str">
        <x:v>Door sets</x:v>
      </x:c>
      <x:c r="F1315" s="21" t="n">
        <x:f>'Controls'!$B$48</x:f>
        <x:v>28</x:v>
      </x:c>
      <x:c r="G1315" s="21" t="n">
        <x:v>1</x:v>
      </x:c>
      <x:c r="H1315" s="21" t="n">
        <x:v>1</x:v>
      </x:c>
      <x:c r="I1315" s="21" t="n">
        <x:v>1</x:v>
      </x:c>
      <x:c r="J1315" s="21" t="n">
        <x:v>1</x:v>
      </x:c>
      <x:c r="K1315" s="21" t="n">
        <x:f>F1315*G1315*H1315*I1315*J1315</x:f>
        <x:v>28</x:v>
      </x:c>
      <x:c r="L1315" s="2" t="str">
        <x:v>Door count, not double face</x:v>
      </x:c>
      <x:c r="M1315" s="2"/>
      <x:c r="N1315" s="2"/>
      <x:c r="O1315" s="2"/>
      <x:c r="P1315" s="2"/>
      <x:c r="Q1315" s="2"/>
    </x:row>
    <x:row r="1316" ht="22" customHeight="1">
      <x:c r="A1316" s="7" t="str">
        <x:v>M1309</x:v>
      </x:c>
      <x:c r="B1316" s="7" t="str">
        <x:v>RC03</x:v>
      </x:c>
      <x:c r="C1316" s="7" t="str">
        <x:v>T5</x:v>
      </x:c>
      <x:c r="D1316" s="7" t="str">
        <x:v>L04</x:v>
      </x:c>
      <x:c r="E1316" s="7" t="str">
        <x:v>Floor slab gross</x:v>
      </x:c>
      <x:c r="F1316" s="20" t="n">
        <x:v>1</x:v>
      </x:c>
      <x:c r="G1316" s="20" t="n">
        <x:f>'Controls'!$B$10</x:f>
        <x:v>30</x:v>
      </x:c>
      <x:c r="H1316" s="20" t="n">
        <x:f>'Controls'!$B$11</x:f>
        <x:v>24</x:v>
      </x:c>
      <x:c r="I1316" s="20" t="n">
        <x:f>'Controls'!$B$13</x:f>
        <x:v>0.22</x:v>
      </x:c>
      <x:c r="J1316" s="20" t="n">
        <x:v>1</x:v>
      </x:c>
      <x:c r="K1316" s="20" t="n">
        <x:f>F1316*G1316*H1316*I1316*J1316</x:f>
        <x:v>158.4</x:v>
      </x:c>
      <x:c r="L1316" s="7" t="str">
        <x:v>Slab includes beam top flange; downstand separate</x:v>
      </x:c>
      <x:c r="M1316" s="2"/>
      <x:c r="N1316" s="2"/>
      <x:c r="O1316" s="2"/>
      <x:c r="P1316" s="2"/>
      <x:c r="Q1316" s="2"/>
    </x:row>
    <x:row r="1317" ht="22" customHeight="1">
      <x:c r="A1317" s="2" t="str">
        <x:v>M1310</x:v>
      </x:c>
      <x:c r="B1317" s="2" t="str">
        <x:v>RC03</x:v>
      </x:c>
      <x:c r="C1317" s="2" t="str">
        <x:v>T5</x:v>
      </x:c>
      <x:c r="D1317" s="2" t="str">
        <x:v>L04</x:v>
      </x:c>
      <x:c r="E1317" s="2" t="str">
        <x:v>Stair opening deduction</x:v>
      </x:c>
      <x:c r="F1317" s="21" t="n">
        <x:v>1</x:v>
      </x:c>
      <x:c r="G1317" s="21" t="n">
        <x:f>'Controls'!$B$20</x:f>
        <x:v>4</x:v>
      </x:c>
      <x:c r="H1317" s="21" t="n">
        <x:f>'Controls'!$B$21</x:f>
        <x:v>6</x:v>
      </x:c>
      <x:c r="I1317" s="21" t="n">
        <x:f>'Controls'!$B$13</x:f>
        <x:v>0.22</x:v>
      </x:c>
      <x:c r="J1317" s="21" t="n">
        <x:v>-1</x:v>
      </x:c>
      <x:c r="K1317" s="21" t="n">
        <x:f>F1317*G1317*H1317*I1317*J1317</x:f>
        <x:v>-5.28</x:v>
      </x:c>
      <x:c r="L1317" s="2" t="str">
        <x:v>Opening OP-01</x:v>
      </x:c>
      <x:c r="M1317" s="2"/>
      <x:c r="N1317" s="2"/>
      <x:c r="O1317" s="2"/>
      <x:c r="P1317" s="2"/>
      <x:c r="Q1317" s="2"/>
    </x:row>
    <x:row r="1318" ht="22" customHeight="1">
      <x:c r="A1318" s="7" t="str">
        <x:v>M1311</x:v>
      </x:c>
      <x:c r="B1318" s="7" t="str">
        <x:v>RC04</x:v>
      </x:c>
      <x:c r="C1318" s="7" t="str">
        <x:v>T5</x:v>
      </x:c>
      <x:c r="D1318" s="7" t="str">
        <x:v>L04</x:v>
      </x:c>
      <x:c r="E1318" s="7" t="str">
        <x:v>Beam downstands X</x:v>
      </x:c>
      <x:c r="F1318" s="20" t="n">
        <x:v>1</x:v>
      </x:c>
      <x:c r="G1318" s="20" t="n">
        <x:f>5*5*('Controls'!$B$10/5-'Controls'!$B$14)</x:f>
        <x:v>137.5</x:v>
      </x:c>
      <x:c r="H1318" s="20" t="n">
        <x:f>'Controls'!$B$16</x:f>
        <x:v>0.3</x:v>
      </x:c>
      <x:c r="I1318" s="20" t="n">
        <x:f>'Controls'!$B$17-'Controls'!$B$13</x:f>
        <x:v>0.38</x:v>
      </x:c>
      <x:c r="J1318" s="20" t="n">
        <x:v>1</x:v>
      </x:c>
      <x:c r="K1318" s="20" t="n">
        <x:f>F1318*G1318*H1318*I1318*J1318</x:f>
        <x:v>15.675</x:v>
      </x:c>
      <x:c r="L1318" s="7" t="str">
        <x:v>Clear spans between column faces; no joint overlap</x:v>
      </x:c>
      <x:c r="M1318" s="2"/>
      <x:c r="N1318" s="2"/>
      <x:c r="O1318" s="2"/>
      <x:c r="P1318" s="2"/>
      <x:c r="Q1318" s="2"/>
    </x:row>
    <x:row r="1319" ht="22" customHeight="1">
      <x:c r="A1319" s="2" t="str">
        <x:v>M1312</x:v>
      </x:c>
      <x:c r="B1319" s="2" t="str">
        <x:v>FW02</x:v>
      </x:c>
      <x:c r="C1319" s="2" t="str">
        <x:v>T5</x:v>
      </x:c>
      <x:c r="D1319" s="2" t="str">
        <x:v>L04</x:v>
      </x:c>
      <x:c r="E1319" s="2" t="str">
        <x:v>Beam forms X</x:v>
      </x:c>
      <x:c r="F1319" s="21" t="n">
        <x:v>1</x:v>
      </x:c>
      <x:c r="G1319" s="21" t="n">
        <x:f>5*5*('Controls'!$B$10/5-'Controls'!$B$14)</x:f>
        <x:v>137.5</x:v>
      </x:c>
      <x:c r="H1319" s="21" t="n">
        <x:f>'Controls'!$B$16+2*('Controls'!$B$17-'Controls'!$B$13)</x:f>
        <x:v>1.06</x:v>
      </x:c>
      <x:c r="I1319" s="21" t="n">
        <x:v>1</x:v>
      </x:c>
      <x:c r="J1319" s="21" t="n">
        <x:v>1</x:v>
      </x:c>
      <x:c r="K1319" s="21" t="n">
        <x:f>F1319*G1319*H1319*I1319*J1319</x:f>
        <x:v>145.75</x:v>
      </x:c>
      <x:c r="L1319" s="2" t="str">
        <x:v>Soffit plus two downstand sides</x:v>
      </x:c>
      <x:c r="M1319" s="2"/>
      <x:c r="N1319" s="2"/>
      <x:c r="O1319" s="2"/>
      <x:c r="P1319" s="2"/>
      <x:c r="Q1319" s="2"/>
    </x:row>
    <x:row r="1320" ht="22" customHeight="1">
      <x:c r="A1320" s="7" t="str">
        <x:v>M1313</x:v>
      </x:c>
      <x:c r="B1320" s="7" t="str">
        <x:v>RC04</x:v>
      </x:c>
      <x:c r="C1320" s="7" t="str">
        <x:v>T5</x:v>
      </x:c>
      <x:c r="D1320" s="7" t="str">
        <x:v>L04</x:v>
      </x:c>
      <x:c r="E1320" s="7" t="str">
        <x:v>Beam downstands Y</x:v>
      </x:c>
      <x:c r="F1320" s="20" t="n">
        <x:v>1</x:v>
      </x:c>
      <x:c r="G1320" s="20" t="n">
        <x:f>6*4*('Controls'!$B$11/4-'Controls'!$B$15)</x:f>
        <x:v>132</x:v>
      </x:c>
      <x:c r="H1320" s="20" t="n">
        <x:f>'Controls'!$B$16</x:f>
        <x:v>0.3</x:v>
      </x:c>
      <x:c r="I1320" s="20" t="n">
        <x:f>'Controls'!$B$17-'Controls'!$B$13</x:f>
        <x:v>0.38</x:v>
      </x:c>
      <x:c r="J1320" s="20" t="n">
        <x:v>1</x:v>
      </x:c>
      <x:c r="K1320" s="20" t="n">
        <x:f>F1320*G1320*H1320*I1320*J1320</x:f>
        <x:v>15.048</x:v>
      </x:c>
      <x:c r="L1320" s="7" t="str">
        <x:v>Clear spans between column faces; no joint overlap</x:v>
      </x:c>
      <x:c r="M1320" s="2"/>
      <x:c r="N1320" s="2"/>
      <x:c r="O1320" s="2"/>
      <x:c r="P1320" s="2"/>
      <x:c r="Q1320" s="2"/>
    </x:row>
    <x:row r="1321" ht="22" customHeight="1">
      <x:c r="A1321" s="2" t="str">
        <x:v>M1314</x:v>
      </x:c>
      <x:c r="B1321" s="2" t="str">
        <x:v>FW02</x:v>
      </x:c>
      <x:c r="C1321" s="2" t="str">
        <x:v>T5</x:v>
      </x:c>
      <x:c r="D1321" s="2" t="str">
        <x:v>L04</x:v>
      </x:c>
      <x:c r="E1321" s="2" t="str">
        <x:v>Beam forms Y</x:v>
      </x:c>
      <x:c r="F1321" s="21" t="n">
        <x:v>1</x:v>
      </x:c>
      <x:c r="G1321" s="21" t="n">
        <x:f>6*4*('Controls'!$B$11/4-'Controls'!$B$15)</x:f>
        <x:v>132</x:v>
      </x:c>
      <x:c r="H1321" s="21" t="n">
        <x:f>'Controls'!$B$16+2*('Controls'!$B$17-'Controls'!$B$13)</x:f>
        <x:v>1.06</x:v>
      </x:c>
      <x:c r="I1321" s="21" t="n">
        <x:v>1</x:v>
      </x:c>
      <x:c r="J1321" s="21" t="n">
        <x:v>1</x:v>
      </x:c>
      <x:c r="K1321" s="21" t="n">
        <x:f>F1321*G1321*H1321*I1321*J1321</x:f>
        <x:v>139.92000000000002</x:v>
      </x:c>
      <x:c r="L1321" s="2" t="str">
        <x:v>Soffit plus two downstand sides</x:v>
      </x:c>
      <x:c r="M1321" s="2"/>
      <x:c r="N1321" s="2"/>
      <x:c r="O1321" s="2"/>
      <x:c r="P1321" s="2"/>
      <x:c r="Q1321" s="2"/>
    </x:row>
    <x:row r="1322" ht="22" customHeight="1">
      <x:c r="A1322" s="7" t="str">
        <x:v>M1315</x:v>
      </x:c>
      <x:c r="B1322" s="7" t="str">
        <x:v>RC05</x:v>
      </x:c>
      <x:c r="C1322" s="7" t="str">
        <x:v>T5</x:v>
      </x:c>
      <x:c r="D1322" s="7" t="str">
        <x:v>L04</x:v>
      </x:c>
      <x:c r="E1322" s="7" t="str">
        <x:v>Thirty columns, clear storey</x:v>
      </x:c>
      <x:c r="F1322" s="20" t="n">
        <x:v>30</x:v>
      </x:c>
      <x:c r="G1322" s="20" t="n">
        <x:f>'Controls'!$B$14</x:f>
        <x:v>0.5</x:v>
      </x:c>
      <x:c r="H1322" s="20" t="n">
        <x:f>'Controls'!$B$15</x:f>
        <x:v>0.5</x:v>
      </x:c>
      <x:c r="I1322" s="20" t="n">
        <x:f>'Controls'!$B$12-'Controls'!$B$13</x:f>
        <x:v>2.98</x:v>
      </x:c>
      <x:c r="J1322" s="20" t="n">
        <x:v>1</x:v>
      </x:c>
      <x:c r="K1322" s="20" t="n">
        <x:f>F1322*G1322*H1322*I1322*J1322</x:f>
        <x:v>22.35</x:v>
      </x:c>
      <x:c r="L1322" s="7" t="str">
        <x:v>Slab volume excluded from columns</x:v>
      </x:c>
      <x:c r="M1322" s="2"/>
      <x:c r="N1322" s="2"/>
      <x:c r="O1322" s="2"/>
      <x:c r="P1322" s="2"/>
      <x:c r="Q1322" s="2"/>
    </x:row>
    <x:row r="1323" ht="22" customHeight="1">
      <x:c r="A1323" s="2" t="str">
        <x:v>M1316</x:v>
      </x:c>
      <x:c r="B1323" s="2" t="str">
        <x:v>RC06</x:v>
      </x:c>
      <x:c r="C1323" s="2" t="str">
        <x:v>T5</x:v>
      </x:c>
      <x:c r="D1323" s="2" t="str">
        <x:v>L04</x:v>
      </x:c>
      <x:c r="E1323" s="2" t="str">
        <x:v>Core walls clear storey</x:v>
      </x:c>
      <x:c r="F1323" s="21" t="n">
        <x:v>1</x:v>
      </x:c>
      <x:c r="G1323" s="21" t="n">
        <x:f>'Controls'!$B$19</x:f>
        <x:v>24</x:v>
      </x:c>
      <x:c r="H1323" s="21" t="n">
        <x:f>'Controls'!$B$18</x:f>
        <x:v>0.25</x:v>
      </x:c>
      <x:c r="I1323" s="21" t="n">
        <x:f>'Controls'!$B$12-'Controls'!$B$13</x:f>
        <x:v>2.98</x:v>
      </x:c>
      <x:c r="J1323" s="21" t="n">
        <x:v>1</x:v>
      </x:c>
      <x:c r="K1323" s="21" t="n">
        <x:f>F1323*G1323*H1323*I1323*J1323</x:f>
        <x:v>17.88</x:v>
      </x:c>
      <x:c r="L1323" s="2" t="str">
        <x:v>Net clear wall length excludes corners</x:v>
      </x:c>
      <x:c r="M1323" s="2"/>
      <x:c r="N1323" s="2"/>
      <x:c r="O1323" s="2"/>
      <x:c r="P1323" s="2"/>
      <x:c r="Q1323" s="2"/>
    </x:row>
    <x:row r="1324" ht="22" customHeight="1">
      <x:c r="A1324" s="7" t="str">
        <x:v>M1317</x:v>
      </x:c>
      <x:c r="B1324" s="7" t="str">
        <x:v>RC07</x:v>
      </x:c>
      <x:c r="C1324" s="7" t="str">
        <x:v>T5</x:v>
      </x:c>
      <x:c r="D1324" s="7" t="str">
        <x:v>L04</x:v>
      </x:c>
      <x:c r="E1324" s="7" t="str">
        <x:v>Stair flights waist</x:v>
      </x:c>
      <x:c r="F1324" s="20" t="n">
        <x:v>2</x:v>
      </x:c>
      <x:c r="G1324" s="20" t="n">
        <x:v>4.1</x:v>
      </x:c>
      <x:c r="H1324" s="20" t="n">
        <x:v>1.2</x:v>
      </x:c>
      <x:c r="I1324" s="20" t="n">
        <x:v>0.18</x:v>
      </x:c>
      <x:c r="J1324" s="20" t="n">
        <x:v>1</x:v>
      </x:c>
      <x:c r="K1324" s="20" t="n">
        <x:f>F1324*G1324*H1324*I1324*J1324</x:f>
        <x:v>1.7711999999999997</x:v>
      </x:c>
      <x:c r="L1324" s="7" t="str">
        <x:v>Two flights; geometry separate from floor slab</x:v>
      </x:c>
      <x:c r="M1324" s="2"/>
      <x:c r="N1324" s="2"/>
      <x:c r="O1324" s="2"/>
      <x:c r="P1324" s="2"/>
      <x:c r="Q1324" s="2"/>
    </x:row>
    <x:row r="1325" ht="22" customHeight="1">
      <x:c r="A1325" s="2" t="str">
        <x:v>M1318</x:v>
      </x:c>
      <x:c r="B1325" s="2" t="str">
        <x:v>RC07</x:v>
      </x:c>
      <x:c r="C1325" s="2" t="str">
        <x:v>T5</x:v>
      </x:c>
      <x:c r="D1325" s="2" t="str">
        <x:v>L04</x:v>
      </x:c>
      <x:c r="E1325" s="2" t="str">
        <x:v>Stair landings</x:v>
      </x:c>
      <x:c r="F1325" s="21" t="n">
        <x:v>2</x:v>
      </x:c>
      <x:c r="G1325" s="21" t="n">
        <x:v>2</x:v>
      </x:c>
      <x:c r="H1325" s="21" t="n">
        <x:v>1.2</x:v>
      </x:c>
      <x:c r="I1325" s="21" t="n">
        <x:v>0.18</x:v>
      </x:c>
      <x:c r="J1325" s="21" t="n">
        <x:v>1</x:v>
      </x:c>
      <x:c r="K1325" s="21" t="n">
        <x:f>F1325*G1325*H1325*I1325*J1325</x:f>
        <x:v>0.864</x:v>
      </x:c>
      <x:c r="L1325" s="2" t="str">
        <x:v>Within stair opening</x:v>
      </x:c>
      <x:c r="M1325" s="2"/>
      <x:c r="N1325" s="2"/>
      <x:c r="O1325" s="2"/>
      <x:c r="P1325" s="2"/>
      <x:c r="Q1325" s="2"/>
    </x:row>
    <x:row r="1326" ht="22" customHeight="1">
      <x:c r="A1326" s="7" t="str">
        <x:v>M1319</x:v>
      </x:c>
      <x:c r="B1326" s="7" t="str">
        <x:v>FW01</x:v>
      </x:c>
      <x:c r="C1326" s="7" t="str">
        <x:v>T5</x:v>
      </x:c>
      <x:c r="D1326" s="7" t="str">
        <x:v>L04</x:v>
      </x:c>
      <x:c r="E1326" s="7" t="str">
        <x:v>Slab soffit gross</x:v>
      </x:c>
      <x:c r="F1326" s="20" t="n">
        <x:v>1</x:v>
      </x:c>
      <x:c r="G1326" s="20" t="n">
        <x:f>'Controls'!$B$10</x:f>
        <x:v>30</x:v>
      </x:c>
      <x:c r="H1326" s="20" t="n">
        <x:f>'Controls'!$B$11</x:f>
        <x:v>24</x:v>
      </x:c>
      <x:c r="I1326" s="20" t="n">
        <x:v>1</x:v>
      </x:c>
      <x:c r="J1326" s="20" t="n">
        <x:v>1</x:v>
      </x:c>
      <x:c r="K1326" s="20" t="n">
        <x:f>F1326*G1326*H1326*I1326*J1326</x:f>
        <x:v>720</x:v>
      </x:c>
      <x:c r="L1326" s="7" t="str">
        <x:v>Beam soffit deducted below</x:v>
      </x:c>
      <x:c r="M1326" s="2"/>
      <x:c r="N1326" s="2"/>
      <x:c r="O1326" s="2"/>
      <x:c r="P1326" s="2"/>
      <x:c r="Q1326" s="2"/>
    </x:row>
    <x:row r="1327" ht="22" customHeight="1">
      <x:c r="A1327" s="2" t="str">
        <x:v>M1320</x:v>
      </x:c>
      <x:c r="B1327" s="2" t="str">
        <x:v>FW01</x:v>
      </x:c>
      <x:c r="C1327" s="2" t="str">
        <x:v>T5</x:v>
      </x:c>
      <x:c r="D1327" s="2" t="str">
        <x:v>L04</x:v>
      </x:c>
      <x:c r="E1327" s="2" t="str">
        <x:v>Stair opening deduction</x:v>
      </x:c>
      <x:c r="F1327" s="21" t="n">
        <x:v>1</x:v>
      </x:c>
      <x:c r="G1327" s="21" t="n">
        <x:f>'Controls'!$B$20</x:f>
        <x:v>4</x:v>
      </x:c>
      <x:c r="H1327" s="21" t="n">
        <x:f>'Controls'!$B$21</x:f>
        <x:v>6</x:v>
      </x:c>
      <x:c r="I1327" s="21" t="n">
        <x:v>1</x:v>
      </x:c>
      <x:c r="J1327" s="21" t="n">
        <x:v>-1</x:v>
      </x:c>
      <x:c r="K1327" s="21" t="n">
        <x:f>F1327*G1327*H1327*I1327*J1327</x:f>
        <x:v>-24</x:v>
      </x:c>
      <x:c r="L1327" s="2" t="str">
        <x:v>OP-01</x:v>
      </x:c>
      <x:c r="M1327" s="2"/>
      <x:c r="N1327" s="2"/>
      <x:c r="O1327" s="2"/>
      <x:c r="P1327" s="2"/>
      <x:c r="Q1327" s="2"/>
    </x:row>
    <x:row r="1328" ht="22" customHeight="1">
      <x:c r="A1328" s="7" t="str">
        <x:v>M1321</x:v>
      </x:c>
      <x:c r="B1328" s="7" t="str">
        <x:v>FW01</x:v>
      </x:c>
      <x:c r="C1328" s="7" t="str">
        <x:v>T5</x:v>
      </x:c>
      <x:c r="D1328" s="7" t="str">
        <x:v>L04</x:v>
      </x:c>
      <x:c r="E1328" s="7" t="str">
        <x:v>Beam soffit deduction</x:v>
      </x:c>
      <x:c r="F1328" s="20" t="n">
        <x:v>1</x:v>
      </x:c>
      <x:c r="G1328" s="20" t="n">
        <x:f>5*5*('Controls'!$B$10/5-'Controls'!$B$14)+6*4*('Controls'!$B$11/4-'Controls'!$B$15)</x:f>
        <x:v>269.5</x:v>
      </x:c>
      <x:c r="H1328" s="20" t="n">
        <x:f>'Controls'!$B$16</x:f>
        <x:v>0.3</x:v>
      </x:c>
      <x:c r="I1328" s="20" t="n">
        <x:v>1</x:v>
      </x:c>
      <x:c r="J1328" s="20" t="n">
        <x:v>-1</x:v>
      </x:c>
      <x:c r="K1328" s="20" t="n">
        <x:f>F1328*G1328*H1328*I1328*J1328</x:f>
        <x:v>-80.85</x:v>
      </x:c>
      <x:c r="L1328" s="7" t="str">
        <x:v>Beam forms measured in FW02</x:v>
      </x:c>
      <x:c r="M1328" s="2"/>
      <x:c r="N1328" s="2"/>
      <x:c r="O1328" s="2"/>
      <x:c r="P1328" s="2"/>
      <x:c r="Q1328" s="2"/>
    </x:row>
    <x:row r="1329" ht="22" customHeight="1">
      <x:c r="A1329" s="2" t="str">
        <x:v>M1322</x:v>
      </x:c>
      <x:c r="B1329" s="2" t="str">
        <x:v>FW03</x:v>
      </x:c>
      <x:c r="C1329" s="2" t="str">
        <x:v>T5</x:v>
      </x:c>
      <x:c r="D1329" s="2" t="str">
        <x:v>L04</x:v>
      </x:c>
      <x:c r="E1329" s="2" t="str">
        <x:v>Column four faces</x:v>
      </x:c>
      <x:c r="F1329" s="21" t="n">
        <x:v>30</x:v>
      </x:c>
      <x:c r="G1329" s="21" t="n">
        <x:f>2*('Controls'!$B$14+'Controls'!$B$15)</x:f>
        <x:v>2</x:v>
      </x:c>
      <x:c r="H1329" s="21" t="n">
        <x:f>'Controls'!$B$12-'Controls'!$B$13</x:f>
        <x:v>2.98</x:v>
      </x:c>
      <x:c r="I1329" s="21" t="n">
        <x:v>1</x:v>
      </x:c>
      <x:c r="J1329" s="21" t="n">
        <x:v>1</x:v>
      </x:c>
      <x:c r="K1329" s="21" t="n">
        <x:f>F1329*G1329*H1329*I1329*J1329</x:f>
        <x:v>178.8</x:v>
      </x:c>
      <x:c r="L1329" s="2" t="str">
        <x:v>Clear floor-to-soffit</x:v>
      </x:c>
      <x:c r="M1329" s="2"/>
      <x:c r="N1329" s="2"/>
      <x:c r="O1329" s="2"/>
      <x:c r="P1329" s="2"/>
      <x:c r="Q1329" s="2"/>
    </x:row>
    <x:row r="1330" ht="22" customHeight="1">
      <x:c r="A1330" s="7" t="str">
        <x:v>M1323</x:v>
      </x:c>
      <x:c r="B1330" s="7" t="str">
        <x:v>FW04</x:v>
      </x:c>
      <x:c r="C1330" s="7" t="str">
        <x:v>T5</x:v>
      </x:c>
      <x:c r="D1330" s="7" t="str">
        <x:v>L04</x:v>
      </x:c>
      <x:c r="E1330" s="7" t="str">
        <x:v>Core wall two faces</x:v>
      </x:c>
      <x:c r="F1330" s="20" t="n">
        <x:v>2</x:v>
      </x:c>
      <x:c r="G1330" s="20" t="n">
        <x:f>'Controls'!$B$19</x:f>
        <x:v>24</x:v>
      </x:c>
      <x:c r="H1330" s="20" t="n">
        <x:f>'Controls'!$B$12-'Controls'!$B$13</x:f>
        <x:v>2.98</x:v>
      </x:c>
      <x:c r="I1330" s="20" t="n">
        <x:v>1</x:v>
      </x:c>
      <x:c r="J1330" s="20" t="n">
        <x:v>1</x:v>
      </x:c>
      <x:c r="K1330" s="20" t="n">
        <x:f>F1330*G1330*H1330*I1330*J1330</x:f>
        <x:v>143.04</x:v>
      </x:c>
      <x:c r="L1330" s="7" t="str">
        <x:v>Net perimeter, no repeated corners</x:v>
      </x:c>
      <x:c r="M1330" s="2"/>
      <x:c r="N1330" s="2"/>
      <x:c r="O1330" s="2"/>
      <x:c r="P1330" s="2"/>
      <x:c r="Q1330" s="2"/>
    </x:row>
    <x:row r="1331" ht="22" customHeight="1">
      <x:c r="A1331" s="2" t="str">
        <x:v>M1324</x:v>
      </x:c>
      <x:c r="B1331" s="2" t="str">
        <x:v>AR01</x:v>
      </x:c>
      <x:c r="C1331" s="2" t="str">
        <x:v>T5</x:v>
      </x:c>
      <x:c r="D1331" s="2" t="str">
        <x:v>L04</x:v>
      </x:c>
      <x:c r="E1331" s="2" t="str">
        <x:v>Partition walls gross</x:v>
      </x:c>
      <x:c r="F1331" s="21" t="n">
        <x:v>1</x:v>
      </x:c>
      <x:c r="G1331" s="21" t="n">
        <x:f>'Controls'!$B$45</x:f>
        <x:v>220</x:v>
      </x:c>
      <x:c r="H1331" s="21" t="n">
        <x:f>'Controls'!$B$12-'Controls'!$B$13</x:f>
        <x:v>2.98</x:v>
      </x:c>
      <x:c r="I1331" s="21" t="n">
        <x:f>'Controls'!$B$46</x:f>
        <x:v>0.15</x:v>
      </x:c>
      <x:c r="J1331" s="21" t="n">
        <x:v>1</x:v>
      </x:c>
      <x:c r="K1331" s="21" t="n">
        <x:f>F1331*G1331*H1331*I1331*J1331</x:f>
        <x:v>98.34</x:v>
      </x:c>
      <x:c r="L1331" s="2" t="str">
        <x:v>Net openings deducted below</x:v>
      </x:c>
      <x:c r="M1331" s="2"/>
      <x:c r="N1331" s="2"/>
      <x:c r="O1331" s="2"/>
      <x:c r="P1331" s="2"/>
      <x:c r="Q1331" s="2"/>
    </x:row>
    <x:row r="1332" ht="22" customHeight="1">
      <x:c r="A1332" s="7" t="str">
        <x:v>M1325</x:v>
      </x:c>
      <x:c r="B1332" s="7" t="str">
        <x:v>AR01</x:v>
      </x:c>
      <x:c r="C1332" s="7" t="str">
        <x:v>T5</x:v>
      </x:c>
      <x:c r="D1332" s="7" t="str">
        <x:v>L04</x:v>
      </x:c>
      <x:c r="E1332" s="7" t="str">
        <x:v>Internal doors deduction</x:v>
      </x:c>
      <x:c r="F1332" s="20" t="n">
        <x:f>'Controls'!$B$48</x:f>
        <x:v>28</x:v>
      </x:c>
      <x:c r="G1332" s="20" t="n">
        <x:f>'Controls'!$B$49</x:f>
        <x:v>0.9</x:v>
      </x:c>
      <x:c r="H1332" s="20" t="n">
        <x:f>'Controls'!$B$50</x:f>
        <x:v>2.1</x:v>
      </x:c>
      <x:c r="I1332" s="20" t="n">
        <x:f>'Controls'!$B$46</x:f>
        <x:v>0.15</x:v>
      </x:c>
      <x:c r="J1332" s="20" t="n">
        <x:v>-1</x:v>
      </x:c>
      <x:c r="K1332" s="20" t="n">
        <x:f>F1332*G1332*H1332*I1332*J1332</x:f>
        <x:v>-7.938</x:v>
      </x:c>
      <x:c r="L1332" s="7" t="str">
        <x:v>28 doors per floor, OP-02</x:v>
      </x:c>
      <x:c r="M1332" s="2"/>
      <x:c r="N1332" s="2"/>
      <x:c r="O1332" s="2"/>
      <x:c r="P1332" s="2"/>
      <x:c r="Q1332" s="2"/>
    </x:row>
    <x:row r="1333" ht="22" customHeight="1">
      <x:c r="A1333" s="2" t="str">
        <x:v>M1326</x:v>
      </x:c>
      <x:c r="B1333" s="2" t="str">
        <x:v>AR02</x:v>
      </x:c>
      <x:c r="C1333" s="2" t="str">
        <x:v>T5</x:v>
      </x:c>
      <x:c r="D1333" s="2" t="str">
        <x:v>L04</x:v>
      </x:c>
      <x:c r="E1333" s="2" t="str">
        <x:v>Internal plaster gross</x:v>
      </x:c>
      <x:c r="F1333" s="21" t="n">
        <x:v>2</x:v>
      </x:c>
      <x:c r="G1333" s="21" t="n">
        <x:f>'Controls'!$B$45</x:f>
        <x:v>220</x:v>
      </x:c>
      <x:c r="H1333" s="21" t="n">
        <x:f>'Controls'!$B$12-'Controls'!$B$13</x:f>
        <x:v>2.98</x:v>
      </x:c>
      <x:c r="I1333" s="21" t="n">
        <x:v>1</x:v>
      </x:c>
      <x:c r="J1333" s="21" t="n">
        <x:v>1</x:v>
      </x:c>
      <x:c r="K1333" s="21" t="n">
        <x:f>F1333*G1333*H1333*I1333*J1333</x:f>
        <x:v>1311.2</x:v>
      </x:c>
      <x:c r="L1333" s="2" t="str">
        <x:v>Both faces of partition walls</x:v>
      </x:c>
      <x:c r="M1333" s="2"/>
      <x:c r="N1333" s="2"/>
      <x:c r="O1333" s="2"/>
      <x:c r="P1333" s="2"/>
      <x:c r="Q1333" s="2"/>
    </x:row>
    <x:row r="1334" ht="22" customHeight="1">
      <x:c r="A1334" s="7" t="str">
        <x:v>M1327</x:v>
      </x:c>
      <x:c r="B1334" s="7" t="str">
        <x:v>AR02</x:v>
      </x:c>
      <x:c r="C1334" s="7" t="str">
        <x:v>T5</x:v>
      </x:c>
      <x:c r="D1334" s="7" t="str">
        <x:v>L04</x:v>
      </x:c>
      <x:c r="E1334" s="7" t="str">
        <x:v>Door area deduction both faces</x:v>
      </x:c>
      <x:c r="F1334" s="20" t="n">
        <x:f>2*'Controls'!$B$48</x:f>
        <x:v>56</x:v>
      </x:c>
      <x:c r="G1334" s="20" t="n">
        <x:f>'Controls'!$B$49</x:f>
        <x:v>0.9</x:v>
      </x:c>
      <x:c r="H1334" s="20" t="n">
        <x:f>'Controls'!$B$50</x:f>
        <x:v>2.1</x:v>
      </x:c>
      <x:c r="I1334" s="20" t="n">
        <x:v>1</x:v>
      </x:c>
      <x:c r="J1334" s="20" t="n">
        <x:v>-1</x:v>
      </x:c>
      <x:c r="K1334" s="20" t="n">
        <x:f>F1334*G1334*H1334*I1334*J1334</x:f>
        <x:v>-105.84</x:v>
      </x:c>
      <x:c r="L1334" s="7" t="str">
        <x:v>No plaster over openings</x:v>
      </x:c>
      <x:c r="M1334" s="2"/>
      <x:c r="N1334" s="2"/>
      <x:c r="O1334" s="2"/>
      <x:c r="P1334" s="2"/>
      <x:c r="Q1334" s="2"/>
    </x:row>
    <x:row r="1335" ht="22" customHeight="1">
      <x:c r="A1335" s="2" t="str">
        <x:v>M1328</x:v>
      </x:c>
      <x:c r="B1335" s="2" t="str">
        <x:v>AR03</x:v>
      </x:c>
      <x:c r="C1335" s="2" t="str">
        <x:v>T5</x:v>
      </x:c>
      <x:c r="D1335" s="2" t="str">
        <x:v>L04</x:v>
      </x:c>
      <x:c r="E1335" s="2" t="str">
        <x:v>Floor screed net</x:v>
      </x:c>
      <x:c r="F1335" s="21" t="n">
        <x:v>1</x:v>
      </x:c>
      <x:c r="G1335" s="21" t="n">
        <x:f>'Controls'!$B$10*'Controls'!$B$11-'Controls'!$B$20*'Controls'!$B$21</x:f>
        <x:v>696</x:v>
      </x:c>
      <x:c r="H1335" s="21" t="n">
        <x:v>1</x:v>
      </x:c>
      <x:c r="I1335" s="21" t="n">
        <x:v>1</x:v>
      </x:c>
      <x:c r="J1335" s="21" t="n">
        <x:v>1</x:v>
      </x:c>
      <x:c r="K1335" s="21" t="n">
        <x:f>F1335*G1335*H1335*I1335*J1335</x:f>
        <x:v>696</x:v>
      </x:c>
      <x:c r="L1335" s="2" t="str">
        <x:v>Net structural floor area</x:v>
      </x:c>
      <x:c r="M1335" s="2"/>
      <x:c r="N1335" s="2"/>
      <x:c r="O1335" s="2"/>
      <x:c r="P1335" s="2"/>
      <x:c r="Q1335" s="2"/>
    </x:row>
    <x:row r="1336" ht="22" customHeight="1">
      <x:c r="A1336" s="7" t="str">
        <x:v>M1329</x:v>
      </x:c>
      <x:c r="B1336" s="7" t="str">
        <x:v>AR04</x:v>
      </x:c>
      <x:c r="C1336" s="7" t="str">
        <x:v>T5</x:v>
      </x:c>
      <x:c r="D1336" s="7" t="str">
        <x:v>L04</x:v>
      </x:c>
      <x:c r="E1336" s="7" t="str">
        <x:v>Floor finish net</x:v>
      </x:c>
      <x:c r="F1336" s="20" t="n">
        <x:v>1</x:v>
      </x:c>
      <x:c r="G1336" s="20" t="n">
        <x:f>'Controls'!$B$10*'Controls'!$B$11-'Controls'!$B$20*'Controls'!$B$21</x:f>
        <x:v>696</x:v>
      </x:c>
      <x:c r="H1336" s="20" t="n">
        <x:v>1</x:v>
      </x:c>
      <x:c r="I1336" s="20" t="n">
        <x:v>1</x:v>
      </x:c>
      <x:c r="J1336" s="20" t="n">
        <x:v>1</x:v>
      </x:c>
      <x:c r="K1336" s="20" t="n">
        <x:f>F1336*G1336*H1336*I1336*J1336</x:f>
        <x:v>696</x:v>
      </x:c>
      <x:c r="L1336" s="7" t="str">
        <x:v>Waste excluded from BOQ</x:v>
      </x:c>
      <x:c r="M1336" s="2"/>
      <x:c r="N1336" s="2"/>
      <x:c r="O1336" s="2"/>
      <x:c r="P1336" s="2"/>
      <x:c r="Q1336" s="2"/>
    </x:row>
    <x:row r="1337" ht="22" customHeight="1">
      <x:c r="A1337" s="2" t="str">
        <x:v>M1330</x:v>
      </x:c>
      <x:c r="B1337" s="2" t="str">
        <x:v>AR05</x:v>
      </x:c>
      <x:c r="C1337" s="2" t="str">
        <x:v>T5</x:v>
      </x:c>
      <x:c r="D1337" s="2" t="str">
        <x:v>L04</x:v>
      </x:c>
      <x:c r="E1337" s="2" t="str">
        <x:v>Internal wall paint net</x:v>
      </x:c>
      <x:c r="F1337" s="21" t="n">
        <x:v>2</x:v>
      </x:c>
      <x:c r="G1337" s="21" t="n">
        <x:f>'Controls'!$B$45*('Controls'!$B$12-'Controls'!$B$13)-'Controls'!$B$48*'Controls'!$B$49*'Controls'!$B$50</x:f>
        <x:v>602.6800000000001</x:v>
      </x:c>
      <x:c r="H1337" s="21" t="n">
        <x:v>1</x:v>
      </x:c>
      <x:c r="I1337" s="21" t="n">
        <x:v>1</x:v>
      </x:c>
      <x:c r="J1337" s="21" t="n">
        <x:v>1</x:v>
      </x:c>
      <x:c r="K1337" s="21" t="n">
        <x:f>F1337*G1337*H1337*I1337*J1337</x:f>
        <x:v>1205.3600000000001</x:v>
      </x:c>
      <x:c r="L1337" s="2" t="str">
        <x:v>Finished area; two coats priced in rate</x:v>
      </x:c>
      <x:c r="M1337" s="2"/>
      <x:c r="N1337" s="2"/>
      <x:c r="O1337" s="2"/>
      <x:c r="P1337" s="2"/>
      <x:c r="Q1337" s="2"/>
    </x:row>
    <x:row r="1338" ht="22" customHeight="1">
      <x:c r="A1338" s="7" t="str">
        <x:v>M1331</x:v>
      </x:c>
      <x:c r="B1338" s="7" t="str">
        <x:v>AR06</x:v>
      </x:c>
      <x:c r="C1338" s="7" t="str">
        <x:v>T5</x:v>
      </x:c>
      <x:c r="D1338" s="7" t="str">
        <x:v>L04</x:v>
      </x:c>
      <x:c r="E1338" s="7" t="str">
        <x:v>Door sets</x:v>
      </x:c>
      <x:c r="F1338" s="20" t="n">
        <x:f>'Controls'!$B$48</x:f>
        <x:v>28</x:v>
      </x:c>
      <x:c r="G1338" s="20" t="n">
        <x:v>1</x:v>
      </x:c>
      <x:c r="H1338" s="20" t="n">
        <x:v>1</x:v>
      </x:c>
      <x:c r="I1338" s="20" t="n">
        <x:v>1</x:v>
      </x:c>
      <x:c r="J1338" s="20" t="n">
        <x:v>1</x:v>
      </x:c>
      <x:c r="K1338" s="20" t="n">
        <x:f>F1338*G1338*H1338*I1338*J1338</x:f>
        <x:v>28</x:v>
      </x:c>
      <x:c r="L1338" s="7" t="str">
        <x:v>Door count, not double face</x:v>
      </x:c>
      <x:c r="M1338" s="2"/>
      <x:c r="N1338" s="2"/>
      <x:c r="O1338" s="2"/>
      <x:c r="P1338" s="2"/>
      <x:c r="Q1338" s="2"/>
    </x:row>
    <x:row r="1339" ht="22" customHeight="1">
      <x:c r="A1339" s="2" t="str">
        <x:v>M1332</x:v>
      </x:c>
      <x:c r="B1339" s="2" t="str">
        <x:v>RC03</x:v>
      </x:c>
      <x:c r="C1339" s="2" t="str">
        <x:v>T5</x:v>
      </x:c>
      <x:c r="D1339" s="2" t="str">
        <x:v>L05</x:v>
      </x:c>
      <x:c r="E1339" s="2" t="str">
        <x:v>Floor slab gross</x:v>
      </x:c>
      <x:c r="F1339" s="21" t="n">
        <x:v>1</x:v>
      </x:c>
      <x:c r="G1339" s="21" t="n">
        <x:f>'Controls'!$B$10</x:f>
        <x:v>30</x:v>
      </x:c>
      <x:c r="H1339" s="21" t="n">
        <x:f>'Controls'!$B$11</x:f>
        <x:v>24</x:v>
      </x:c>
      <x:c r="I1339" s="21" t="n">
        <x:f>'Controls'!$B$13</x:f>
        <x:v>0.22</x:v>
      </x:c>
      <x:c r="J1339" s="21" t="n">
        <x:v>1</x:v>
      </x:c>
      <x:c r="K1339" s="21" t="n">
        <x:f>F1339*G1339*H1339*I1339*J1339</x:f>
        <x:v>158.4</x:v>
      </x:c>
      <x:c r="L1339" s="2" t="str">
        <x:v>Slab includes beam top flange; downstand separate</x:v>
      </x:c>
      <x:c r="M1339" s="2"/>
      <x:c r="N1339" s="2"/>
      <x:c r="O1339" s="2"/>
      <x:c r="P1339" s="2"/>
      <x:c r="Q1339" s="2"/>
    </x:row>
    <x:row r="1340" ht="22" customHeight="1">
      <x:c r="A1340" s="7" t="str">
        <x:v>M1333</x:v>
      </x:c>
      <x:c r="B1340" s="7" t="str">
        <x:v>RC03</x:v>
      </x:c>
      <x:c r="C1340" s="7" t="str">
        <x:v>T5</x:v>
      </x:c>
      <x:c r="D1340" s="7" t="str">
        <x:v>L05</x:v>
      </x:c>
      <x:c r="E1340" s="7" t="str">
        <x:v>Stair opening deduction</x:v>
      </x:c>
      <x:c r="F1340" s="20" t="n">
        <x:v>1</x:v>
      </x:c>
      <x:c r="G1340" s="20" t="n">
        <x:f>'Controls'!$B$20</x:f>
        <x:v>4</x:v>
      </x:c>
      <x:c r="H1340" s="20" t="n">
        <x:f>'Controls'!$B$21</x:f>
        <x:v>6</x:v>
      </x:c>
      <x:c r="I1340" s="20" t="n">
        <x:f>'Controls'!$B$13</x:f>
        <x:v>0.22</x:v>
      </x:c>
      <x:c r="J1340" s="20" t="n">
        <x:v>-1</x:v>
      </x:c>
      <x:c r="K1340" s="20" t="n">
        <x:f>F1340*G1340*H1340*I1340*J1340</x:f>
        <x:v>-5.28</x:v>
      </x:c>
      <x:c r="L1340" s="7" t="str">
        <x:v>Opening OP-01</x:v>
      </x:c>
      <x:c r="M1340" s="2"/>
      <x:c r="N1340" s="2"/>
      <x:c r="O1340" s="2"/>
      <x:c r="P1340" s="2"/>
      <x:c r="Q1340" s="2"/>
    </x:row>
    <x:row r="1341" ht="22" customHeight="1">
      <x:c r="A1341" s="2" t="str">
        <x:v>M1334</x:v>
      </x:c>
      <x:c r="B1341" s="2" t="str">
        <x:v>RC04</x:v>
      </x:c>
      <x:c r="C1341" s="2" t="str">
        <x:v>T5</x:v>
      </x:c>
      <x:c r="D1341" s="2" t="str">
        <x:v>L05</x:v>
      </x:c>
      <x:c r="E1341" s="2" t="str">
        <x:v>Beam downstands X</x:v>
      </x:c>
      <x:c r="F1341" s="21" t="n">
        <x:v>1</x:v>
      </x:c>
      <x:c r="G1341" s="21" t="n">
        <x:f>5*5*('Controls'!$B$10/5-'Controls'!$B$14)</x:f>
        <x:v>137.5</x:v>
      </x:c>
      <x:c r="H1341" s="21" t="n">
        <x:f>'Controls'!$B$16</x:f>
        <x:v>0.3</x:v>
      </x:c>
      <x:c r="I1341" s="21" t="n">
        <x:f>'Controls'!$B$17-'Controls'!$B$13</x:f>
        <x:v>0.38</x:v>
      </x:c>
      <x:c r="J1341" s="21" t="n">
        <x:v>1</x:v>
      </x:c>
      <x:c r="K1341" s="21" t="n">
        <x:f>F1341*G1341*H1341*I1341*J1341</x:f>
        <x:v>15.675</x:v>
      </x:c>
      <x:c r="L1341" s="2" t="str">
        <x:v>Clear spans between column faces; no joint overlap</x:v>
      </x:c>
      <x:c r="M1341" s="2"/>
      <x:c r="N1341" s="2"/>
      <x:c r="O1341" s="2"/>
      <x:c r="P1341" s="2"/>
      <x:c r="Q1341" s="2"/>
    </x:row>
    <x:row r="1342" ht="22" customHeight="1">
      <x:c r="A1342" s="7" t="str">
        <x:v>M1335</x:v>
      </x:c>
      <x:c r="B1342" s="7" t="str">
        <x:v>FW02</x:v>
      </x:c>
      <x:c r="C1342" s="7" t="str">
        <x:v>T5</x:v>
      </x:c>
      <x:c r="D1342" s="7" t="str">
        <x:v>L05</x:v>
      </x:c>
      <x:c r="E1342" s="7" t="str">
        <x:v>Beam forms X</x:v>
      </x:c>
      <x:c r="F1342" s="20" t="n">
        <x:v>1</x:v>
      </x:c>
      <x:c r="G1342" s="20" t="n">
        <x:f>5*5*('Controls'!$B$10/5-'Controls'!$B$14)</x:f>
        <x:v>137.5</x:v>
      </x:c>
      <x:c r="H1342" s="20" t="n">
        <x:f>'Controls'!$B$16+2*('Controls'!$B$17-'Controls'!$B$13)</x:f>
        <x:v>1.06</x:v>
      </x:c>
      <x:c r="I1342" s="20" t="n">
        <x:v>1</x:v>
      </x:c>
      <x:c r="J1342" s="20" t="n">
        <x:v>1</x:v>
      </x:c>
      <x:c r="K1342" s="20" t="n">
        <x:f>F1342*G1342*H1342*I1342*J1342</x:f>
        <x:v>145.75</x:v>
      </x:c>
      <x:c r="L1342" s="7" t="str">
        <x:v>Soffit plus two downstand sides</x:v>
      </x:c>
      <x:c r="M1342" s="2"/>
      <x:c r="N1342" s="2"/>
      <x:c r="O1342" s="2"/>
      <x:c r="P1342" s="2"/>
      <x:c r="Q1342" s="2"/>
    </x:row>
    <x:row r="1343" ht="22" customHeight="1">
      <x:c r="A1343" s="2" t="str">
        <x:v>M1336</x:v>
      </x:c>
      <x:c r="B1343" s="2" t="str">
        <x:v>RC04</x:v>
      </x:c>
      <x:c r="C1343" s="2" t="str">
        <x:v>T5</x:v>
      </x:c>
      <x:c r="D1343" s="2" t="str">
        <x:v>L05</x:v>
      </x:c>
      <x:c r="E1343" s="2" t="str">
        <x:v>Beam downstands Y</x:v>
      </x:c>
      <x:c r="F1343" s="21" t="n">
        <x:v>1</x:v>
      </x:c>
      <x:c r="G1343" s="21" t="n">
        <x:f>6*4*('Controls'!$B$11/4-'Controls'!$B$15)</x:f>
        <x:v>132</x:v>
      </x:c>
      <x:c r="H1343" s="21" t="n">
        <x:f>'Controls'!$B$16</x:f>
        <x:v>0.3</x:v>
      </x:c>
      <x:c r="I1343" s="21" t="n">
        <x:f>'Controls'!$B$17-'Controls'!$B$13</x:f>
        <x:v>0.38</x:v>
      </x:c>
      <x:c r="J1343" s="21" t="n">
        <x:v>1</x:v>
      </x:c>
      <x:c r="K1343" s="21" t="n">
        <x:f>F1343*G1343*H1343*I1343*J1343</x:f>
        <x:v>15.048</x:v>
      </x:c>
      <x:c r="L1343" s="2" t="str">
        <x:v>Clear spans between column faces; no joint overlap</x:v>
      </x:c>
      <x:c r="M1343" s="2"/>
      <x:c r="N1343" s="2"/>
      <x:c r="O1343" s="2"/>
      <x:c r="P1343" s="2"/>
      <x:c r="Q1343" s="2"/>
    </x:row>
    <x:row r="1344" ht="22" customHeight="1">
      <x:c r="A1344" s="7" t="str">
        <x:v>M1337</x:v>
      </x:c>
      <x:c r="B1344" s="7" t="str">
        <x:v>FW02</x:v>
      </x:c>
      <x:c r="C1344" s="7" t="str">
        <x:v>T5</x:v>
      </x:c>
      <x:c r="D1344" s="7" t="str">
        <x:v>L05</x:v>
      </x:c>
      <x:c r="E1344" s="7" t="str">
        <x:v>Beam forms Y</x:v>
      </x:c>
      <x:c r="F1344" s="20" t="n">
        <x:v>1</x:v>
      </x:c>
      <x:c r="G1344" s="20" t="n">
        <x:f>6*4*('Controls'!$B$11/4-'Controls'!$B$15)</x:f>
        <x:v>132</x:v>
      </x:c>
      <x:c r="H1344" s="20" t="n">
        <x:f>'Controls'!$B$16+2*('Controls'!$B$17-'Controls'!$B$13)</x:f>
        <x:v>1.06</x:v>
      </x:c>
      <x:c r="I1344" s="20" t="n">
        <x:v>1</x:v>
      </x:c>
      <x:c r="J1344" s="20" t="n">
        <x:v>1</x:v>
      </x:c>
      <x:c r="K1344" s="20" t="n">
        <x:f>F1344*G1344*H1344*I1344*J1344</x:f>
        <x:v>139.92000000000002</x:v>
      </x:c>
      <x:c r="L1344" s="7" t="str">
        <x:v>Soffit plus two downstand sides</x:v>
      </x:c>
      <x:c r="M1344" s="2"/>
      <x:c r="N1344" s="2"/>
      <x:c r="O1344" s="2"/>
      <x:c r="P1344" s="2"/>
      <x:c r="Q1344" s="2"/>
    </x:row>
    <x:row r="1345" ht="22" customHeight="1">
      <x:c r="A1345" s="2" t="str">
        <x:v>M1338</x:v>
      </x:c>
      <x:c r="B1345" s="2" t="str">
        <x:v>RC05</x:v>
      </x:c>
      <x:c r="C1345" s="2" t="str">
        <x:v>T5</x:v>
      </x:c>
      <x:c r="D1345" s="2" t="str">
        <x:v>L05</x:v>
      </x:c>
      <x:c r="E1345" s="2" t="str">
        <x:v>Thirty columns, clear storey</x:v>
      </x:c>
      <x:c r="F1345" s="21" t="n">
        <x:v>30</x:v>
      </x:c>
      <x:c r="G1345" s="21" t="n">
        <x:f>'Controls'!$B$14</x:f>
        <x:v>0.5</x:v>
      </x:c>
      <x:c r="H1345" s="21" t="n">
        <x:f>'Controls'!$B$15</x:f>
        <x:v>0.5</x:v>
      </x:c>
      <x:c r="I1345" s="21" t="n">
        <x:f>'Controls'!$B$12-'Controls'!$B$13</x:f>
        <x:v>2.98</x:v>
      </x:c>
      <x:c r="J1345" s="21" t="n">
        <x:v>1</x:v>
      </x:c>
      <x:c r="K1345" s="21" t="n">
        <x:f>F1345*G1345*H1345*I1345*J1345</x:f>
        <x:v>22.35</x:v>
      </x:c>
      <x:c r="L1345" s="2" t="str">
        <x:v>Slab volume excluded from columns</x:v>
      </x:c>
      <x:c r="M1345" s="2"/>
      <x:c r="N1345" s="2"/>
      <x:c r="O1345" s="2"/>
      <x:c r="P1345" s="2"/>
      <x:c r="Q1345" s="2"/>
    </x:row>
    <x:row r="1346" ht="22" customHeight="1">
      <x:c r="A1346" s="7" t="str">
        <x:v>M1339</x:v>
      </x:c>
      <x:c r="B1346" s="7" t="str">
        <x:v>RC06</x:v>
      </x:c>
      <x:c r="C1346" s="7" t="str">
        <x:v>T5</x:v>
      </x:c>
      <x:c r="D1346" s="7" t="str">
        <x:v>L05</x:v>
      </x:c>
      <x:c r="E1346" s="7" t="str">
        <x:v>Core walls clear storey</x:v>
      </x:c>
      <x:c r="F1346" s="20" t="n">
        <x:v>1</x:v>
      </x:c>
      <x:c r="G1346" s="20" t="n">
        <x:f>'Controls'!$B$19</x:f>
        <x:v>24</x:v>
      </x:c>
      <x:c r="H1346" s="20" t="n">
        <x:f>'Controls'!$B$18</x:f>
        <x:v>0.25</x:v>
      </x:c>
      <x:c r="I1346" s="20" t="n">
        <x:f>'Controls'!$B$12-'Controls'!$B$13</x:f>
        <x:v>2.98</x:v>
      </x:c>
      <x:c r="J1346" s="20" t="n">
        <x:v>1</x:v>
      </x:c>
      <x:c r="K1346" s="20" t="n">
        <x:f>F1346*G1346*H1346*I1346*J1346</x:f>
        <x:v>17.88</x:v>
      </x:c>
      <x:c r="L1346" s="7" t="str">
        <x:v>Net clear wall length excludes corners</x:v>
      </x:c>
      <x:c r="M1346" s="2"/>
      <x:c r="N1346" s="2"/>
      <x:c r="O1346" s="2"/>
      <x:c r="P1346" s="2"/>
      <x:c r="Q1346" s="2"/>
    </x:row>
    <x:row r="1347" ht="22" customHeight="1">
      <x:c r="A1347" s="2" t="str">
        <x:v>M1340</x:v>
      </x:c>
      <x:c r="B1347" s="2" t="str">
        <x:v>RC07</x:v>
      </x:c>
      <x:c r="C1347" s="2" t="str">
        <x:v>T5</x:v>
      </x:c>
      <x:c r="D1347" s="2" t="str">
        <x:v>L05</x:v>
      </x:c>
      <x:c r="E1347" s="2" t="str">
        <x:v>Stair flights waist</x:v>
      </x:c>
      <x:c r="F1347" s="21" t="n">
        <x:v>2</x:v>
      </x:c>
      <x:c r="G1347" s="21" t="n">
        <x:v>4.1</x:v>
      </x:c>
      <x:c r="H1347" s="21" t="n">
        <x:v>1.2</x:v>
      </x:c>
      <x:c r="I1347" s="21" t="n">
        <x:v>0.18</x:v>
      </x:c>
      <x:c r="J1347" s="21" t="n">
        <x:v>1</x:v>
      </x:c>
      <x:c r="K1347" s="21" t="n">
        <x:f>F1347*G1347*H1347*I1347*J1347</x:f>
        <x:v>1.7711999999999997</x:v>
      </x:c>
      <x:c r="L1347" s="2" t="str">
        <x:v>Two flights; geometry separate from floor slab</x:v>
      </x:c>
      <x:c r="M1347" s="2"/>
      <x:c r="N1347" s="2"/>
      <x:c r="O1347" s="2"/>
      <x:c r="P1347" s="2"/>
      <x:c r="Q1347" s="2"/>
    </x:row>
    <x:row r="1348" ht="22" customHeight="1">
      <x:c r="A1348" s="7" t="str">
        <x:v>M1341</x:v>
      </x:c>
      <x:c r="B1348" s="7" t="str">
        <x:v>RC07</x:v>
      </x:c>
      <x:c r="C1348" s="7" t="str">
        <x:v>T5</x:v>
      </x:c>
      <x:c r="D1348" s="7" t="str">
        <x:v>L05</x:v>
      </x:c>
      <x:c r="E1348" s="7" t="str">
        <x:v>Stair landings</x:v>
      </x:c>
      <x:c r="F1348" s="20" t="n">
        <x:v>2</x:v>
      </x:c>
      <x:c r="G1348" s="20" t="n">
        <x:v>2</x:v>
      </x:c>
      <x:c r="H1348" s="20" t="n">
        <x:v>1.2</x:v>
      </x:c>
      <x:c r="I1348" s="20" t="n">
        <x:v>0.18</x:v>
      </x:c>
      <x:c r="J1348" s="20" t="n">
        <x:v>1</x:v>
      </x:c>
      <x:c r="K1348" s="20" t="n">
        <x:f>F1348*G1348*H1348*I1348*J1348</x:f>
        <x:v>0.864</x:v>
      </x:c>
      <x:c r="L1348" s="7" t="str">
        <x:v>Within stair opening</x:v>
      </x:c>
      <x:c r="M1348" s="2"/>
      <x:c r="N1348" s="2"/>
      <x:c r="O1348" s="2"/>
      <x:c r="P1348" s="2"/>
      <x:c r="Q1348" s="2"/>
    </x:row>
    <x:row r="1349" ht="22" customHeight="1">
      <x:c r="A1349" s="2" t="str">
        <x:v>M1342</x:v>
      </x:c>
      <x:c r="B1349" s="2" t="str">
        <x:v>FW01</x:v>
      </x:c>
      <x:c r="C1349" s="2" t="str">
        <x:v>T5</x:v>
      </x:c>
      <x:c r="D1349" s="2" t="str">
        <x:v>L05</x:v>
      </x:c>
      <x:c r="E1349" s="2" t="str">
        <x:v>Slab soffit gross</x:v>
      </x:c>
      <x:c r="F1349" s="21" t="n">
        <x:v>1</x:v>
      </x:c>
      <x:c r="G1349" s="21" t="n">
        <x:f>'Controls'!$B$10</x:f>
        <x:v>30</x:v>
      </x:c>
      <x:c r="H1349" s="21" t="n">
        <x:f>'Controls'!$B$11</x:f>
        <x:v>24</x:v>
      </x:c>
      <x:c r="I1349" s="21" t="n">
        <x:v>1</x:v>
      </x:c>
      <x:c r="J1349" s="21" t="n">
        <x:v>1</x:v>
      </x:c>
      <x:c r="K1349" s="21" t="n">
        <x:f>F1349*G1349*H1349*I1349*J1349</x:f>
        <x:v>720</x:v>
      </x:c>
      <x:c r="L1349" s="2" t="str">
        <x:v>Beam soffit deducted below</x:v>
      </x:c>
      <x:c r="M1349" s="2"/>
      <x:c r="N1349" s="2"/>
      <x:c r="O1349" s="2"/>
      <x:c r="P1349" s="2"/>
      <x:c r="Q1349" s="2"/>
    </x:row>
    <x:row r="1350" ht="22" customHeight="1">
      <x:c r="A1350" s="7" t="str">
        <x:v>M1343</x:v>
      </x:c>
      <x:c r="B1350" s="7" t="str">
        <x:v>FW01</x:v>
      </x:c>
      <x:c r="C1350" s="7" t="str">
        <x:v>T5</x:v>
      </x:c>
      <x:c r="D1350" s="7" t="str">
        <x:v>L05</x:v>
      </x:c>
      <x:c r="E1350" s="7" t="str">
        <x:v>Stair opening deduction</x:v>
      </x:c>
      <x:c r="F1350" s="20" t="n">
        <x:v>1</x:v>
      </x:c>
      <x:c r="G1350" s="20" t="n">
        <x:f>'Controls'!$B$20</x:f>
        <x:v>4</x:v>
      </x:c>
      <x:c r="H1350" s="20" t="n">
        <x:f>'Controls'!$B$21</x:f>
        <x:v>6</x:v>
      </x:c>
      <x:c r="I1350" s="20" t="n">
        <x:v>1</x:v>
      </x:c>
      <x:c r="J1350" s="20" t="n">
        <x:v>-1</x:v>
      </x:c>
      <x:c r="K1350" s="20" t="n">
        <x:f>F1350*G1350*H1350*I1350*J1350</x:f>
        <x:v>-24</x:v>
      </x:c>
      <x:c r="L1350" s="7" t="str">
        <x:v>OP-01</x:v>
      </x:c>
      <x:c r="M1350" s="2"/>
      <x:c r="N1350" s="2"/>
      <x:c r="O1350" s="2"/>
      <x:c r="P1350" s="2"/>
      <x:c r="Q1350" s="2"/>
    </x:row>
    <x:row r="1351" ht="22" customHeight="1">
      <x:c r="A1351" s="2" t="str">
        <x:v>M1344</x:v>
      </x:c>
      <x:c r="B1351" s="2" t="str">
        <x:v>FW01</x:v>
      </x:c>
      <x:c r="C1351" s="2" t="str">
        <x:v>T5</x:v>
      </x:c>
      <x:c r="D1351" s="2" t="str">
        <x:v>L05</x:v>
      </x:c>
      <x:c r="E1351" s="2" t="str">
        <x:v>Beam soffit deduction</x:v>
      </x:c>
      <x:c r="F1351" s="21" t="n">
        <x:v>1</x:v>
      </x:c>
      <x:c r="G1351" s="21" t="n">
        <x:f>5*5*('Controls'!$B$10/5-'Controls'!$B$14)+6*4*('Controls'!$B$11/4-'Controls'!$B$15)</x:f>
        <x:v>269.5</x:v>
      </x:c>
      <x:c r="H1351" s="21" t="n">
        <x:f>'Controls'!$B$16</x:f>
        <x:v>0.3</x:v>
      </x:c>
      <x:c r="I1351" s="21" t="n">
        <x:v>1</x:v>
      </x:c>
      <x:c r="J1351" s="21" t="n">
        <x:v>-1</x:v>
      </x:c>
      <x:c r="K1351" s="21" t="n">
        <x:f>F1351*G1351*H1351*I1351*J1351</x:f>
        <x:v>-80.85</x:v>
      </x:c>
      <x:c r="L1351" s="2" t="str">
        <x:v>Beam forms measured in FW02</x:v>
      </x:c>
      <x:c r="M1351" s="2"/>
      <x:c r="N1351" s="2"/>
      <x:c r="O1351" s="2"/>
      <x:c r="P1351" s="2"/>
      <x:c r="Q1351" s="2"/>
    </x:row>
    <x:row r="1352" ht="22" customHeight="1">
      <x:c r="A1352" s="7" t="str">
        <x:v>M1345</x:v>
      </x:c>
      <x:c r="B1352" s="7" t="str">
        <x:v>FW03</x:v>
      </x:c>
      <x:c r="C1352" s="7" t="str">
        <x:v>T5</x:v>
      </x:c>
      <x:c r="D1352" s="7" t="str">
        <x:v>L05</x:v>
      </x:c>
      <x:c r="E1352" s="7" t="str">
        <x:v>Column four faces</x:v>
      </x:c>
      <x:c r="F1352" s="20" t="n">
        <x:v>30</x:v>
      </x:c>
      <x:c r="G1352" s="20" t="n">
        <x:f>2*('Controls'!$B$14+'Controls'!$B$15)</x:f>
        <x:v>2</x:v>
      </x:c>
      <x:c r="H1352" s="20" t="n">
        <x:f>'Controls'!$B$12-'Controls'!$B$13</x:f>
        <x:v>2.98</x:v>
      </x:c>
      <x:c r="I1352" s="20" t="n">
        <x:v>1</x:v>
      </x:c>
      <x:c r="J1352" s="20" t="n">
        <x:v>1</x:v>
      </x:c>
      <x:c r="K1352" s="20" t="n">
        <x:f>F1352*G1352*H1352*I1352*J1352</x:f>
        <x:v>178.8</x:v>
      </x:c>
      <x:c r="L1352" s="7" t="str">
        <x:v>Clear floor-to-soffit</x:v>
      </x:c>
      <x:c r="M1352" s="2"/>
      <x:c r="N1352" s="2"/>
      <x:c r="O1352" s="2"/>
      <x:c r="P1352" s="2"/>
      <x:c r="Q1352" s="2"/>
    </x:row>
    <x:row r="1353" ht="22" customHeight="1">
      <x:c r="A1353" s="2" t="str">
        <x:v>M1346</x:v>
      </x:c>
      <x:c r="B1353" s="2" t="str">
        <x:v>FW04</x:v>
      </x:c>
      <x:c r="C1353" s="2" t="str">
        <x:v>T5</x:v>
      </x:c>
      <x:c r="D1353" s="2" t="str">
        <x:v>L05</x:v>
      </x:c>
      <x:c r="E1353" s="2" t="str">
        <x:v>Core wall two faces</x:v>
      </x:c>
      <x:c r="F1353" s="21" t="n">
        <x:v>2</x:v>
      </x:c>
      <x:c r="G1353" s="21" t="n">
        <x:f>'Controls'!$B$19</x:f>
        <x:v>24</x:v>
      </x:c>
      <x:c r="H1353" s="21" t="n">
        <x:f>'Controls'!$B$12-'Controls'!$B$13</x:f>
        <x:v>2.98</x:v>
      </x:c>
      <x:c r="I1353" s="21" t="n">
        <x:v>1</x:v>
      </x:c>
      <x:c r="J1353" s="21" t="n">
        <x:v>1</x:v>
      </x:c>
      <x:c r="K1353" s="21" t="n">
        <x:f>F1353*G1353*H1353*I1353*J1353</x:f>
        <x:v>143.04</x:v>
      </x:c>
      <x:c r="L1353" s="2" t="str">
        <x:v>Net perimeter, no repeated corners</x:v>
      </x:c>
      <x:c r="M1353" s="2"/>
      <x:c r="N1353" s="2"/>
      <x:c r="O1353" s="2"/>
      <x:c r="P1353" s="2"/>
      <x:c r="Q1353" s="2"/>
    </x:row>
    <x:row r="1354" ht="22" customHeight="1">
      <x:c r="A1354" s="7" t="str">
        <x:v>M1347</x:v>
      </x:c>
      <x:c r="B1354" s="7" t="str">
        <x:v>AR01</x:v>
      </x:c>
      <x:c r="C1354" s="7" t="str">
        <x:v>T5</x:v>
      </x:c>
      <x:c r="D1354" s="7" t="str">
        <x:v>L05</x:v>
      </x:c>
      <x:c r="E1354" s="7" t="str">
        <x:v>Partition walls gross</x:v>
      </x:c>
      <x:c r="F1354" s="20" t="n">
        <x:v>1</x:v>
      </x:c>
      <x:c r="G1354" s="20" t="n">
        <x:f>'Controls'!$B$45</x:f>
        <x:v>220</x:v>
      </x:c>
      <x:c r="H1354" s="20" t="n">
        <x:f>'Controls'!$B$12-'Controls'!$B$13</x:f>
        <x:v>2.98</x:v>
      </x:c>
      <x:c r="I1354" s="20" t="n">
        <x:f>'Controls'!$B$46</x:f>
        <x:v>0.15</x:v>
      </x:c>
      <x:c r="J1354" s="20" t="n">
        <x:v>1</x:v>
      </x:c>
      <x:c r="K1354" s="20" t="n">
        <x:f>F1354*G1354*H1354*I1354*J1354</x:f>
        <x:v>98.34</x:v>
      </x:c>
      <x:c r="L1354" s="7" t="str">
        <x:v>Net openings deducted below</x:v>
      </x:c>
      <x:c r="M1354" s="2"/>
      <x:c r="N1354" s="2"/>
      <x:c r="O1354" s="2"/>
      <x:c r="P1354" s="2"/>
      <x:c r="Q1354" s="2"/>
    </x:row>
    <x:row r="1355" ht="22" customHeight="1">
      <x:c r="A1355" s="2" t="str">
        <x:v>M1348</x:v>
      </x:c>
      <x:c r="B1355" s="2" t="str">
        <x:v>AR01</x:v>
      </x:c>
      <x:c r="C1355" s="2" t="str">
        <x:v>T5</x:v>
      </x:c>
      <x:c r="D1355" s="2" t="str">
        <x:v>L05</x:v>
      </x:c>
      <x:c r="E1355" s="2" t="str">
        <x:v>Internal doors deduction</x:v>
      </x:c>
      <x:c r="F1355" s="21" t="n">
        <x:f>'Controls'!$B$48</x:f>
        <x:v>28</x:v>
      </x:c>
      <x:c r="G1355" s="21" t="n">
        <x:f>'Controls'!$B$49</x:f>
        <x:v>0.9</x:v>
      </x:c>
      <x:c r="H1355" s="21" t="n">
        <x:f>'Controls'!$B$50</x:f>
        <x:v>2.1</x:v>
      </x:c>
      <x:c r="I1355" s="21" t="n">
        <x:f>'Controls'!$B$46</x:f>
        <x:v>0.15</x:v>
      </x:c>
      <x:c r="J1355" s="21" t="n">
        <x:v>-1</x:v>
      </x:c>
      <x:c r="K1355" s="21" t="n">
        <x:f>F1355*G1355*H1355*I1355*J1355</x:f>
        <x:v>-7.938</x:v>
      </x:c>
      <x:c r="L1355" s="2" t="str">
        <x:v>28 doors per floor, OP-02</x:v>
      </x:c>
      <x:c r="M1355" s="2"/>
      <x:c r="N1355" s="2"/>
      <x:c r="O1355" s="2"/>
      <x:c r="P1355" s="2"/>
      <x:c r="Q1355" s="2"/>
    </x:row>
    <x:row r="1356" ht="22" customHeight="1">
      <x:c r="A1356" s="7" t="str">
        <x:v>M1349</x:v>
      </x:c>
      <x:c r="B1356" s="7" t="str">
        <x:v>AR02</x:v>
      </x:c>
      <x:c r="C1356" s="7" t="str">
        <x:v>T5</x:v>
      </x:c>
      <x:c r="D1356" s="7" t="str">
        <x:v>L05</x:v>
      </x:c>
      <x:c r="E1356" s="7" t="str">
        <x:v>Internal plaster gross</x:v>
      </x:c>
      <x:c r="F1356" s="20" t="n">
        <x:v>2</x:v>
      </x:c>
      <x:c r="G1356" s="20" t="n">
        <x:f>'Controls'!$B$45</x:f>
        <x:v>220</x:v>
      </x:c>
      <x:c r="H1356" s="20" t="n">
        <x:f>'Controls'!$B$12-'Controls'!$B$13</x:f>
        <x:v>2.98</x:v>
      </x:c>
      <x:c r="I1356" s="20" t="n">
        <x:v>1</x:v>
      </x:c>
      <x:c r="J1356" s="20" t="n">
        <x:v>1</x:v>
      </x:c>
      <x:c r="K1356" s="20" t="n">
        <x:f>F1356*G1356*H1356*I1356*J1356</x:f>
        <x:v>1311.2</x:v>
      </x:c>
      <x:c r="L1356" s="7" t="str">
        <x:v>Both faces of partition walls</x:v>
      </x:c>
      <x:c r="M1356" s="2"/>
      <x:c r="N1356" s="2"/>
      <x:c r="O1356" s="2"/>
      <x:c r="P1356" s="2"/>
      <x:c r="Q1356" s="2"/>
    </x:row>
    <x:row r="1357" ht="22" customHeight="1">
      <x:c r="A1357" s="2" t="str">
        <x:v>M1350</x:v>
      </x:c>
      <x:c r="B1357" s="2" t="str">
        <x:v>AR02</x:v>
      </x:c>
      <x:c r="C1357" s="2" t="str">
        <x:v>T5</x:v>
      </x:c>
      <x:c r="D1357" s="2" t="str">
        <x:v>L05</x:v>
      </x:c>
      <x:c r="E1357" s="2" t="str">
        <x:v>Door area deduction both faces</x:v>
      </x:c>
      <x:c r="F1357" s="21" t="n">
        <x:f>2*'Controls'!$B$48</x:f>
        <x:v>56</x:v>
      </x:c>
      <x:c r="G1357" s="21" t="n">
        <x:f>'Controls'!$B$49</x:f>
        <x:v>0.9</x:v>
      </x:c>
      <x:c r="H1357" s="21" t="n">
        <x:f>'Controls'!$B$50</x:f>
        <x:v>2.1</x:v>
      </x:c>
      <x:c r="I1357" s="21" t="n">
        <x:v>1</x:v>
      </x:c>
      <x:c r="J1357" s="21" t="n">
        <x:v>-1</x:v>
      </x:c>
      <x:c r="K1357" s="21" t="n">
        <x:f>F1357*G1357*H1357*I1357*J1357</x:f>
        <x:v>-105.84</x:v>
      </x:c>
      <x:c r="L1357" s="2" t="str">
        <x:v>No plaster over openings</x:v>
      </x:c>
      <x:c r="M1357" s="2"/>
      <x:c r="N1357" s="2"/>
      <x:c r="O1357" s="2"/>
      <x:c r="P1357" s="2"/>
      <x:c r="Q1357" s="2"/>
    </x:row>
    <x:row r="1358" ht="22" customHeight="1">
      <x:c r="A1358" s="7" t="str">
        <x:v>M1351</x:v>
      </x:c>
      <x:c r="B1358" s="7" t="str">
        <x:v>AR03</x:v>
      </x:c>
      <x:c r="C1358" s="7" t="str">
        <x:v>T5</x:v>
      </x:c>
      <x:c r="D1358" s="7" t="str">
        <x:v>L05</x:v>
      </x:c>
      <x:c r="E1358" s="7" t="str">
        <x:v>Floor screed net</x:v>
      </x:c>
      <x:c r="F1358" s="20" t="n">
        <x:v>1</x:v>
      </x:c>
      <x:c r="G1358" s="20" t="n">
        <x:f>'Controls'!$B$10*'Controls'!$B$11-'Controls'!$B$20*'Controls'!$B$21</x:f>
        <x:v>696</x:v>
      </x:c>
      <x:c r="H1358" s="20" t="n">
        <x:v>1</x:v>
      </x:c>
      <x:c r="I1358" s="20" t="n">
        <x:v>1</x:v>
      </x:c>
      <x:c r="J1358" s="20" t="n">
        <x:v>1</x:v>
      </x:c>
      <x:c r="K1358" s="20" t="n">
        <x:f>F1358*G1358*H1358*I1358*J1358</x:f>
        <x:v>696</x:v>
      </x:c>
      <x:c r="L1358" s="7" t="str">
        <x:v>Net structural floor area</x:v>
      </x:c>
      <x:c r="M1358" s="2"/>
      <x:c r="N1358" s="2"/>
      <x:c r="O1358" s="2"/>
      <x:c r="P1358" s="2"/>
      <x:c r="Q1358" s="2"/>
    </x:row>
    <x:row r="1359" ht="22" customHeight="1">
      <x:c r="A1359" s="2" t="str">
        <x:v>M1352</x:v>
      </x:c>
      <x:c r="B1359" s="2" t="str">
        <x:v>AR04</x:v>
      </x:c>
      <x:c r="C1359" s="2" t="str">
        <x:v>T5</x:v>
      </x:c>
      <x:c r="D1359" s="2" t="str">
        <x:v>L05</x:v>
      </x:c>
      <x:c r="E1359" s="2" t="str">
        <x:v>Floor finish net</x:v>
      </x:c>
      <x:c r="F1359" s="21" t="n">
        <x:v>1</x:v>
      </x:c>
      <x:c r="G1359" s="21" t="n">
        <x:f>'Controls'!$B$10*'Controls'!$B$11-'Controls'!$B$20*'Controls'!$B$21</x:f>
        <x:v>696</x:v>
      </x:c>
      <x:c r="H1359" s="21" t="n">
        <x:v>1</x:v>
      </x:c>
      <x:c r="I1359" s="21" t="n">
        <x:v>1</x:v>
      </x:c>
      <x:c r="J1359" s="21" t="n">
        <x:v>1</x:v>
      </x:c>
      <x:c r="K1359" s="21" t="n">
        <x:f>F1359*G1359*H1359*I1359*J1359</x:f>
        <x:v>696</x:v>
      </x:c>
      <x:c r="L1359" s="2" t="str">
        <x:v>Waste excluded from BOQ</x:v>
      </x:c>
      <x:c r="M1359" s="2"/>
      <x:c r="N1359" s="2"/>
      <x:c r="O1359" s="2"/>
      <x:c r="P1359" s="2"/>
      <x:c r="Q1359" s="2"/>
    </x:row>
    <x:row r="1360" ht="22" customHeight="1">
      <x:c r="A1360" s="7" t="str">
        <x:v>M1353</x:v>
      </x:c>
      <x:c r="B1360" s="7" t="str">
        <x:v>AR05</x:v>
      </x:c>
      <x:c r="C1360" s="7" t="str">
        <x:v>T5</x:v>
      </x:c>
      <x:c r="D1360" s="7" t="str">
        <x:v>L05</x:v>
      </x:c>
      <x:c r="E1360" s="7" t="str">
        <x:v>Internal wall paint net</x:v>
      </x:c>
      <x:c r="F1360" s="20" t="n">
        <x:v>2</x:v>
      </x:c>
      <x:c r="G1360" s="20" t="n">
        <x:f>'Controls'!$B$45*('Controls'!$B$12-'Controls'!$B$13)-'Controls'!$B$48*'Controls'!$B$49*'Controls'!$B$50</x:f>
        <x:v>602.6800000000001</x:v>
      </x:c>
      <x:c r="H1360" s="20" t="n">
        <x:v>1</x:v>
      </x:c>
      <x:c r="I1360" s="20" t="n">
        <x:v>1</x:v>
      </x:c>
      <x:c r="J1360" s="20" t="n">
        <x:v>1</x:v>
      </x:c>
      <x:c r="K1360" s="20" t="n">
        <x:f>F1360*G1360*H1360*I1360*J1360</x:f>
        <x:v>1205.3600000000001</x:v>
      </x:c>
      <x:c r="L1360" s="7" t="str">
        <x:v>Finished area; two coats priced in rate</x:v>
      </x:c>
      <x:c r="M1360" s="2"/>
      <x:c r="N1360" s="2"/>
      <x:c r="O1360" s="2"/>
      <x:c r="P1360" s="2"/>
      <x:c r="Q1360" s="2"/>
    </x:row>
    <x:row r="1361" ht="22" customHeight="1">
      <x:c r="A1361" s="2" t="str">
        <x:v>M1354</x:v>
      </x:c>
      <x:c r="B1361" s="2" t="str">
        <x:v>AR06</x:v>
      </x:c>
      <x:c r="C1361" s="2" t="str">
        <x:v>T5</x:v>
      </x:c>
      <x:c r="D1361" s="2" t="str">
        <x:v>L05</x:v>
      </x:c>
      <x:c r="E1361" s="2" t="str">
        <x:v>Door sets</x:v>
      </x:c>
      <x:c r="F1361" s="21" t="n">
        <x:f>'Controls'!$B$48</x:f>
        <x:v>28</x:v>
      </x:c>
      <x:c r="G1361" s="21" t="n">
        <x:v>1</x:v>
      </x:c>
      <x:c r="H1361" s="21" t="n">
        <x:v>1</x:v>
      </x:c>
      <x:c r="I1361" s="21" t="n">
        <x:v>1</x:v>
      </x:c>
      <x:c r="J1361" s="21" t="n">
        <x:v>1</x:v>
      </x:c>
      <x:c r="K1361" s="21" t="n">
        <x:f>F1361*G1361*H1361*I1361*J1361</x:f>
        <x:v>28</x:v>
      </x:c>
      <x:c r="L1361" s="2" t="str">
        <x:v>Door count, not double face</x:v>
      </x:c>
      <x:c r="M1361" s="2"/>
      <x:c r="N1361" s="2"/>
      <x:c r="O1361" s="2"/>
      <x:c r="P1361" s="2"/>
      <x:c r="Q1361" s="2"/>
    </x:row>
    <x:row r="1362" ht="22" customHeight="1">
      <x:c r="A1362" s="7" t="str">
        <x:v>M1355</x:v>
      </x:c>
      <x:c r="B1362" s="7" t="str">
        <x:v>RC03</x:v>
      </x:c>
      <x:c r="C1362" s="7" t="str">
        <x:v>T5</x:v>
      </x:c>
      <x:c r="D1362" s="7" t="str">
        <x:v>L06</x:v>
      </x:c>
      <x:c r="E1362" s="7" t="str">
        <x:v>Floor slab gross</x:v>
      </x:c>
      <x:c r="F1362" s="20" t="n">
        <x:v>1</x:v>
      </x:c>
      <x:c r="G1362" s="20" t="n">
        <x:f>'Controls'!$B$10</x:f>
        <x:v>30</x:v>
      </x:c>
      <x:c r="H1362" s="20" t="n">
        <x:f>'Controls'!$B$11</x:f>
        <x:v>24</x:v>
      </x:c>
      <x:c r="I1362" s="20" t="n">
        <x:f>'Controls'!$B$13</x:f>
        <x:v>0.22</x:v>
      </x:c>
      <x:c r="J1362" s="20" t="n">
        <x:v>1</x:v>
      </x:c>
      <x:c r="K1362" s="20" t="n">
        <x:f>F1362*G1362*H1362*I1362*J1362</x:f>
        <x:v>158.4</x:v>
      </x:c>
      <x:c r="L1362" s="7" t="str">
        <x:v>Slab includes beam top flange; downstand separate</x:v>
      </x:c>
      <x:c r="M1362" s="2"/>
      <x:c r="N1362" s="2"/>
      <x:c r="O1362" s="2"/>
      <x:c r="P1362" s="2"/>
      <x:c r="Q1362" s="2"/>
    </x:row>
    <x:row r="1363" ht="22" customHeight="1">
      <x:c r="A1363" s="2" t="str">
        <x:v>M1356</x:v>
      </x:c>
      <x:c r="B1363" s="2" t="str">
        <x:v>RC03</x:v>
      </x:c>
      <x:c r="C1363" s="2" t="str">
        <x:v>T5</x:v>
      </x:c>
      <x:c r="D1363" s="2" t="str">
        <x:v>L06</x:v>
      </x:c>
      <x:c r="E1363" s="2" t="str">
        <x:v>Stair opening deduction</x:v>
      </x:c>
      <x:c r="F1363" s="21" t="n">
        <x:v>1</x:v>
      </x:c>
      <x:c r="G1363" s="21" t="n">
        <x:f>'Controls'!$B$20</x:f>
        <x:v>4</x:v>
      </x:c>
      <x:c r="H1363" s="21" t="n">
        <x:f>'Controls'!$B$21</x:f>
        <x:v>6</x:v>
      </x:c>
      <x:c r="I1363" s="21" t="n">
        <x:f>'Controls'!$B$13</x:f>
        <x:v>0.22</x:v>
      </x:c>
      <x:c r="J1363" s="21" t="n">
        <x:v>-1</x:v>
      </x:c>
      <x:c r="K1363" s="21" t="n">
        <x:f>F1363*G1363*H1363*I1363*J1363</x:f>
        <x:v>-5.28</x:v>
      </x:c>
      <x:c r="L1363" s="2" t="str">
        <x:v>Opening OP-01</x:v>
      </x:c>
      <x:c r="M1363" s="2"/>
      <x:c r="N1363" s="2"/>
      <x:c r="O1363" s="2"/>
      <x:c r="P1363" s="2"/>
      <x:c r="Q1363" s="2"/>
    </x:row>
    <x:row r="1364" ht="22" customHeight="1">
      <x:c r="A1364" s="7" t="str">
        <x:v>M1357</x:v>
      </x:c>
      <x:c r="B1364" s="7" t="str">
        <x:v>RC04</x:v>
      </x:c>
      <x:c r="C1364" s="7" t="str">
        <x:v>T5</x:v>
      </x:c>
      <x:c r="D1364" s="7" t="str">
        <x:v>L06</x:v>
      </x:c>
      <x:c r="E1364" s="7" t="str">
        <x:v>Beam downstands X</x:v>
      </x:c>
      <x:c r="F1364" s="20" t="n">
        <x:v>1</x:v>
      </x:c>
      <x:c r="G1364" s="20" t="n">
        <x:f>5*5*('Controls'!$B$10/5-'Controls'!$B$14)</x:f>
        <x:v>137.5</x:v>
      </x:c>
      <x:c r="H1364" s="20" t="n">
        <x:f>'Controls'!$B$16</x:f>
        <x:v>0.3</x:v>
      </x:c>
      <x:c r="I1364" s="20" t="n">
        <x:f>'Controls'!$B$17-'Controls'!$B$13</x:f>
        <x:v>0.38</x:v>
      </x:c>
      <x:c r="J1364" s="20" t="n">
        <x:v>1</x:v>
      </x:c>
      <x:c r="K1364" s="20" t="n">
        <x:f>F1364*G1364*H1364*I1364*J1364</x:f>
        <x:v>15.675</x:v>
      </x:c>
      <x:c r="L1364" s="7" t="str">
        <x:v>Clear spans between column faces; no joint overlap</x:v>
      </x:c>
      <x:c r="M1364" s="2"/>
      <x:c r="N1364" s="2"/>
      <x:c r="O1364" s="2"/>
      <x:c r="P1364" s="2"/>
      <x:c r="Q1364" s="2"/>
    </x:row>
    <x:row r="1365" ht="22" customHeight="1">
      <x:c r="A1365" s="2" t="str">
        <x:v>M1358</x:v>
      </x:c>
      <x:c r="B1365" s="2" t="str">
        <x:v>FW02</x:v>
      </x:c>
      <x:c r="C1365" s="2" t="str">
        <x:v>T5</x:v>
      </x:c>
      <x:c r="D1365" s="2" t="str">
        <x:v>L06</x:v>
      </x:c>
      <x:c r="E1365" s="2" t="str">
        <x:v>Beam forms X</x:v>
      </x:c>
      <x:c r="F1365" s="21" t="n">
        <x:v>1</x:v>
      </x:c>
      <x:c r="G1365" s="21" t="n">
        <x:f>5*5*('Controls'!$B$10/5-'Controls'!$B$14)</x:f>
        <x:v>137.5</x:v>
      </x:c>
      <x:c r="H1365" s="21" t="n">
        <x:f>'Controls'!$B$16+2*('Controls'!$B$17-'Controls'!$B$13)</x:f>
        <x:v>1.06</x:v>
      </x:c>
      <x:c r="I1365" s="21" t="n">
        <x:v>1</x:v>
      </x:c>
      <x:c r="J1365" s="21" t="n">
        <x:v>1</x:v>
      </x:c>
      <x:c r="K1365" s="21" t="n">
        <x:f>F1365*G1365*H1365*I1365*J1365</x:f>
        <x:v>145.75</x:v>
      </x:c>
      <x:c r="L1365" s="2" t="str">
        <x:v>Soffit plus two downstand sides</x:v>
      </x:c>
      <x:c r="M1365" s="2"/>
      <x:c r="N1365" s="2"/>
      <x:c r="O1365" s="2"/>
      <x:c r="P1365" s="2"/>
      <x:c r="Q1365" s="2"/>
    </x:row>
    <x:row r="1366" ht="22" customHeight="1">
      <x:c r="A1366" s="7" t="str">
        <x:v>M1359</x:v>
      </x:c>
      <x:c r="B1366" s="7" t="str">
        <x:v>RC04</x:v>
      </x:c>
      <x:c r="C1366" s="7" t="str">
        <x:v>T5</x:v>
      </x:c>
      <x:c r="D1366" s="7" t="str">
        <x:v>L06</x:v>
      </x:c>
      <x:c r="E1366" s="7" t="str">
        <x:v>Beam downstands Y</x:v>
      </x:c>
      <x:c r="F1366" s="20" t="n">
        <x:v>1</x:v>
      </x:c>
      <x:c r="G1366" s="20" t="n">
        <x:f>6*4*('Controls'!$B$11/4-'Controls'!$B$15)</x:f>
        <x:v>132</x:v>
      </x:c>
      <x:c r="H1366" s="20" t="n">
        <x:f>'Controls'!$B$16</x:f>
        <x:v>0.3</x:v>
      </x:c>
      <x:c r="I1366" s="20" t="n">
        <x:f>'Controls'!$B$17-'Controls'!$B$13</x:f>
        <x:v>0.38</x:v>
      </x:c>
      <x:c r="J1366" s="20" t="n">
        <x:v>1</x:v>
      </x:c>
      <x:c r="K1366" s="20" t="n">
        <x:f>F1366*G1366*H1366*I1366*J1366</x:f>
        <x:v>15.048</x:v>
      </x:c>
      <x:c r="L1366" s="7" t="str">
        <x:v>Clear spans between column faces; no joint overlap</x:v>
      </x:c>
      <x:c r="M1366" s="2"/>
      <x:c r="N1366" s="2"/>
      <x:c r="O1366" s="2"/>
      <x:c r="P1366" s="2"/>
      <x:c r="Q1366" s="2"/>
    </x:row>
    <x:row r="1367" ht="22" customHeight="1">
      <x:c r="A1367" s="2" t="str">
        <x:v>M1360</x:v>
      </x:c>
      <x:c r="B1367" s="2" t="str">
        <x:v>FW02</x:v>
      </x:c>
      <x:c r="C1367" s="2" t="str">
        <x:v>T5</x:v>
      </x:c>
      <x:c r="D1367" s="2" t="str">
        <x:v>L06</x:v>
      </x:c>
      <x:c r="E1367" s="2" t="str">
        <x:v>Beam forms Y</x:v>
      </x:c>
      <x:c r="F1367" s="21" t="n">
        <x:v>1</x:v>
      </x:c>
      <x:c r="G1367" s="21" t="n">
        <x:f>6*4*('Controls'!$B$11/4-'Controls'!$B$15)</x:f>
        <x:v>132</x:v>
      </x:c>
      <x:c r="H1367" s="21" t="n">
        <x:f>'Controls'!$B$16+2*('Controls'!$B$17-'Controls'!$B$13)</x:f>
        <x:v>1.06</x:v>
      </x:c>
      <x:c r="I1367" s="21" t="n">
        <x:v>1</x:v>
      </x:c>
      <x:c r="J1367" s="21" t="n">
        <x:v>1</x:v>
      </x:c>
      <x:c r="K1367" s="21" t="n">
        <x:f>F1367*G1367*H1367*I1367*J1367</x:f>
        <x:v>139.92000000000002</x:v>
      </x:c>
      <x:c r="L1367" s="2" t="str">
        <x:v>Soffit plus two downstand sides</x:v>
      </x:c>
      <x:c r="M1367" s="2"/>
      <x:c r="N1367" s="2"/>
      <x:c r="O1367" s="2"/>
      <x:c r="P1367" s="2"/>
      <x:c r="Q1367" s="2"/>
    </x:row>
    <x:row r="1368" ht="22" customHeight="1">
      <x:c r="A1368" s="7" t="str">
        <x:v>M1361</x:v>
      </x:c>
      <x:c r="B1368" s="7" t="str">
        <x:v>RC05</x:v>
      </x:c>
      <x:c r="C1368" s="7" t="str">
        <x:v>T5</x:v>
      </x:c>
      <x:c r="D1368" s="7" t="str">
        <x:v>L06</x:v>
      </x:c>
      <x:c r="E1368" s="7" t="str">
        <x:v>Thirty columns, clear storey</x:v>
      </x:c>
      <x:c r="F1368" s="20" t="n">
        <x:v>30</x:v>
      </x:c>
      <x:c r="G1368" s="20" t="n">
        <x:f>'Controls'!$B$14</x:f>
        <x:v>0.5</x:v>
      </x:c>
      <x:c r="H1368" s="20" t="n">
        <x:f>'Controls'!$B$15</x:f>
        <x:v>0.5</x:v>
      </x:c>
      <x:c r="I1368" s="20" t="n">
        <x:f>'Controls'!$B$12-'Controls'!$B$13</x:f>
        <x:v>2.98</x:v>
      </x:c>
      <x:c r="J1368" s="20" t="n">
        <x:v>1</x:v>
      </x:c>
      <x:c r="K1368" s="20" t="n">
        <x:f>F1368*G1368*H1368*I1368*J1368</x:f>
        <x:v>22.35</x:v>
      </x:c>
      <x:c r="L1368" s="7" t="str">
        <x:v>Slab volume excluded from columns</x:v>
      </x:c>
      <x:c r="M1368" s="2"/>
      <x:c r="N1368" s="2"/>
      <x:c r="O1368" s="2"/>
      <x:c r="P1368" s="2"/>
      <x:c r="Q1368" s="2"/>
    </x:row>
    <x:row r="1369" ht="22" customHeight="1">
      <x:c r="A1369" s="2" t="str">
        <x:v>M1362</x:v>
      </x:c>
      <x:c r="B1369" s="2" t="str">
        <x:v>RC06</x:v>
      </x:c>
      <x:c r="C1369" s="2" t="str">
        <x:v>T5</x:v>
      </x:c>
      <x:c r="D1369" s="2" t="str">
        <x:v>L06</x:v>
      </x:c>
      <x:c r="E1369" s="2" t="str">
        <x:v>Core walls clear storey</x:v>
      </x:c>
      <x:c r="F1369" s="21" t="n">
        <x:v>1</x:v>
      </x:c>
      <x:c r="G1369" s="21" t="n">
        <x:f>'Controls'!$B$19</x:f>
        <x:v>24</x:v>
      </x:c>
      <x:c r="H1369" s="21" t="n">
        <x:f>'Controls'!$B$18</x:f>
        <x:v>0.25</x:v>
      </x:c>
      <x:c r="I1369" s="21" t="n">
        <x:f>'Controls'!$B$12-'Controls'!$B$13</x:f>
        <x:v>2.98</x:v>
      </x:c>
      <x:c r="J1369" s="21" t="n">
        <x:v>1</x:v>
      </x:c>
      <x:c r="K1369" s="21" t="n">
        <x:f>F1369*G1369*H1369*I1369*J1369</x:f>
        <x:v>17.88</x:v>
      </x:c>
      <x:c r="L1369" s="2" t="str">
        <x:v>Net clear wall length excludes corners</x:v>
      </x:c>
      <x:c r="M1369" s="2"/>
      <x:c r="N1369" s="2"/>
      <x:c r="O1369" s="2"/>
      <x:c r="P1369" s="2"/>
      <x:c r="Q1369" s="2"/>
    </x:row>
    <x:row r="1370" ht="22" customHeight="1">
      <x:c r="A1370" s="7" t="str">
        <x:v>M1363</x:v>
      </x:c>
      <x:c r="B1370" s="7" t="str">
        <x:v>RC07</x:v>
      </x:c>
      <x:c r="C1370" s="7" t="str">
        <x:v>T5</x:v>
      </x:c>
      <x:c r="D1370" s="7" t="str">
        <x:v>L06</x:v>
      </x:c>
      <x:c r="E1370" s="7" t="str">
        <x:v>Stair flights waist</x:v>
      </x:c>
      <x:c r="F1370" s="20" t="n">
        <x:v>2</x:v>
      </x:c>
      <x:c r="G1370" s="20" t="n">
        <x:v>4.1</x:v>
      </x:c>
      <x:c r="H1370" s="20" t="n">
        <x:v>1.2</x:v>
      </x:c>
      <x:c r="I1370" s="20" t="n">
        <x:v>0.18</x:v>
      </x:c>
      <x:c r="J1370" s="20" t="n">
        <x:v>1</x:v>
      </x:c>
      <x:c r="K1370" s="20" t="n">
        <x:f>F1370*G1370*H1370*I1370*J1370</x:f>
        <x:v>1.7711999999999997</x:v>
      </x:c>
      <x:c r="L1370" s="7" t="str">
        <x:v>Two flights; geometry separate from floor slab</x:v>
      </x:c>
      <x:c r="M1370" s="2"/>
      <x:c r="N1370" s="2"/>
      <x:c r="O1370" s="2"/>
      <x:c r="P1370" s="2"/>
      <x:c r="Q1370" s="2"/>
    </x:row>
    <x:row r="1371" ht="22" customHeight="1">
      <x:c r="A1371" s="2" t="str">
        <x:v>M1364</x:v>
      </x:c>
      <x:c r="B1371" s="2" t="str">
        <x:v>RC07</x:v>
      </x:c>
      <x:c r="C1371" s="2" t="str">
        <x:v>T5</x:v>
      </x:c>
      <x:c r="D1371" s="2" t="str">
        <x:v>L06</x:v>
      </x:c>
      <x:c r="E1371" s="2" t="str">
        <x:v>Stair landings</x:v>
      </x:c>
      <x:c r="F1371" s="21" t="n">
        <x:v>2</x:v>
      </x:c>
      <x:c r="G1371" s="21" t="n">
        <x:v>2</x:v>
      </x:c>
      <x:c r="H1371" s="21" t="n">
        <x:v>1.2</x:v>
      </x:c>
      <x:c r="I1371" s="21" t="n">
        <x:v>0.18</x:v>
      </x:c>
      <x:c r="J1371" s="21" t="n">
        <x:v>1</x:v>
      </x:c>
      <x:c r="K1371" s="21" t="n">
        <x:f>F1371*G1371*H1371*I1371*J1371</x:f>
        <x:v>0.864</x:v>
      </x:c>
      <x:c r="L1371" s="2" t="str">
        <x:v>Within stair opening</x:v>
      </x:c>
      <x:c r="M1371" s="2"/>
      <x:c r="N1371" s="2"/>
      <x:c r="O1371" s="2"/>
      <x:c r="P1371" s="2"/>
      <x:c r="Q1371" s="2"/>
    </x:row>
    <x:row r="1372" ht="22" customHeight="1">
      <x:c r="A1372" s="7" t="str">
        <x:v>M1365</x:v>
      </x:c>
      <x:c r="B1372" s="7" t="str">
        <x:v>FW01</x:v>
      </x:c>
      <x:c r="C1372" s="7" t="str">
        <x:v>T5</x:v>
      </x:c>
      <x:c r="D1372" s="7" t="str">
        <x:v>L06</x:v>
      </x:c>
      <x:c r="E1372" s="7" t="str">
        <x:v>Slab soffit gross</x:v>
      </x:c>
      <x:c r="F1372" s="20" t="n">
        <x:v>1</x:v>
      </x:c>
      <x:c r="G1372" s="20" t="n">
        <x:f>'Controls'!$B$10</x:f>
        <x:v>30</x:v>
      </x:c>
      <x:c r="H1372" s="20" t="n">
        <x:f>'Controls'!$B$11</x:f>
        <x:v>24</x:v>
      </x:c>
      <x:c r="I1372" s="20" t="n">
        <x:v>1</x:v>
      </x:c>
      <x:c r="J1372" s="20" t="n">
        <x:v>1</x:v>
      </x:c>
      <x:c r="K1372" s="20" t="n">
        <x:f>F1372*G1372*H1372*I1372*J1372</x:f>
        <x:v>720</x:v>
      </x:c>
      <x:c r="L1372" s="7" t="str">
        <x:v>Beam soffit deducted below</x:v>
      </x:c>
      <x:c r="M1372" s="2"/>
      <x:c r="N1372" s="2"/>
      <x:c r="O1372" s="2"/>
      <x:c r="P1372" s="2"/>
      <x:c r="Q1372" s="2"/>
    </x:row>
    <x:row r="1373" ht="22" customHeight="1">
      <x:c r="A1373" s="2" t="str">
        <x:v>M1366</x:v>
      </x:c>
      <x:c r="B1373" s="2" t="str">
        <x:v>FW01</x:v>
      </x:c>
      <x:c r="C1373" s="2" t="str">
        <x:v>T5</x:v>
      </x:c>
      <x:c r="D1373" s="2" t="str">
        <x:v>L06</x:v>
      </x:c>
      <x:c r="E1373" s="2" t="str">
        <x:v>Stair opening deduction</x:v>
      </x:c>
      <x:c r="F1373" s="21" t="n">
        <x:v>1</x:v>
      </x:c>
      <x:c r="G1373" s="21" t="n">
        <x:f>'Controls'!$B$20</x:f>
        <x:v>4</x:v>
      </x:c>
      <x:c r="H1373" s="21" t="n">
        <x:f>'Controls'!$B$21</x:f>
        <x:v>6</x:v>
      </x:c>
      <x:c r="I1373" s="21" t="n">
        <x:v>1</x:v>
      </x:c>
      <x:c r="J1373" s="21" t="n">
        <x:v>-1</x:v>
      </x:c>
      <x:c r="K1373" s="21" t="n">
        <x:f>F1373*G1373*H1373*I1373*J1373</x:f>
        <x:v>-24</x:v>
      </x:c>
      <x:c r="L1373" s="2" t="str">
        <x:v>OP-01</x:v>
      </x:c>
      <x:c r="M1373" s="2"/>
      <x:c r="N1373" s="2"/>
      <x:c r="O1373" s="2"/>
      <x:c r="P1373" s="2"/>
      <x:c r="Q1373" s="2"/>
    </x:row>
    <x:row r="1374" ht="22" customHeight="1">
      <x:c r="A1374" s="7" t="str">
        <x:v>M1367</x:v>
      </x:c>
      <x:c r="B1374" s="7" t="str">
        <x:v>FW01</x:v>
      </x:c>
      <x:c r="C1374" s="7" t="str">
        <x:v>T5</x:v>
      </x:c>
      <x:c r="D1374" s="7" t="str">
        <x:v>L06</x:v>
      </x:c>
      <x:c r="E1374" s="7" t="str">
        <x:v>Beam soffit deduction</x:v>
      </x:c>
      <x:c r="F1374" s="20" t="n">
        <x:v>1</x:v>
      </x:c>
      <x:c r="G1374" s="20" t="n">
        <x:f>5*5*('Controls'!$B$10/5-'Controls'!$B$14)+6*4*('Controls'!$B$11/4-'Controls'!$B$15)</x:f>
        <x:v>269.5</x:v>
      </x:c>
      <x:c r="H1374" s="20" t="n">
        <x:f>'Controls'!$B$16</x:f>
        <x:v>0.3</x:v>
      </x:c>
      <x:c r="I1374" s="20" t="n">
        <x:v>1</x:v>
      </x:c>
      <x:c r="J1374" s="20" t="n">
        <x:v>-1</x:v>
      </x:c>
      <x:c r="K1374" s="20" t="n">
        <x:f>F1374*G1374*H1374*I1374*J1374</x:f>
        <x:v>-80.85</x:v>
      </x:c>
      <x:c r="L1374" s="7" t="str">
        <x:v>Beam forms measured in FW02</x:v>
      </x:c>
      <x:c r="M1374" s="2"/>
      <x:c r="N1374" s="2"/>
      <x:c r="O1374" s="2"/>
      <x:c r="P1374" s="2"/>
      <x:c r="Q1374" s="2"/>
    </x:row>
    <x:row r="1375" ht="22" customHeight="1">
      <x:c r="A1375" s="2" t="str">
        <x:v>M1368</x:v>
      </x:c>
      <x:c r="B1375" s="2" t="str">
        <x:v>FW03</x:v>
      </x:c>
      <x:c r="C1375" s="2" t="str">
        <x:v>T5</x:v>
      </x:c>
      <x:c r="D1375" s="2" t="str">
        <x:v>L06</x:v>
      </x:c>
      <x:c r="E1375" s="2" t="str">
        <x:v>Column four faces</x:v>
      </x:c>
      <x:c r="F1375" s="21" t="n">
        <x:v>30</x:v>
      </x:c>
      <x:c r="G1375" s="21" t="n">
        <x:f>2*('Controls'!$B$14+'Controls'!$B$15)</x:f>
        <x:v>2</x:v>
      </x:c>
      <x:c r="H1375" s="21" t="n">
        <x:f>'Controls'!$B$12-'Controls'!$B$13</x:f>
        <x:v>2.98</x:v>
      </x:c>
      <x:c r="I1375" s="21" t="n">
        <x:v>1</x:v>
      </x:c>
      <x:c r="J1375" s="21" t="n">
        <x:v>1</x:v>
      </x:c>
      <x:c r="K1375" s="21" t="n">
        <x:f>F1375*G1375*H1375*I1375*J1375</x:f>
        <x:v>178.8</x:v>
      </x:c>
      <x:c r="L1375" s="2" t="str">
        <x:v>Clear floor-to-soffit</x:v>
      </x:c>
      <x:c r="M1375" s="2"/>
      <x:c r="N1375" s="2"/>
      <x:c r="O1375" s="2"/>
      <x:c r="P1375" s="2"/>
      <x:c r="Q1375" s="2"/>
    </x:row>
    <x:row r="1376" ht="22" customHeight="1">
      <x:c r="A1376" s="7" t="str">
        <x:v>M1369</x:v>
      </x:c>
      <x:c r="B1376" s="7" t="str">
        <x:v>FW04</x:v>
      </x:c>
      <x:c r="C1376" s="7" t="str">
        <x:v>T5</x:v>
      </x:c>
      <x:c r="D1376" s="7" t="str">
        <x:v>L06</x:v>
      </x:c>
      <x:c r="E1376" s="7" t="str">
        <x:v>Core wall two faces</x:v>
      </x:c>
      <x:c r="F1376" s="20" t="n">
        <x:v>2</x:v>
      </x:c>
      <x:c r="G1376" s="20" t="n">
        <x:f>'Controls'!$B$19</x:f>
        <x:v>24</x:v>
      </x:c>
      <x:c r="H1376" s="20" t="n">
        <x:f>'Controls'!$B$12-'Controls'!$B$13</x:f>
        <x:v>2.98</x:v>
      </x:c>
      <x:c r="I1376" s="20" t="n">
        <x:v>1</x:v>
      </x:c>
      <x:c r="J1376" s="20" t="n">
        <x:v>1</x:v>
      </x:c>
      <x:c r="K1376" s="20" t="n">
        <x:f>F1376*G1376*H1376*I1376*J1376</x:f>
        <x:v>143.04</x:v>
      </x:c>
      <x:c r="L1376" s="7" t="str">
        <x:v>Net perimeter, no repeated corners</x:v>
      </x:c>
      <x:c r="M1376" s="2"/>
      <x:c r="N1376" s="2"/>
      <x:c r="O1376" s="2"/>
      <x:c r="P1376" s="2"/>
      <x:c r="Q1376" s="2"/>
    </x:row>
    <x:row r="1377" ht="22" customHeight="1">
      <x:c r="A1377" s="2" t="str">
        <x:v>M1370</x:v>
      </x:c>
      <x:c r="B1377" s="2" t="str">
        <x:v>AR01</x:v>
      </x:c>
      <x:c r="C1377" s="2" t="str">
        <x:v>T5</x:v>
      </x:c>
      <x:c r="D1377" s="2" t="str">
        <x:v>L06</x:v>
      </x:c>
      <x:c r="E1377" s="2" t="str">
        <x:v>Partition walls gross</x:v>
      </x:c>
      <x:c r="F1377" s="21" t="n">
        <x:v>1</x:v>
      </x:c>
      <x:c r="G1377" s="21" t="n">
        <x:f>'Controls'!$B$45</x:f>
        <x:v>220</x:v>
      </x:c>
      <x:c r="H1377" s="21" t="n">
        <x:f>'Controls'!$B$12-'Controls'!$B$13</x:f>
        <x:v>2.98</x:v>
      </x:c>
      <x:c r="I1377" s="21" t="n">
        <x:f>'Controls'!$B$46</x:f>
        <x:v>0.15</x:v>
      </x:c>
      <x:c r="J1377" s="21" t="n">
        <x:v>1</x:v>
      </x:c>
      <x:c r="K1377" s="21" t="n">
        <x:f>F1377*G1377*H1377*I1377*J1377</x:f>
        <x:v>98.34</x:v>
      </x:c>
      <x:c r="L1377" s="2" t="str">
        <x:v>Net openings deducted below</x:v>
      </x:c>
      <x:c r="M1377" s="2"/>
      <x:c r="N1377" s="2"/>
      <x:c r="O1377" s="2"/>
      <x:c r="P1377" s="2"/>
      <x:c r="Q1377" s="2"/>
    </x:row>
    <x:row r="1378" ht="22" customHeight="1">
      <x:c r="A1378" s="7" t="str">
        <x:v>M1371</x:v>
      </x:c>
      <x:c r="B1378" s="7" t="str">
        <x:v>AR01</x:v>
      </x:c>
      <x:c r="C1378" s="7" t="str">
        <x:v>T5</x:v>
      </x:c>
      <x:c r="D1378" s="7" t="str">
        <x:v>L06</x:v>
      </x:c>
      <x:c r="E1378" s="7" t="str">
        <x:v>Internal doors deduction</x:v>
      </x:c>
      <x:c r="F1378" s="20" t="n">
        <x:f>'Controls'!$B$48</x:f>
        <x:v>28</x:v>
      </x:c>
      <x:c r="G1378" s="20" t="n">
        <x:f>'Controls'!$B$49</x:f>
        <x:v>0.9</x:v>
      </x:c>
      <x:c r="H1378" s="20" t="n">
        <x:f>'Controls'!$B$50</x:f>
        <x:v>2.1</x:v>
      </x:c>
      <x:c r="I1378" s="20" t="n">
        <x:f>'Controls'!$B$46</x:f>
        <x:v>0.15</x:v>
      </x:c>
      <x:c r="J1378" s="20" t="n">
        <x:v>-1</x:v>
      </x:c>
      <x:c r="K1378" s="20" t="n">
        <x:f>F1378*G1378*H1378*I1378*J1378</x:f>
        <x:v>-7.938</x:v>
      </x:c>
      <x:c r="L1378" s="7" t="str">
        <x:v>28 doors per floor, OP-02</x:v>
      </x:c>
      <x:c r="M1378" s="2"/>
      <x:c r="N1378" s="2"/>
      <x:c r="O1378" s="2"/>
      <x:c r="P1378" s="2"/>
      <x:c r="Q1378" s="2"/>
    </x:row>
    <x:row r="1379" ht="22" customHeight="1">
      <x:c r="A1379" s="2" t="str">
        <x:v>M1372</x:v>
      </x:c>
      <x:c r="B1379" s="2" t="str">
        <x:v>AR02</x:v>
      </x:c>
      <x:c r="C1379" s="2" t="str">
        <x:v>T5</x:v>
      </x:c>
      <x:c r="D1379" s="2" t="str">
        <x:v>L06</x:v>
      </x:c>
      <x:c r="E1379" s="2" t="str">
        <x:v>Internal plaster gross</x:v>
      </x:c>
      <x:c r="F1379" s="21" t="n">
        <x:v>2</x:v>
      </x:c>
      <x:c r="G1379" s="21" t="n">
        <x:f>'Controls'!$B$45</x:f>
        <x:v>220</x:v>
      </x:c>
      <x:c r="H1379" s="21" t="n">
        <x:f>'Controls'!$B$12-'Controls'!$B$13</x:f>
        <x:v>2.98</x:v>
      </x:c>
      <x:c r="I1379" s="21" t="n">
        <x:v>1</x:v>
      </x:c>
      <x:c r="J1379" s="21" t="n">
        <x:v>1</x:v>
      </x:c>
      <x:c r="K1379" s="21" t="n">
        <x:f>F1379*G1379*H1379*I1379*J1379</x:f>
        <x:v>1311.2</x:v>
      </x:c>
      <x:c r="L1379" s="2" t="str">
        <x:v>Both faces of partition walls</x:v>
      </x:c>
      <x:c r="M1379" s="2"/>
      <x:c r="N1379" s="2"/>
      <x:c r="O1379" s="2"/>
      <x:c r="P1379" s="2"/>
      <x:c r="Q1379" s="2"/>
    </x:row>
    <x:row r="1380" ht="22" customHeight="1">
      <x:c r="A1380" s="7" t="str">
        <x:v>M1373</x:v>
      </x:c>
      <x:c r="B1380" s="7" t="str">
        <x:v>AR02</x:v>
      </x:c>
      <x:c r="C1380" s="7" t="str">
        <x:v>T5</x:v>
      </x:c>
      <x:c r="D1380" s="7" t="str">
        <x:v>L06</x:v>
      </x:c>
      <x:c r="E1380" s="7" t="str">
        <x:v>Door area deduction both faces</x:v>
      </x:c>
      <x:c r="F1380" s="20" t="n">
        <x:f>2*'Controls'!$B$48</x:f>
        <x:v>56</x:v>
      </x:c>
      <x:c r="G1380" s="20" t="n">
        <x:f>'Controls'!$B$49</x:f>
        <x:v>0.9</x:v>
      </x:c>
      <x:c r="H1380" s="20" t="n">
        <x:f>'Controls'!$B$50</x:f>
        <x:v>2.1</x:v>
      </x:c>
      <x:c r="I1380" s="20" t="n">
        <x:v>1</x:v>
      </x:c>
      <x:c r="J1380" s="20" t="n">
        <x:v>-1</x:v>
      </x:c>
      <x:c r="K1380" s="20" t="n">
        <x:f>F1380*G1380*H1380*I1380*J1380</x:f>
        <x:v>-105.84</x:v>
      </x:c>
      <x:c r="L1380" s="7" t="str">
        <x:v>No plaster over openings</x:v>
      </x:c>
      <x:c r="M1380" s="2"/>
      <x:c r="N1380" s="2"/>
      <x:c r="O1380" s="2"/>
      <x:c r="P1380" s="2"/>
      <x:c r="Q1380" s="2"/>
    </x:row>
    <x:row r="1381" ht="22" customHeight="1">
      <x:c r="A1381" s="2" t="str">
        <x:v>M1374</x:v>
      </x:c>
      <x:c r="B1381" s="2" t="str">
        <x:v>AR03</x:v>
      </x:c>
      <x:c r="C1381" s="2" t="str">
        <x:v>T5</x:v>
      </x:c>
      <x:c r="D1381" s="2" t="str">
        <x:v>L06</x:v>
      </x:c>
      <x:c r="E1381" s="2" t="str">
        <x:v>Floor screed net</x:v>
      </x:c>
      <x:c r="F1381" s="21" t="n">
        <x:v>1</x:v>
      </x:c>
      <x:c r="G1381" s="21" t="n">
        <x:f>'Controls'!$B$10*'Controls'!$B$11-'Controls'!$B$20*'Controls'!$B$21</x:f>
        <x:v>696</x:v>
      </x:c>
      <x:c r="H1381" s="21" t="n">
        <x:v>1</x:v>
      </x:c>
      <x:c r="I1381" s="21" t="n">
        <x:v>1</x:v>
      </x:c>
      <x:c r="J1381" s="21" t="n">
        <x:v>1</x:v>
      </x:c>
      <x:c r="K1381" s="21" t="n">
        <x:f>F1381*G1381*H1381*I1381*J1381</x:f>
        <x:v>696</x:v>
      </x:c>
      <x:c r="L1381" s="2" t="str">
        <x:v>Net structural floor area</x:v>
      </x:c>
      <x:c r="M1381" s="2"/>
      <x:c r="N1381" s="2"/>
      <x:c r="O1381" s="2"/>
      <x:c r="P1381" s="2"/>
      <x:c r="Q1381" s="2"/>
    </x:row>
    <x:row r="1382" ht="22" customHeight="1">
      <x:c r="A1382" s="7" t="str">
        <x:v>M1375</x:v>
      </x:c>
      <x:c r="B1382" s="7" t="str">
        <x:v>AR04</x:v>
      </x:c>
      <x:c r="C1382" s="7" t="str">
        <x:v>T5</x:v>
      </x:c>
      <x:c r="D1382" s="7" t="str">
        <x:v>L06</x:v>
      </x:c>
      <x:c r="E1382" s="7" t="str">
        <x:v>Floor finish net</x:v>
      </x:c>
      <x:c r="F1382" s="20" t="n">
        <x:v>1</x:v>
      </x:c>
      <x:c r="G1382" s="20" t="n">
        <x:f>'Controls'!$B$10*'Controls'!$B$11-'Controls'!$B$20*'Controls'!$B$21</x:f>
        <x:v>696</x:v>
      </x:c>
      <x:c r="H1382" s="20" t="n">
        <x:v>1</x:v>
      </x:c>
      <x:c r="I1382" s="20" t="n">
        <x:v>1</x:v>
      </x:c>
      <x:c r="J1382" s="20" t="n">
        <x:v>1</x:v>
      </x:c>
      <x:c r="K1382" s="20" t="n">
        <x:f>F1382*G1382*H1382*I1382*J1382</x:f>
        <x:v>696</x:v>
      </x:c>
      <x:c r="L1382" s="7" t="str">
        <x:v>Waste excluded from BOQ</x:v>
      </x:c>
      <x:c r="M1382" s="2"/>
      <x:c r="N1382" s="2"/>
      <x:c r="O1382" s="2"/>
      <x:c r="P1382" s="2"/>
      <x:c r="Q1382" s="2"/>
    </x:row>
    <x:row r="1383" ht="22" customHeight="1">
      <x:c r="A1383" s="2" t="str">
        <x:v>M1376</x:v>
      </x:c>
      <x:c r="B1383" s="2" t="str">
        <x:v>AR05</x:v>
      </x:c>
      <x:c r="C1383" s="2" t="str">
        <x:v>T5</x:v>
      </x:c>
      <x:c r="D1383" s="2" t="str">
        <x:v>L06</x:v>
      </x:c>
      <x:c r="E1383" s="2" t="str">
        <x:v>Internal wall paint net</x:v>
      </x:c>
      <x:c r="F1383" s="21" t="n">
        <x:v>2</x:v>
      </x:c>
      <x:c r="G1383" s="21" t="n">
        <x:f>'Controls'!$B$45*('Controls'!$B$12-'Controls'!$B$13)-'Controls'!$B$48*'Controls'!$B$49*'Controls'!$B$50</x:f>
        <x:v>602.6800000000001</x:v>
      </x:c>
      <x:c r="H1383" s="21" t="n">
        <x:v>1</x:v>
      </x:c>
      <x:c r="I1383" s="21" t="n">
        <x:v>1</x:v>
      </x:c>
      <x:c r="J1383" s="21" t="n">
        <x:v>1</x:v>
      </x:c>
      <x:c r="K1383" s="21" t="n">
        <x:f>F1383*G1383*H1383*I1383*J1383</x:f>
        <x:v>1205.3600000000001</x:v>
      </x:c>
      <x:c r="L1383" s="2" t="str">
        <x:v>Finished area; two coats priced in rate</x:v>
      </x:c>
      <x:c r="M1383" s="2"/>
      <x:c r="N1383" s="2"/>
      <x:c r="O1383" s="2"/>
      <x:c r="P1383" s="2"/>
      <x:c r="Q1383" s="2"/>
    </x:row>
    <x:row r="1384" ht="22" customHeight="1">
      <x:c r="A1384" s="7" t="str">
        <x:v>M1377</x:v>
      </x:c>
      <x:c r="B1384" s="7" t="str">
        <x:v>AR06</x:v>
      </x:c>
      <x:c r="C1384" s="7" t="str">
        <x:v>T5</x:v>
      </x:c>
      <x:c r="D1384" s="7" t="str">
        <x:v>L06</x:v>
      </x:c>
      <x:c r="E1384" s="7" t="str">
        <x:v>Door sets</x:v>
      </x:c>
      <x:c r="F1384" s="20" t="n">
        <x:f>'Controls'!$B$48</x:f>
        <x:v>28</x:v>
      </x:c>
      <x:c r="G1384" s="20" t="n">
        <x:v>1</x:v>
      </x:c>
      <x:c r="H1384" s="20" t="n">
        <x:v>1</x:v>
      </x:c>
      <x:c r="I1384" s="20" t="n">
        <x:v>1</x:v>
      </x:c>
      <x:c r="J1384" s="20" t="n">
        <x:v>1</x:v>
      </x:c>
      <x:c r="K1384" s="20" t="n">
        <x:f>F1384*G1384*H1384*I1384*J1384</x:f>
        <x:v>28</x:v>
      </x:c>
      <x:c r="L1384" s="7" t="str">
        <x:v>Door count, not double face</x:v>
      </x:c>
      <x:c r="M1384" s="2"/>
      <x:c r="N1384" s="2"/>
      <x:c r="O1384" s="2"/>
      <x:c r="P1384" s="2"/>
      <x:c r="Q1384" s="2"/>
    </x:row>
    <x:row r="1385" ht="22" customHeight="1">
      <x:c r="A1385" s="2" t="str">
        <x:v>M1378</x:v>
      </x:c>
      <x:c r="B1385" s="2" t="str">
        <x:v>RC03</x:v>
      </x:c>
      <x:c r="C1385" s="2" t="str">
        <x:v>T5</x:v>
      </x:c>
      <x:c r="D1385" s="2" t="str">
        <x:v>L07</x:v>
      </x:c>
      <x:c r="E1385" s="2" t="str">
        <x:v>Floor slab gross</x:v>
      </x:c>
      <x:c r="F1385" s="21" t="n">
        <x:v>1</x:v>
      </x:c>
      <x:c r="G1385" s="21" t="n">
        <x:f>'Controls'!$B$10</x:f>
        <x:v>30</x:v>
      </x:c>
      <x:c r="H1385" s="21" t="n">
        <x:f>'Controls'!$B$11</x:f>
        <x:v>24</x:v>
      </x:c>
      <x:c r="I1385" s="21" t="n">
        <x:f>'Controls'!$B$13</x:f>
        <x:v>0.22</x:v>
      </x:c>
      <x:c r="J1385" s="21" t="n">
        <x:v>1</x:v>
      </x:c>
      <x:c r="K1385" s="21" t="n">
        <x:f>F1385*G1385*H1385*I1385*J1385</x:f>
        <x:v>158.4</x:v>
      </x:c>
      <x:c r="L1385" s="2" t="str">
        <x:v>Slab includes beam top flange; downstand separate</x:v>
      </x:c>
      <x:c r="M1385" s="2"/>
      <x:c r="N1385" s="2"/>
      <x:c r="O1385" s="2"/>
      <x:c r="P1385" s="2"/>
      <x:c r="Q1385" s="2"/>
    </x:row>
    <x:row r="1386" ht="22" customHeight="1">
      <x:c r="A1386" s="7" t="str">
        <x:v>M1379</x:v>
      </x:c>
      <x:c r="B1386" s="7" t="str">
        <x:v>RC03</x:v>
      </x:c>
      <x:c r="C1386" s="7" t="str">
        <x:v>T5</x:v>
      </x:c>
      <x:c r="D1386" s="7" t="str">
        <x:v>L07</x:v>
      </x:c>
      <x:c r="E1386" s="7" t="str">
        <x:v>Stair opening deduction</x:v>
      </x:c>
      <x:c r="F1386" s="20" t="n">
        <x:v>1</x:v>
      </x:c>
      <x:c r="G1386" s="20" t="n">
        <x:f>'Controls'!$B$20</x:f>
        <x:v>4</x:v>
      </x:c>
      <x:c r="H1386" s="20" t="n">
        <x:f>'Controls'!$B$21</x:f>
        <x:v>6</x:v>
      </x:c>
      <x:c r="I1386" s="20" t="n">
        <x:f>'Controls'!$B$13</x:f>
        <x:v>0.22</x:v>
      </x:c>
      <x:c r="J1386" s="20" t="n">
        <x:v>-1</x:v>
      </x:c>
      <x:c r="K1386" s="20" t="n">
        <x:f>F1386*G1386*H1386*I1386*J1386</x:f>
        <x:v>-5.28</x:v>
      </x:c>
      <x:c r="L1386" s="7" t="str">
        <x:v>Opening OP-01</x:v>
      </x:c>
      <x:c r="M1386" s="2"/>
      <x:c r="N1386" s="2"/>
      <x:c r="O1386" s="2"/>
      <x:c r="P1386" s="2"/>
      <x:c r="Q1386" s="2"/>
    </x:row>
    <x:row r="1387" ht="22" customHeight="1">
      <x:c r="A1387" s="2" t="str">
        <x:v>M1380</x:v>
      </x:c>
      <x:c r="B1387" s="2" t="str">
        <x:v>RC04</x:v>
      </x:c>
      <x:c r="C1387" s="2" t="str">
        <x:v>T5</x:v>
      </x:c>
      <x:c r="D1387" s="2" t="str">
        <x:v>L07</x:v>
      </x:c>
      <x:c r="E1387" s="2" t="str">
        <x:v>Beam downstands X</x:v>
      </x:c>
      <x:c r="F1387" s="21" t="n">
        <x:v>1</x:v>
      </x:c>
      <x:c r="G1387" s="21" t="n">
        <x:f>5*5*('Controls'!$B$10/5-'Controls'!$B$14)</x:f>
        <x:v>137.5</x:v>
      </x:c>
      <x:c r="H1387" s="21" t="n">
        <x:f>'Controls'!$B$16</x:f>
        <x:v>0.3</x:v>
      </x:c>
      <x:c r="I1387" s="21" t="n">
        <x:f>'Controls'!$B$17-'Controls'!$B$13</x:f>
        <x:v>0.38</x:v>
      </x:c>
      <x:c r="J1387" s="21" t="n">
        <x:v>1</x:v>
      </x:c>
      <x:c r="K1387" s="21" t="n">
        <x:f>F1387*G1387*H1387*I1387*J1387</x:f>
        <x:v>15.675</x:v>
      </x:c>
      <x:c r="L1387" s="2" t="str">
        <x:v>Clear spans between column faces; no joint overlap</x:v>
      </x:c>
      <x:c r="M1387" s="2"/>
      <x:c r="N1387" s="2"/>
      <x:c r="O1387" s="2"/>
      <x:c r="P1387" s="2"/>
      <x:c r="Q1387" s="2"/>
    </x:row>
    <x:row r="1388" ht="22" customHeight="1">
      <x:c r="A1388" s="7" t="str">
        <x:v>M1381</x:v>
      </x:c>
      <x:c r="B1388" s="7" t="str">
        <x:v>FW02</x:v>
      </x:c>
      <x:c r="C1388" s="7" t="str">
        <x:v>T5</x:v>
      </x:c>
      <x:c r="D1388" s="7" t="str">
        <x:v>L07</x:v>
      </x:c>
      <x:c r="E1388" s="7" t="str">
        <x:v>Beam forms X</x:v>
      </x:c>
      <x:c r="F1388" s="20" t="n">
        <x:v>1</x:v>
      </x:c>
      <x:c r="G1388" s="20" t="n">
        <x:f>5*5*('Controls'!$B$10/5-'Controls'!$B$14)</x:f>
        <x:v>137.5</x:v>
      </x:c>
      <x:c r="H1388" s="20" t="n">
        <x:f>'Controls'!$B$16+2*('Controls'!$B$17-'Controls'!$B$13)</x:f>
        <x:v>1.06</x:v>
      </x:c>
      <x:c r="I1388" s="20" t="n">
        <x:v>1</x:v>
      </x:c>
      <x:c r="J1388" s="20" t="n">
        <x:v>1</x:v>
      </x:c>
      <x:c r="K1388" s="20" t="n">
        <x:f>F1388*G1388*H1388*I1388*J1388</x:f>
        <x:v>145.75</x:v>
      </x:c>
      <x:c r="L1388" s="7" t="str">
        <x:v>Soffit plus two downstand sides</x:v>
      </x:c>
      <x:c r="M1388" s="2"/>
      <x:c r="N1388" s="2"/>
      <x:c r="O1388" s="2"/>
      <x:c r="P1388" s="2"/>
      <x:c r="Q1388" s="2"/>
    </x:row>
    <x:row r="1389" ht="22" customHeight="1">
      <x:c r="A1389" s="2" t="str">
        <x:v>M1382</x:v>
      </x:c>
      <x:c r="B1389" s="2" t="str">
        <x:v>RC04</x:v>
      </x:c>
      <x:c r="C1389" s="2" t="str">
        <x:v>T5</x:v>
      </x:c>
      <x:c r="D1389" s="2" t="str">
        <x:v>L07</x:v>
      </x:c>
      <x:c r="E1389" s="2" t="str">
        <x:v>Beam downstands Y</x:v>
      </x:c>
      <x:c r="F1389" s="21" t="n">
        <x:v>1</x:v>
      </x:c>
      <x:c r="G1389" s="21" t="n">
        <x:f>6*4*('Controls'!$B$11/4-'Controls'!$B$15)</x:f>
        <x:v>132</x:v>
      </x:c>
      <x:c r="H1389" s="21" t="n">
        <x:f>'Controls'!$B$16</x:f>
        <x:v>0.3</x:v>
      </x:c>
      <x:c r="I1389" s="21" t="n">
        <x:f>'Controls'!$B$17-'Controls'!$B$13</x:f>
        <x:v>0.38</x:v>
      </x:c>
      <x:c r="J1389" s="21" t="n">
        <x:v>1</x:v>
      </x:c>
      <x:c r="K1389" s="21" t="n">
        <x:f>F1389*G1389*H1389*I1389*J1389</x:f>
        <x:v>15.048</x:v>
      </x:c>
      <x:c r="L1389" s="2" t="str">
        <x:v>Clear spans between column faces; no joint overlap</x:v>
      </x:c>
      <x:c r="M1389" s="2"/>
      <x:c r="N1389" s="2"/>
      <x:c r="O1389" s="2"/>
      <x:c r="P1389" s="2"/>
      <x:c r="Q1389" s="2"/>
    </x:row>
    <x:row r="1390" ht="22" customHeight="1">
      <x:c r="A1390" s="7" t="str">
        <x:v>M1383</x:v>
      </x:c>
      <x:c r="B1390" s="7" t="str">
        <x:v>FW02</x:v>
      </x:c>
      <x:c r="C1390" s="7" t="str">
        <x:v>T5</x:v>
      </x:c>
      <x:c r="D1390" s="7" t="str">
        <x:v>L07</x:v>
      </x:c>
      <x:c r="E1390" s="7" t="str">
        <x:v>Beam forms Y</x:v>
      </x:c>
      <x:c r="F1390" s="20" t="n">
        <x:v>1</x:v>
      </x:c>
      <x:c r="G1390" s="20" t="n">
        <x:f>6*4*('Controls'!$B$11/4-'Controls'!$B$15)</x:f>
        <x:v>132</x:v>
      </x:c>
      <x:c r="H1390" s="20" t="n">
        <x:f>'Controls'!$B$16+2*('Controls'!$B$17-'Controls'!$B$13)</x:f>
        <x:v>1.06</x:v>
      </x:c>
      <x:c r="I1390" s="20" t="n">
        <x:v>1</x:v>
      </x:c>
      <x:c r="J1390" s="20" t="n">
        <x:v>1</x:v>
      </x:c>
      <x:c r="K1390" s="20" t="n">
        <x:f>F1390*G1390*H1390*I1390*J1390</x:f>
        <x:v>139.92000000000002</x:v>
      </x:c>
      <x:c r="L1390" s="7" t="str">
        <x:v>Soffit plus two downstand sides</x:v>
      </x:c>
      <x:c r="M1390" s="2"/>
      <x:c r="N1390" s="2"/>
      <x:c r="O1390" s="2"/>
      <x:c r="P1390" s="2"/>
      <x:c r="Q1390" s="2"/>
    </x:row>
    <x:row r="1391" ht="22" customHeight="1">
      <x:c r="A1391" s="2" t="str">
        <x:v>M1384</x:v>
      </x:c>
      <x:c r="B1391" s="2" t="str">
        <x:v>RC05</x:v>
      </x:c>
      <x:c r="C1391" s="2" t="str">
        <x:v>T5</x:v>
      </x:c>
      <x:c r="D1391" s="2" t="str">
        <x:v>L07</x:v>
      </x:c>
      <x:c r="E1391" s="2" t="str">
        <x:v>Thirty columns, clear storey</x:v>
      </x:c>
      <x:c r="F1391" s="21" t="n">
        <x:v>30</x:v>
      </x:c>
      <x:c r="G1391" s="21" t="n">
        <x:f>'Controls'!$B$14</x:f>
        <x:v>0.5</x:v>
      </x:c>
      <x:c r="H1391" s="21" t="n">
        <x:f>'Controls'!$B$15</x:f>
        <x:v>0.5</x:v>
      </x:c>
      <x:c r="I1391" s="21" t="n">
        <x:f>'Controls'!$B$12-'Controls'!$B$13</x:f>
        <x:v>2.98</x:v>
      </x:c>
      <x:c r="J1391" s="21" t="n">
        <x:v>1</x:v>
      </x:c>
      <x:c r="K1391" s="21" t="n">
        <x:f>F1391*G1391*H1391*I1391*J1391</x:f>
        <x:v>22.35</x:v>
      </x:c>
      <x:c r="L1391" s="2" t="str">
        <x:v>Slab volume excluded from columns</x:v>
      </x:c>
      <x:c r="M1391" s="2"/>
      <x:c r="N1391" s="2"/>
      <x:c r="O1391" s="2"/>
      <x:c r="P1391" s="2"/>
      <x:c r="Q1391" s="2"/>
    </x:row>
    <x:row r="1392" ht="22" customHeight="1">
      <x:c r="A1392" s="7" t="str">
        <x:v>M1385</x:v>
      </x:c>
      <x:c r="B1392" s="7" t="str">
        <x:v>RC06</x:v>
      </x:c>
      <x:c r="C1392" s="7" t="str">
        <x:v>T5</x:v>
      </x:c>
      <x:c r="D1392" s="7" t="str">
        <x:v>L07</x:v>
      </x:c>
      <x:c r="E1392" s="7" t="str">
        <x:v>Core walls clear storey</x:v>
      </x:c>
      <x:c r="F1392" s="20" t="n">
        <x:v>1</x:v>
      </x:c>
      <x:c r="G1392" s="20" t="n">
        <x:f>'Controls'!$B$19</x:f>
        <x:v>24</x:v>
      </x:c>
      <x:c r="H1392" s="20" t="n">
        <x:f>'Controls'!$B$18</x:f>
        <x:v>0.25</x:v>
      </x:c>
      <x:c r="I1392" s="20" t="n">
        <x:f>'Controls'!$B$12-'Controls'!$B$13</x:f>
        <x:v>2.98</x:v>
      </x:c>
      <x:c r="J1392" s="20" t="n">
        <x:v>1</x:v>
      </x:c>
      <x:c r="K1392" s="20" t="n">
        <x:f>F1392*G1392*H1392*I1392*J1392</x:f>
        <x:v>17.88</x:v>
      </x:c>
      <x:c r="L1392" s="7" t="str">
        <x:v>Net clear wall length excludes corners</x:v>
      </x:c>
      <x:c r="M1392" s="2"/>
      <x:c r="N1392" s="2"/>
      <x:c r="O1392" s="2"/>
      <x:c r="P1392" s="2"/>
      <x:c r="Q1392" s="2"/>
    </x:row>
    <x:row r="1393" ht="22" customHeight="1">
      <x:c r="A1393" s="2" t="str">
        <x:v>M1386</x:v>
      </x:c>
      <x:c r="B1393" s="2" t="str">
        <x:v>RC07</x:v>
      </x:c>
      <x:c r="C1393" s="2" t="str">
        <x:v>T5</x:v>
      </x:c>
      <x:c r="D1393" s="2" t="str">
        <x:v>L07</x:v>
      </x:c>
      <x:c r="E1393" s="2" t="str">
        <x:v>Stair flights waist</x:v>
      </x:c>
      <x:c r="F1393" s="21" t="n">
        <x:v>2</x:v>
      </x:c>
      <x:c r="G1393" s="21" t="n">
        <x:v>4.1</x:v>
      </x:c>
      <x:c r="H1393" s="21" t="n">
        <x:v>1.2</x:v>
      </x:c>
      <x:c r="I1393" s="21" t="n">
        <x:v>0.18</x:v>
      </x:c>
      <x:c r="J1393" s="21" t="n">
        <x:v>1</x:v>
      </x:c>
      <x:c r="K1393" s="21" t="n">
        <x:f>F1393*G1393*H1393*I1393*J1393</x:f>
        <x:v>1.7711999999999997</x:v>
      </x:c>
      <x:c r="L1393" s="2" t="str">
        <x:v>Two flights; geometry separate from floor slab</x:v>
      </x:c>
      <x:c r="M1393" s="2"/>
      <x:c r="N1393" s="2"/>
      <x:c r="O1393" s="2"/>
      <x:c r="P1393" s="2"/>
      <x:c r="Q1393" s="2"/>
    </x:row>
    <x:row r="1394" ht="22" customHeight="1">
      <x:c r="A1394" s="7" t="str">
        <x:v>M1387</x:v>
      </x:c>
      <x:c r="B1394" s="7" t="str">
        <x:v>RC07</x:v>
      </x:c>
      <x:c r="C1394" s="7" t="str">
        <x:v>T5</x:v>
      </x:c>
      <x:c r="D1394" s="7" t="str">
        <x:v>L07</x:v>
      </x:c>
      <x:c r="E1394" s="7" t="str">
        <x:v>Stair landings</x:v>
      </x:c>
      <x:c r="F1394" s="20" t="n">
        <x:v>2</x:v>
      </x:c>
      <x:c r="G1394" s="20" t="n">
        <x:v>2</x:v>
      </x:c>
      <x:c r="H1394" s="20" t="n">
        <x:v>1.2</x:v>
      </x:c>
      <x:c r="I1394" s="20" t="n">
        <x:v>0.18</x:v>
      </x:c>
      <x:c r="J1394" s="20" t="n">
        <x:v>1</x:v>
      </x:c>
      <x:c r="K1394" s="20" t="n">
        <x:f>F1394*G1394*H1394*I1394*J1394</x:f>
        <x:v>0.864</x:v>
      </x:c>
      <x:c r="L1394" s="7" t="str">
        <x:v>Within stair opening</x:v>
      </x:c>
      <x:c r="M1394" s="2"/>
      <x:c r="N1394" s="2"/>
      <x:c r="O1394" s="2"/>
      <x:c r="P1394" s="2"/>
      <x:c r="Q1394" s="2"/>
    </x:row>
    <x:row r="1395" ht="22" customHeight="1">
      <x:c r="A1395" s="2" t="str">
        <x:v>M1388</x:v>
      </x:c>
      <x:c r="B1395" s="2" t="str">
        <x:v>FW01</x:v>
      </x:c>
      <x:c r="C1395" s="2" t="str">
        <x:v>T5</x:v>
      </x:c>
      <x:c r="D1395" s="2" t="str">
        <x:v>L07</x:v>
      </x:c>
      <x:c r="E1395" s="2" t="str">
        <x:v>Slab soffit gross</x:v>
      </x:c>
      <x:c r="F1395" s="21" t="n">
        <x:v>1</x:v>
      </x:c>
      <x:c r="G1395" s="21" t="n">
        <x:f>'Controls'!$B$10</x:f>
        <x:v>30</x:v>
      </x:c>
      <x:c r="H1395" s="21" t="n">
        <x:f>'Controls'!$B$11</x:f>
        <x:v>24</x:v>
      </x:c>
      <x:c r="I1395" s="21" t="n">
        <x:v>1</x:v>
      </x:c>
      <x:c r="J1395" s="21" t="n">
        <x:v>1</x:v>
      </x:c>
      <x:c r="K1395" s="21" t="n">
        <x:f>F1395*G1395*H1395*I1395*J1395</x:f>
        <x:v>720</x:v>
      </x:c>
      <x:c r="L1395" s="2" t="str">
        <x:v>Beam soffit deducted below</x:v>
      </x:c>
      <x:c r="M1395" s="2"/>
      <x:c r="N1395" s="2"/>
      <x:c r="O1395" s="2"/>
      <x:c r="P1395" s="2"/>
      <x:c r="Q1395" s="2"/>
    </x:row>
    <x:row r="1396" ht="22" customHeight="1">
      <x:c r="A1396" s="7" t="str">
        <x:v>M1389</x:v>
      </x:c>
      <x:c r="B1396" s="7" t="str">
        <x:v>FW01</x:v>
      </x:c>
      <x:c r="C1396" s="7" t="str">
        <x:v>T5</x:v>
      </x:c>
      <x:c r="D1396" s="7" t="str">
        <x:v>L07</x:v>
      </x:c>
      <x:c r="E1396" s="7" t="str">
        <x:v>Stair opening deduction</x:v>
      </x:c>
      <x:c r="F1396" s="20" t="n">
        <x:v>1</x:v>
      </x:c>
      <x:c r="G1396" s="20" t="n">
        <x:f>'Controls'!$B$20</x:f>
        <x:v>4</x:v>
      </x:c>
      <x:c r="H1396" s="20" t="n">
        <x:f>'Controls'!$B$21</x:f>
        <x:v>6</x:v>
      </x:c>
      <x:c r="I1396" s="20" t="n">
        <x:v>1</x:v>
      </x:c>
      <x:c r="J1396" s="20" t="n">
        <x:v>-1</x:v>
      </x:c>
      <x:c r="K1396" s="20" t="n">
        <x:f>F1396*G1396*H1396*I1396*J1396</x:f>
        <x:v>-24</x:v>
      </x:c>
      <x:c r="L1396" s="7" t="str">
        <x:v>OP-01</x:v>
      </x:c>
      <x:c r="M1396" s="2"/>
      <x:c r="N1396" s="2"/>
      <x:c r="O1396" s="2"/>
      <x:c r="P1396" s="2"/>
      <x:c r="Q1396" s="2"/>
    </x:row>
    <x:row r="1397" ht="22" customHeight="1">
      <x:c r="A1397" s="2" t="str">
        <x:v>M1390</x:v>
      </x:c>
      <x:c r="B1397" s="2" t="str">
        <x:v>FW01</x:v>
      </x:c>
      <x:c r="C1397" s="2" t="str">
        <x:v>T5</x:v>
      </x:c>
      <x:c r="D1397" s="2" t="str">
        <x:v>L07</x:v>
      </x:c>
      <x:c r="E1397" s="2" t="str">
        <x:v>Beam soffit deduction</x:v>
      </x:c>
      <x:c r="F1397" s="21" t="n">
        <x:v>1</x:v>
      </x:c>
      <x:c r="G1397" s="21" t="n">
        <x:f>5*5*('Controls'!$B$10/5-'Controls'!$B$14)+6*4*('Controls'!$B$11/4-'Controls'!$B$15)</x:f>
        <x:v>269.5</x:v>
      </x:c>
      <x:c r="H1397" s="21" t="n">
        <x:f>'Controls'!$B$16</x:f>
        <x:v>0.3</x:v>
      </x:c>
      <x:c r="I1397" s="21" t="n">
        <x:v>1</x:v>
      </x:c>
      <x:c r="J1397" s="21" t="n">
        <x:v>-1</x:v>
      </x:c>
      <x:c r="K1397" s="21" t="n">
        <x:f>F1397*G1397*H1397*I1397*J1397</x:f>
        <x:v>-80.85</x:v>
      </x:c>
      <x:c r="L1397" s="2" t="str">
        <x:v>Beam forms measured in FW02</x:v>
      </x:c>
      <x:c r="M1397" s="2"/>
      <x:c r="N1397" s="2"/>
      <x:c r="O1397" s="2"/>
      <x:c r="P1397" s="2"/>
      <x:c r="Q1397" s="2"/>
    </x:row>
    <x:row r="1398" ht="22" customHeight="1">
      <x:c r="A1398" s="7" t="str">
        <x:v>M1391</x:v>
      </x:c>
      <x:c r="B1398" s="7" t="str">
        <x:v>FW03</x:v>
      </x:c>
      <x:c r="C1398" s="7" t="str">
        <x:v>T5</x:v>
      </x:c>
      <x:c r="D1398" s="7" t="str">
        <x:v>L07</x:v>
      </x:c>
      <x:c r="E1398" s="7" t="str">
        <x:v>Column four faces</x:v>
      </x:c>
      <x:c r="F1398" s="20" t="n">
        <x:v>30</x:v>
      </x:c>
      <x:c r="G1398" s="20" t="n">
        <x:f>2*('Controls'!$B$14+'Controls'!$B$15)</x:f>
        <x:v>2</x:v>
      </x:c>
      <x:c r="H1398" s="20" t="n">
        <x:f>'Controls'!$B$12-'Controls'!$B$13</x:f>
        <x:v>2.98</x:v>
      </x:c>
      <x:c r="I1398" s="20" t="n">
        <x:v>1</x:v>
      </x:c>
      <x:c r="J1398" s="20" t="n">
        <x:v>1</x:v>
      </x:c>
      <x:c r="K1398" s="20" t="n">
        <x:f>F1398*G1398*H1398*I1398*J1398</x:f>
        <x:v>178.8</x:v>
      </x:c>
      <x:c r="L1398" s="7" t="str">
        <x:v>Clear floor-to-soffit</x:v>
      </x:c>
      <x:c r="M1398" s="2"/>
      <x:c r="N1398" s="2"/>
      <x:c r="O1398" s="2"/>
      <x:c r="P1398" s="2"/>
      <x:c r="Q1398" s="2"/>
    </x:row>
    <x:row r="1399" ht="22" customHeight="1">
      <x:c r="A1399" s="2" t="str">
        <x:v>M1392</x:v>
      </x:c>
      <x:c r="B1399" s="2" t="str">
        <x:v>FW04</x:v>
      </x:c>
      <x:c r="C1399" s="2" t="str">
        <x:v>T5</x:v>
      </x:c>
      <x:c r="D1399" s="2" t="str">
        <x:v>L07</x:v>
      </x:c>
      <x:c r="E1399" s="2" t="str">
        <x:v>Core wall two faces</x:v>
      </x:c>
      <x:c r="F1399" s="21" t="n">
        <x:v>2</x:v>
      </x:c>
      <x:c r="G1399" s="21" t="n">
        <x:f>'Controls'!$B$19</x:f>
        <x:v>24</x:v>
      </x:c>
      <x:c r="H1399" s="21" t="n">
        <x:f>'Controls'!$B$12-'Controls'!$B$13</x:f>
        <x:v>2.98</x:v>
      </x:c>
      <x:c r="I1399" s="21" t="n">
        <x:v>1</x:v>
      </x:c>
      <x:c r="J1399" s="21" t="n">
        <x:v>1</x:v>
      </x:c>
      <x:c r="K1399" s="21" t="n">
        <x:f>F1399*G1399*H1399*I1399*J1399</x:f>
        <x:v>143.04</x:v>
      </x:c>
      <x:c r="L1399" s="2" t="str">
        <x:v>Net perimeter, no repeated corners</x:v>
      </x:c>
      <x:c r="M1399" s="2"/>
      <x:c r="N1399" s="2"/>
      <x:c r="O1399" s="2"/>
      <x:c r="P1399" s="2"/>
      <x:c r="Q1399" s="2"/>
    </x:row>
    <x:row r="1400" ht="22" customHeight="1">
      <x:c r="A1400" s="7" t="str">
        <x:v>M1393</x:v>
      </x:c>
      <x:c r="B1400" s="7" t="str">
        <x:v>AR01</x:v>
      </x:c>
      <x:c r="C1400" s="7" t="str">
        <x:v>T5</x:v>
      </x:c>
      <x:c r="D1400" s="7" t="str">
        <x:v>L07</x:v>
      </x:c>
      <x:c r="E1400" s="7" t="str">
        <x:v>Partition walls gross</x:v>
      </x:c>
      <x:c r="F1400" s="20" t="n">
        <x:v>1</x:v>
      </x:c>
      <x:c r="G1400" s="20" t="n">
        <x:f>'Controls'!$B$45</x:f>
        <x:v>220</x:v>
      </x:c>
      <x:c r="H1400" s="20" t="n">
        <x:f>'Controls'!$B$12-'Controls'!$B$13</x:f>
        <x:v>2.98</x:v>
      </x:c>
      <x:c r="I1400" s="20" t="n">
        <x:f>'Controls'!$B$46</x:f>
        <x:v>0.15</x:v>
      </x:c>
      <x:c r="J1400" s="20" t="n">
        <x:v>1</x:v>
      </x:c>
      <x:c r="K1400" s="20" t="n">
        <x:f>F1400*G1400*H1400*I1400*J1400</x:f>
        <x:v>98.34</x:v>
      </x:c>
      <x:c r="L1400" s="7" t="str">
        <x:v>Net openings deducted below</x:v>
      </x:c>
      <x:c r="M1400" s="2"/>
      <x:c r="N1400" s="2"/>
      <x:c r="O1400" s="2"/>
      <x:c r="P1400" s="2"/>
      <x:c r="Q1400" s="2"/>
    </x:row>
    <x:row r="1401" ht="22" customHeight="1">
      <x:c r="A1401" s="2" t="str">
        <x:v>M1394</x:v>
      </x:c>
      <x:c r="B1401" s="2" t="str">
        <x:v>AR01</x:v>
      </x:c>
      <x:c r="C1401" s="2" t="str">
        <x:v>T5</x:v>
      </x:c>
      <x:c r="D1401" s="2" t="str">
        <x:v>L07</x:v>
      </x:c>
      <x:c r="E1401" s="2" t="str">
        <x:v>Internal doors deduction</x:v>
      </x:c>
      <x:c r="F1401" s="21" t="n">
        <x:f>'Controls'!$B$48</x:f>
        <x:v>28</x:v>
      </x:c>
      <x:c r="G1401" s="21" t="n">
        <x:f>'Controls'!$B$49</x:f>
        <x:v>0.9</x:v>
      </x:c>
      <x:c r="H1401" s="21" t="n">
        <x:f>'Controls'!$B$50</x:f>
        <x:v>2.1</x:v>
      </x:c>
      <x:c r="I1401" s="21" t="n">
        <x:f>'Controls'!$B$46</x:f>
        <x:v>0.15</x:v>
      </x:c>
      <x:c r="J1401" s="21" t="n">
        <x:v>-1</x:v>
      </x:c>
      <x:c r="K1401" s="21" t="n">
        <x:f>F1401*G1401*H1401*I1401*J1401</x:f>
        <x:v>-7.938</x:v>
      </x:c>
      <x:c r="L1401" s="2" t="str">
        <x:v>28 doors per floor, OP-02</x:v>
      </x:c>
      <x:c r="M1401" s="2"/>
      <x:c r="N1401" s="2"/>
      <x:c r="O1401" s="2"/>
      <x:c r="P1401" s="2"/>
      <x:c r="Q1401" s="2"/>
    </x:row>
    <x:row r="1402" ht="22" customHeight="1">
      <x:c r="A1402" s="7" t="str">
        <x:v>M1395</x:v>
      </x:c>
      <x:c r="B1402" s="7" t="str">
        <x:v>AR02</x:v>
      </x:c>
      <x:c r="C1402" s="7" t="str">
        <x:v>T5</x:v>
      </x:c>
      <x:c r="D1402" s="7" t="str">
        <x:v>L07</x:v>
      </x:c>
      <x:c r="E1402" s="7" t="str">
        <x:v>Internal plaster gross</x:v>
      </x:c>
      <x:c r="F1402" s="20" t="n">
        <x:v>2</x:v>
      </x:c>
      <x:c r="G1402" s="20" t="n">
        <x:f>'Controls'!$B$45</x:f>
        <x:v>220</x:v>
      </x:c>
      <x:c r="H1402" s="20" t="n">
        <x:f>'Controls'!$B$12-'Controls'!$B$13</x:f>
        <x:v>2.98</x:v>
      </x:c>
      <x:c r="I1402" s="20" t="n">
        <x:v>1</x:v>
      </x:c>
      <x:c r="J1402" s="20" t="n">
        <x:v>1</x:v>
      </x:c>
      <x:c r="K1402" s="20" t="n">
        <x:f>F1402*G1402*H1402*I1402*J1402</x:f>
        <x:v>1311.2</x:v>
      </x:c>
      <x:c r="L1402" s="7" t="str">
        <x:v>Both faces of partition walls</x:v>
      </x:c>
      <x:c r="M1402" s="2"/>
      <x:c r="N1402" s="2"/>
      <x:c r="O1402" s="2"/>
      <x:c r="P1402" s="2"/>
      <x:c r="Q1402" s="2"/>
    </x:row>
    <x:row r="1403" ht="22" customHeight="1">
      <x:c r="A1403" s="2" t="str">
        <x:v>M1396</x:v>
      </x:c>
      <x:c r="B1403" s="2" t="str">
        <x:v>AR02</x:v>
      </x:c>
      <x:c r="C1403" s="2" t="str">
        <x:v>T5</x:v>
      </x:c>
      <x:c r="D1403" s="2" t="str">
        <x:v>L07</x:v>
      </x:c>
      <x:c r="E1403" s="2" t="str">
        <x:v>Door area deduction both faces</x:v>
      </x:c>
      <x:c r="F1403" s="21" t="n">
        <x:f>2*'Controls'!$B$48</x:f>
        <x:v>56</x:v>
      </x:c>
      <x:c r="G1403" s="21" t="n">
        <x:f>'Controls'!$B$49</x:f>
        <x:v>0.9</x:v>
      </x:c>
      <x:c r="H1403" s="21" t="n">
        <x:f>'Controls'!$B$50</x:f>
        <x:v>2.1</x:v>
      </x:c>
      <x:c r="I1403" s="21" t="n">
        <x:v>1</x:v>
      </x:c>
      <x:c r="J1403" s="21" t="n">
        <x:v>-1</x:v>
      </x:c>
      <x:c r="K1403" s="21" t="n">
        <x:f>F1403*G1403*H1403*I1403*J1403</x:f>
        <x:v>-105.84</x:v>
      </x:c>
      <x:c r="L1403" s="2" t="str">
        <x:v>No plaster over openings</x:v>
      </x:c>
      <x:c r="M1403" s="2"/>
      <x:c r="N1403" s="2"/>
      <x:c r="O1403" s="2"/>
      <x:c r="P1403" s="2"/>
      <x:c r="Q1403" s="2"/>
    </x:row>
    <x:row r="1404" ht="22" customHeight="1">
      <x:c r="A1404" s="7" t="str">
        <x:v>M1397</x:v>
      </x:c>
      <x:c r="B1404" s="7" t="str">
        <x:v>AR03</x:v>
      </x:c>
      <x:c r="C1404" s="7" t="str">
        <x:v>T5</x:v>
      </x:c>
      <x:c r="D1404" s="7" t="str">
        <x:v>L07</x:v>
      </x:c>
      <x:c r="E1404" s="7" t="str">
        <x:v>Floor screed net</x:v>
      </x:c>
      <x:c r="F1404" s="20" t="n">
        <x:v>1</x:v>
      </x:c>
      <x:c r="G1404" s="20" t="n">
        <x:f>'Controls'!$B$10*'Controls'!$B$11-'Controls'!$B$20*'Controls'!$B$21</x:f>
        <x:v>696</x:v>
      </x:c>
      <x:c r="H1404" s="20" t="n">
        <x:v>1</x:v>
      </x:c>
      <x:c r="I1404" s="20" t="n">
        <x:v>1</x:v>
      </x:c>
      <x:c r="J1404" s="20" t="n">
        <x:v>1</x:v>
      </x:c>
      <x:c r="K1404" s="20" t="n">
        <x:f>F1404*G1404*H1404*I1404*J1404</x:f>
        <x:v>696</x:v>
      </x:c>
      <x:c r="L1404" s="7" t="str">
        <x:v>Net structural floor area</x:v>
      </x:c>
      <x:c r="M1404" s="2"/>
      <x:c r="N1404" s="2"/>
      <x:c r="O1404" s="2"/>
      <x:c r="P1404" s="2"/>
      <x:c r="Q1404" s="2"/>
    </x:row>
    <x:row r="1405" ht="22" customHeight="1">
      <x:c r="A1405" s="2" t="str">
        <x:v>M1398</x:v>
      </x:c>
      <x:c r="B1405" s="2" t="str">
        <x:v>AR04</x:v>
      </x:c>
      <x:c r="C1405" s="2" t="str">
        <x:v>T5</x:v>
      </x:c>
      <x:c r="D1405" s="2" t="str">
        <x:v>L07</x:v>
      </x:c>
      <x:c r="E1405" s="2" t="str">
        <x:v>Floor finish net</x:v>
      </x:c>
      <x:c r="F1405" s="21" t="n">
        <x:v>1</x:v>
      </x:c>
      <x:c r="G1405" s="21" t="n">
        <x:f>'Controls'!$B$10*'Controls'!$B$11-'Controls'!$B$20*'Controls'!$B$21</x:f>
        <x:v>696</x:v>
      </x:c>
      <x:c r="H1405" s="21" t="n">
        <x:v>1</x:v>
      </x:c>
      <x:c r="I1405" s="21" t="n">
        <x:v>1</x:v>
      </x:c>
      <x:c r="J1405" s="21" t="n">
        <x:v>1</x:v>
      </x:c>
      <x:c r="K1405" s="21" t="n">
        <x:f>F1405*G1405*H1405*I1405*J1405</x:f>
        <x:v>696</x:v>
      </x:c>
      <x:c r="L1405" s="2" t="str">
        <x:v>Waste excluded from BOQ</x:v>
      </x:c>
      <x:c r="M1405" s="2"/>
      <x:c r="N1405" s="2"/>
      <x:c r="O1405" s="2"/>
      <x:c r="P1405" s="2"/>
      <x:c r="Q1405" s="2"/>
    </x:row>
    <x:row r="1406" ht="22" customHeight="1">
      <x:c r="A1406" s="7" t="str">
        <x:v>M1399</x:v>
      </x:c>
      <x:c r="B1406" s="7" t="str">
        <x:v>AR05</x:v>
      </x:c>
      <x:c r="C1406" s="7" t="str">
        <x:v>T5</x:v>
      </x:c>
      <x:c r="D1406" s="7" t="str">
        <x:v>L07</x:v>
      </x:c>
      <x:c r="E1406" s="7" t="str">
        <x:v>Internal wall paint net</x:v>
      </x:c>
      <x:c r="F1406" s="20" t="n">
        <x:v>2</x:v>
      </x:c>
      <x:c r="G1406" s="20" t="n">
        <x:f>'Controls'!$B$45*('Controls'!$B$12-'Controls'!$B$13)-'Controls'!$B$48*'Controls'!$B$49*'Controls'!$B$50</x:f>
        <x:v>602.6800000000001</x:v>
      </x:c>
      <x:c r="H1406" s="20" t="n">
        <x:v>1</x:v>
      </x:c>
      <x:c r="I1406" s="20" t="n">
        <x:v>1</x:v>
      </x:c>
      <x:c r="J1406" s="20" t="n">
        <x:v>1</x:v>
      </x:c>
      <x:c r="K1406" s="20" t="n">
        <x:f>F1406*G1406*H1406*I1406*J1406</x:f>
        <x:v>1205.3600000000001</x:v>
      </x:c>
      <x:c r="L1406" s="7" t="str">
        <x:v>Finished area; two coats priced in rate</x:v>
      </x:c>
      <x:c r="M1406" s="2"/>
      <x:c r="N1406" s="2"/>
      <x:c r="O1406" s="2"/>
      <x:c r="P1406" s="2"/>
      <x:c r="Q1406" s="2"/>
    </x:row>
    <x:row r="1407" ht="22" customHeight="1">
      <x:c r="A1407" s="2" t="str">
        <x:v>M1400</x:v>
      </x:c>
      <x:c r="B1407" s="2" t="str">
        <x:v>AR06</x:v>
      </x:c>
      <x:c r="C1407" s="2" t="str">
        <x:v>T5</x:v>
      </x:c>
      <x:c r="D1407" s="2" t="str">
        <x:v>L07</x:v>
      </x:c>
      <x:c r="E1407" s="2" t="str">
        <x:v>Door sets</x:v>
      </x:c>
      <x:c r="F1407" s="21" t="n">
        <x:f>'Controls'!$B$48</x:f>
        <x:v>28</x:v>
      </x:c>
      <x:c r="G1407" s="21" t="n">
        <x:v>1</x:v>
      </x:c>
      <x:c r="H1407" s="21" t="n">
        <x:v>1</x:v>
      </x:c>
      <x:c r="I1407" s="21" t="n">
        <x:v>1</x:v>
      </x:c>
      <x:c r="J1407" s="21" t="n">
        <x:v>1</x:v>
      </x:c>
      <x:c r="K1407" s="21" t="n">
        <x:f>F1407*G1407*H1407*I1407*J1407</x:f>
        <x:v>28</x:v>
      </x:c>
      <x:c r="L1407" s="2" t="str">
        <x:v>Door count, not double face</x:v>
      </x:c>
      <x:c r="M1407" s="2"/>
      <x:c r="N1407" s="2"/>
      <x:c r="O1407" s="2"/>
      <x:c r="P1407" s="2"/>
      <x:c r="Q1407" s="2"/>
    </x:row>
    <x:row r="1408" ht="22" customHeight="1">
      <x:c r="A1408" s="7" t="str">
        <x:v>M1401</x:v>
      </x:c>
      <x:c r="B1408" s="7" t="str">
        <x:v>RC03</x:v>
      </x:c>
      <x:c r="C1408" s="7" t="str">
        <x:v>T5</x:v>
      </x:c>
      <x:c r="D1408" s="7" t="str">
        <x:v>L08</x:v>
      </x:c>
      <x:c r="E1408" s="7" t="str">
        <x:v>Floor slab gross</x:v>
      </x:c>
      <x:c r="F1408" s="20" t="n">
        <x:v>1</x:v>
      </x:c>
      <x:c r="G1408" s="20" t="n">
        <x:f>'Controls'!$B$10</x:f>
        <x:v>30</x:v>
      </x:c>
      <x:c r="H1408" s="20" t="n">
        <x:f>'Controls'!$B$11</x:f>
        <x:v>24</x:v>
      </x:c>
      <x:c r="I1408" s="20" t="n">
        <x:f>'Controls'!$B$13</x:f>
        <x:v>0.22</x:v>
      </x:c>
      <x:c r="J1408" s="20" t="n">
        <x:v>1</x:v>
      </x:c>
      <x:c r="K1408" s="20" t="n">
        <x:f>F1408*G1408*H1408*I1408*J1408</x:f>
        <x:v>158.4</x:v>
      </x:c>
      <x:c r="L1408" s="7" t="str">
        <x:v>Slab includes beam top flange; downstand separate</x:v>
      </x:c>
      <x:c r="M1408" s="2"/>
      <x:c r="N1408" s="2"/>
      <x:c r="O1408" s="2"/>
      <x:c r="P1408" s="2"/>
      <x:c r="Q1408" s="2"/>
    </x:row>
    <x:row r="1409" ht="22" customHeight="1">
      <x:c r="A1409" s="2" t="str">
        <x:v>M1402</x:v>
      </x:c>
      <x:c r="B1409" s="2" t="str">
        <x:v>RC03</x:v>
      </x:c>
      <x:c r="C1409" s="2" t="str">
        <x:v>T5</x:v>
      </x:c>
      <x:c r="D1409" s="2" t="str">
        <x:v>L08</x:v>
      </x:c>
      <x:c r="E1409" s="2" t="str">
        <x:v>Stair opening deduction</x:v>
      </x:c>
      <x:c r="F1409" s="21" t="n">
        <x:v>1</x:v>
      </x:c>
      <x:c r="G1409" s="21" t="n">
        <x:f>'Controls'!$B$20</x:f>
        <x:v>4</x:v>
      </x:c>
      <x:c r="H1409" s="21" t="n">
        <x:f>'Controls'!$B$21</x:f>
        <x:v>6</x:v>
      </x:c>
      <x:c r="I1409" s="21" t="n">
        <x:f>'Controls'!$B$13</x:f>
        <x:v>0.22</x:v>
      </x:c>
      <x:c r="J1409" s="21" t="n">
        <x:v>-1</x:v>
      </x:c>
      <x:c r="K1409" s="21" t="n">
        <x:f>F1409*G1409*H1409*I1409*J1409</x:f>
        <x:v>-5.28</x:v>
      </x:c>
      <x:c r="L1409" s="2" t="str">
        <x:v>Opening OP-01</x:v>
      </x:c>
      <x:c r="M1409" s="2"/>
      <x:c r="N1409" s="2"/>
      <x:c r="O1409" s="2"/>
      <x:c r="P1409" s="2"/>
      <x:c r="Q1409" s="2"/>
    </x:row>
    <x:row r="1410" ht="22" customHeight="1">
      <x:c r="A1410" s="7" t="str">
        <x:v>M1403</x:v>
      </x:c>
      <x:c r="B1410" s="7" t="str">
        <x:v>RC04</x:v>
      </x:c>
      <x:c r="C1410" s="7" t="str">
        <x:v>T5</x:v>
      </x:c>
      <x:c r="D1410" s="7" t="str">
        <x:v>L08</x:v>
      </x:c>
      <x:c r="E1410" s="7" t="str">
        <x:v>Beam downstands X</x:v>
      </x:c>
      <x:c r="F1410" s="20" t="n">
        <x:v>1</x:v>
      </x:c>
      <x:c r="G1410" s="20" t="n">
        <x:f>5*5*('Controls'!$B$10/5-'Controls'!$B$14)</x:f>
        <x:v>137.5</x:v>
      </x:c>
      <x:c r="H1410" s="20" t="n">
        <x:f>'Controls'!$B$16</x:f>
        <x:v>0.3</x:v>
      </x:c>
      <x:c r="I1410" s="20" t="n">
        <x:f>'Controls'!$B$17-'Controls'!$B$13</x:f>
        <x:v>0.38</x:v>
      </x:c>
      <x:c r="J1410" s="20" t="n">
        <x:v>1</x:v>
      </x:c>
      <x:c r="K1410" s="20" t="n">
        <x:f>F1410*G1410*H1410*I1410*J1410</x:f>
        <x:v>15.675</x:v>
      </x:c>
      <x:c r="L1410" s="7" t="str">
        <x:v>Clear spans between column faces; no joint overlap</x:v>
      </x:c>
      <x:c r="M1410" s="2"/>
      <x:c r="N1410" s="2"/>
      <x:c r="O1410" s="2"/>
      <x:c r="P1410" s="2"/>
      <x:c r="Q1410" s="2"/>
    </x:row>
    <x:row r="1411" ht="22" customHeight="1">
      <x:c r="A1411" s="2" t="str">
        <x:v>M1404</x:v>
      </x:c>
      <x:c r="B1411" s="2" t="str">
        <x:v>FW02</x:v>
      </x:c>
      <x:c r="C1411" s="2" t="str">
        <x:v>T5</x:v>
      </x:c>
      <x:c r="D1411" s="2" t="str">
        <x:v>L08</x:v>
      </x:c>
      <x:c r="E1411" s="2" t="str">
        <x:v>Beam forms X</x:v>
      </x:c>
      <x:c r="F1411" s="21" t="n">
        <x:v>1</x:v>
      </x:c>
      <x:c r="G1411" s="21" t="n">
        <x:f>5*5*('Controls'!$B$10/5-'Controls'!$B$14)</x:f>
        <x:v>137.5</x:v>
      </x:c>
      <x:c r="H1411" s="21" t="n">
        <x:f>'Controls'!$B$16+2*('Controls'!$B$17-'Controls'!$B$13)</x:f>
        <x:v>1.06</x:v>
      </x:c>
      <x:c r="I1411" s="21" t="n">
        <x:v>1</x:v>
      </x:c>
      <x:c r="J1411" s="21" t="n">
        <x:v>1</x:v>
      </x:c>
      <x:c r="K1411" s="21" t="n">
        <x:f>F1411*G1411*H1411*I1411*J1411</x:f>
        <x:v>145.75</x:v>
      </x:c>
      <x:c r="L1411" s="2" t="str">
        <x:v>Soffit plus two downstand sides</x:v>
      </x:c>
      <x:c r="M1411" s="2"/>
      <x:c r="N1411" s="2"/>
      <x:c r="O1411" s="2"/>
      <x:c r="P1411" s="2"/>
      <x:c r="Q1411" s="2"/>
    </x:row>
    <x:row r="1412" ht="22" customHeight="1">
      <x:c r="A1412" s="7" t="str">
        <x:v>M1405</x:v>
      </x:c>
      <x:c r="B1412" s="7" t="str">
        <x:v>RC04</x:v>
      </x:c>
      <x:c r="C1412" s="7" t="str">
        <x:v>T5</x:v>
      </x:c>
      <x:c r="D1412" s="7" t="str">
        <x:v>L08</x:v>
      </x:c>
      <x:c r="E1412" s="7" t="str">
        <x:v>Beam downstands Y</x:v>
      </x:c>
      <x:c r="F1412" s="20" t="n">
        <x:v>1</x:v>
      </x:c>
      <x:c r="G1412" s="20" t="n">
        <x:f>6*4*('Controls'!$B$11/4-'Controls'!$B$15)</x:f>
        <x:v>132</x:v>
      </x:c>
      <x:c r="H1412" s="20" t="n">
        <x:f>'Controls'!$B$16</x:f>
        <x:v>0.3</x:v>
      </x:c>
      <x:c r="I1412" s="20" t="n">
        <x:f>'Controls'!$B$17-'Controls'!$B$13</x:f>
        <x:v>0.38</x:v>
      </x:c>
      <x:c r="J1412" s="20" t="n">
        <x:v>1</x:v>
      </x:c>
      <x:c r="K1412" s="20" t="n">
        <x:f>F1412*G1412*H1412*I1412*J1412</x:f>
        <x:v>15.048</x:v>
      </x:c>
      <x:c r="L1412" s="7" t="str">
        <x:v>Clear spans between column faces; no joint overlap</x:v>
      </x:c>
      <x:c r="M1412" s="2"/>
      <x:c r="N1412" s="2"/>
      <x:c r="O1412" s="2"/>
      <x:c r="P1412" s="2"/>
      <x:c r="Q1412" s="2"/>
    </x:row>
    <x:row r="1413" ht="22" customHeight="1">
      <x:c r="A1413" s="2" t="str">
        <x:v>M1406</x:v>
      </x:c>
      <x:c r="B1413" s="2" t="str">
        <x:v>FW02</x:v>
      </x:c>
      <x:c r="C1413" s="2" t="str">
        <x:v>T5</x:v>
      </x:c>
      <x:c r="D1413" s="2" t="str">
        <x:v>L08</x:v>
      </x:c>
      <x:c r="E1413" s="2" t="str">
        <x:v>Beam forms Y</x:v>
      </x:c>
      <x:c r="F1413" s="21" t="n">
        <x:v>1</x:v>
      </x:c>
      <x:c r="G1413" s="21" t="n">
        <x:f>6*4*('Controls'!$B$11/4-'Controls'!$B$15)</x:f>
        <x:v>132</x:v>
      </x:c>
      <x:c r="H1413" s="21" t="n">
        <x:f>'Controls'!$B$16+2*('Controls'!$B$17-'Controls'!$B$13)</x:f>
        <x:v>1.06</x:v>
      </x:c>
      <x:c r="I1413" s="21" t="n">
        <x:v>1</x:v>
      </x:c>
      <x:c r="J1413" s="21" t="n">
        <x:v>1</x:v>
      </x:c>
      <x:c r="K1413" s="21" t="n">
        <x:f>F1413*G1413*H1413*I1413*J1413</x:f>
        <x:v>139.92000000000002</x:v>
      </x:c>
      <x:c r="L1413" s="2" t="str">
        <x:v>Soffit plus two downstand sides</x:v>
      </x:c>
      <x:c r="M1413" s="2"/>
      <x:c r="N1413" s="2"/>
      <x:c r="O1413" s="2"/>
      <x:c r="P1413" s="2"/>
      <x:c r="Q1413" s="2"/>
    </x:row>
    <x:row r="1414" ht="22" customHeight="1">
      <x:c r="A1414" s="7" t="str">
        <x:v>M1407</x:v>
      </x:c>
      <x:c r="B1414" s="7" t="str">
        <x:v>RC05</x:v>
      </x:c>
      <x:c r="C1414" s="7" t="str">
        <x:v>T5</x:v>
      </x:c>
      <x:c r="D1414" s="7" t="str">
        <x:v>L08</x:v>
      </x:c>
      <x:c r="E1414" s="7" t="str">
        <x:v>Thirty columns, clear storey</x:v>
      </x:c>
      <x:c r="F1414" s="20" t="n">
        <x:v>30</x:v>
      </x:c>
      <x:c r="G1414" s="20" t="n">
        <x:f>'Controls'!$B$14</x:f>
        <x:v>0.5</x:v>
      </x:c>
      <x:c r="H1414" s="20" t="n">
        <x:f>'Controls'!$B$15</x:f>
        <x:v>0.5</x:v>
      </x:c>
      <x:c r="I1414" s="20" t="n">
        <x:f>'Controls'!$B$12-'Controls'!$B$13</x:f>
        <x:v>2.98</x:v>
      </x:c>
      <x:c r="J1414" s="20" t="n">
        <x:v>1</x:v>
      </x:c>
      <x:c r="K1414" s="20" t="n">
        <x:f>F1414*G1414*H1414*I1414*J1414</x:f>
        <x:v>22.35</x:v>
      </x:c>
      <x:c r="L1414" s="7" t="str">
        <x:v>Slab volume excluded from columns</x:v>
      </x:c>
      <x:c r="M1414" s="2"/>
      <x:c r="N1414" s="2"/>
      <x:c r="O1414" s="2"/>
      <x:c r="P1414" s="2"/>
      <x:c r="Q1414" s="2"/>
    </x:row>
    <x:row r="1415" ht="22" customHeight="1">
      <x:c r="A1415" s="2" t="str">
        <x:v>M1408</x:v>
      </x:c>
      <x:c r="B1415" s="2" t="str">
        <x:v>RC06</x:v>
      </x:c>
      <x:c r="C1415" s="2" t="str">
        <x:v>T5</x:v>
      </x:c>
      <x:c r="D1415" s="2" t="str">
        <x:v>L08</x:v>
      </x:c>
      <x:c r="E1415" s="2" t="str">
        <x:v>Core walls clear storey</x:v>
      </x:c>
      <x:c r="F1415" s="21" t="n">
        <x:v>1</x:v>
      </x:c>
      <x:c r="G1415" s="21" t="n">
        <x:f>'Controls'!$B$19</x:f>
        <x:v>24</x:v>
      </x:c>
      <x:c r="H1415" s="21" t="n">
        <x:f>'Controls'!$B$18</x:f>
        <x:v>0.25</x:v>
      </x:c>
      <x:c r="I1415" s="21" t="n">
        <x:f>'Controls'!$B$12-'Controls'!$B$13</x:f>
        <x:v>2.98</x:v>
      </x:c>
      <x:c r="J1415" s="21" t="n">
        <x:v>1</x:v>
      </x:c>
      <x:c r="K1415" s="21" t="n">
        <x:f>F1415*G1415*H1415*I1415*J1415</x:f>
        <x:v>17.88</x:v>
      </x:c>
      <x:c r="L1415" s="2" t="str">
        <x:v>Net clear wall length excludes corners</x:v>
      </x:c>
      <x:c r="M1415" s="2"/>
      <x:c r="N1415" s="2"/>
      <x:c r="O1415" s="2"/>
      <x:c r="P1415" s="2"/>
      <x:c r="Q1415" s="2"/>
    </x:row>
    <x:row r="1416" ht="22" customHeight="1">
      <x:c r="A1416" s="7" t="str">
        <x:v>M1409</x:v>
      </x:c>
      <x:c r="B1416" s="7" t="str">
        <x:v>RC07</x:v>
      </x:c>
      <x:c r="C1416" s="7" t="str">
        <x:v>T5</x:v>
      </x:c>
      <x:c r="D1416" s="7" t="str">
        <x:v>L08</x:v>
      </x:c>
      <x:c r="E1416" s="7" t="str">
        <x:v>Stair flights waist</x:v>
      </x:c>
      <x:c r="F1416" s="20" t="n">
        <x:v>2</x:v>
      </x:c>
      <x:c r="G1416" s="20" t="n">
        <x:v>4.1</x:v>
      </x:c>
      <x:c r="H1416" s="20" t="n">
        <x:v>1.2</x:v>
      </x:c>
      <x:c r="I1416" s="20" t="n">
        <x:v>0.18</x:v>
      </x:c>
      <x:c r="J1416" s="20" t="n">
        <x:v>1</x:v>
      </x:c>
      <x:c r="K1416" s="20" t="n">
        <x:f>F1416*G1416*H1416*I1416*J1416</x:f>
        <x:v>1.7711999999999997</x:v>
      </x:c>
      <x:c r="L1416" s="7" t="str">
        <x:v>Two flights; geometry separate from floor slab</x:v>
      </x:c>
      <x:c r="M1416" s="2"/>
      <x:c r="N1416" s="2"/>
      <x:c r="O1416" s="2"/>
      <x:c r="P1416" s="2"/>
      <x:c r="Q1416" s="2"/>
    </x:row>
    <x:row r="1417" ht="22" customHeight="1">
      <x:c r="A1417" s="2" t="str">
        <x:v>M1410</x:v>
      </x:c>
      <x:c r="B1417" s="2" t="str">
        <x:v>RC07</x:v>
      </x:c>
      <x:c r="C1417" s="2" t="str">
        <x:v>T5</x:v>
      </x:c>
      <x:c r="D1417" s="2" t="str">
        <x:v>L08</x:v>
      </x:c>
      <x:c r="E1417" s="2" t="str">
        <x:v>Stair landings</x:v>
      </x:c>
      <x:c r="F1417" s="21" t="n">
        <x:v>2</x:v>
      </x:c>
      <x:c r="G1417" s="21" t="n">
        <x:v>2</x:v>
      </x:c>
      <x:c r="H1417" s="21" t="n">
        <x:v>1.2</x:v>
      </x:c>
      <x:c r="I1417" s="21" t="n">
        <x:v>0.18</x:v>
      </x:c>
      <x:c r="J1417" s="21" t="n">
        <x:v>1</x:v>
      </x:c>
      <x:c r="K1417" s="21" t="n">
        <x:f>F1417*G1417*H1417*I1417*J1417</x:f>
        <x:v>0.864</x:v>
      </x:c>
      <x:c r="L1417" s="2" t="str">
        <x:v>Within stair opening</x:v>
      </x:c>
      <x:c r="M1417" s="2"/>
      <x:c r="N1417" s="2"/>
      <x:c r="O1417" s="2"/>
      <x:c r="P1417" s="2"/>
      <x:c r="Q1417" s="2"/>
    </x:row>
    <x:row r="1418" ht="22" customHeight="1">
      <x:c r="A1418" s="7" t="str">
        <x:v>M1411</x:v>
      </x:c>
      <x:c r="B1418" s="7" t="str">
        <x:v>FW01</x:v>
      </x:c>
      <x:c r="C1418" s="7" t="str">
        <x:v>T5</x:v>
      </x:c>
      <x:c r="D1418" s="7" t="str">
        <x:v>L08</x:v>
      </x:c>
      <x:c r="E1418" s="7" t="str">
        <x:v>Slab soffit gross</x:v>
      </x:c>
      <x:c r="F1418" s="20" t="n">
        <x:v>1</x:v>
      </x:c>
      <x:c r="G1418" s="20" t="n">
        <x:f>'Controls'!$B$10</x:f>
        <x:v>30</x:v>
      </x:c>
      <x:c r="H1418" s="20" t="n">
        <x:f>'Controls'!$B$11</x:f>
        <x:v>24</x:v>
      </x:c>
      <x:c r="I1418" s="20" t="n">
        <x:v>1</x:v>
      </x:c>
      <x:c r="J1418" s="20" t="n">
        <x:v>1</x:v>
      </x:c>
      <x:c r="K1418" s="20" t="n">
        <x:f>F1418*G1418*H1418*I1418*J1418</x:f>
        <x:v>720</x:v>
      </x:c>
      <x:c r="L1418" s="7" t="str">
        <x:v>Beam soffit deducted below</x:v>
      </x:c>
      <x:c r="M1418" s="2"/>
      <x:c r="N1418" s="2"/>
      <x:c r="O1418" s="2"/>
      <x:c r="P1418" s="2"/>
      <x:c r="Q1418" s="2"/>
    </x:row>
    <x:row r="1419" ht="22" customHeight="1">
      <x:c r="A1419" s="2" t="str">
        <x:v>M1412</x:v>
      </x:c>
      <x:c r="B1419" s="2" t="str">
        <x:v>FW01</x:v>
      </x:c>
      <x:c r="C1419" s="2" t="str">
        <x:v>T5</x:v>
      </x:c>
      <x:c r="D1419" s="2" t="str">
        <x:v>L08</x:v>
      </x:c>
      <x:c r="E1419" s="2" t="str">
        <x:v>Stair opening deduction</x:v>
      </x:c>
      <x:c r="F1419" s="21" t="n">
        <x:v>1</x:v>
      </x:c>
      <x:c r="G1419" s="21" t="n">
        <x:f>'Controls'!$B$20</x:f>
        <x:v>4</x:v>
      </x:c>
      <x:c r="H1419" s="21" t="n">
        <x:f>'Controls'!$B$21</x:f>
        <x:v>6</x:v>
      </x:c>
      <x:c r="I1419" s="21" t="n">
        <x:v>1</x:v>
      </x:c>
      <x:c r="J1419" s="21" t="n">
        <x:v>-1</x:v>
      </x:c>
      <x:c r="K1419" s="21" t="n">
        <x:f>F1419*G1419*H1419*I1419*J1419</x:f>
        <x:v>-24</x:v>
      </x:c>
      <x:c r="L1419" s="2" t="str">
        <x:v>OP-01</x:v>
      </x:c>
      <x:c r="M1419" s="2"/>
      <x:c r="N1419" s="2"/>
      <x:c r="O1419" s="2"/>
      <x:c r="P1419" s="2"/>
      <x:c r="Q1419" s="2"/>
    </x:row>
    <x:row r="1420" ht="22" customHeight="1">
      <x:c r="A1420" s="7" t="str">
        <x:v>M1413</x:v>
      </x:c>
      <x:c r="B1420" s="7" t="str">
        <x:v>FW01</x:v>
      </x:c>
      <x:c r="C1420" s="7" t="str">
        <x:v>T5</x:v>
      </x:c>
      <x:c r="D1420" s="7" t="str">
        <x:v>L08</x:v>
      </x:c>
      <x:c r="E1420" s="7" t="str">
        <x:v>Beam soffit deduction</x:v>
      </x:c>
      <x:c r="F1420" s="20" t="n">
        <x:v>1</x:v>
      </x:c>
      <x:c r="G1420" s="20" t="n">
        <x:f>5*5*('Controls'!$B$10/5-'Controls'!$B$14)+6*4*('Controls'!$B$11/4-'Controls'!$B$15)</x:f>
        <x:v>269.5</x:v>
      </x:c>
      <x:c r="H1420" s="20" t="n">
        <x:f>'Controls'!$B$16</x:f>
        <x:v>0.3</x:v>
      </x:c>
      <x:c r="I1420" s="20" t="n">
        <x:v>1</x:v>
      </x:c>
      <x:c r="J1420" s="20" t="n">
        <x:v>-1</x:v>
      </x:c>
      <x:c r="K1420" s="20" t="n">
        <x:f>F1420*G1420*H1420*I1420*J1420</x:f>
        <x:v>-80.85</x:v>
      </x:c>
      <x:c r="L1420" s="7" t="str">
        <x:v>Beam forms measured in FW02</x:v>
      </x:c>
      <x:c r="M1420" s="2"/>
      <x:c r="N1420" s="2"/>
      <x:c r="O1420" s="2"/>
      <x:c r="P1420" s="2"/>
      <x:c r="Q1420" s="2"/>
    </x:row>
    <x:row r="1421" ht="22" customHeight="1">
      <x:c r="A1421" s="2" t="str">
        <x:v>M1414</x:v>
      </x:c>
      <x:c r="B1421" s="2" t="str">
        <x:v>FW03</x:v>
      </x:c>
      <x:c r="C1421" s="2" t="str">
        <x:v>T5</x:v>
      </x:c>
      <x:c r="D1421" s="2" t="str">
        <x:v>L08</x:v>
      </x:c>
      <x:c r="E1421" s="2" t="str">
        <x:v>Column four faces</x:v>
      </x:c>
      <x:c r="F1421" s="21" t="n">
        <x:v>30</x:v>
      </x:c>
      <x:c r="G1421" s="21" t="n">
        <x:f>2*('Controls'!$B$14+'Controls'!$B$15)</x:f>
        <x:v>2</x:v>
      </x:c>
      <x:c r="H1421" s="21" t="n">
        <x:f>'Controls'!$B$12-'Controls'!$B$13</x:f>
        <x:v>2.98</x:v>
      </x:c>
      <x:c r="I1421" s="21" t="n">
        <x:v>1</x:v>
      </x:c>
      <x:c r="J1421" s="21" t="n">
        <x:v>1</x:v>
      </x:c>
      <x:c r="K1421" s="21" t="n">
        <x:f>F1421*G1421*H1421*I1421*J1421</x:f>
        <x:v>178.8</x:v>
      </x:c>
      <x:c r="L1421" s="2" t="str">
        <x:v>Clear floor-to-soffit</x:v>
      </x:c>
      <x:c r="M1421" s="2"/>
      <x:c r="N1421" s="2"/>
      <x:c r="O1421" s="2"/>
      <x:c r="P1421" s="2"/>
      <x:c r="Q1421" s="2"/>
    </x:row>
    <x:row r="1422" ht="22" customHeight="1">
      <x:c r="A1422" s="7" t="str">
        <x:v>M1415</x:v>
      </x:c>
      <x:c r="B1422" s="7" t="str">
        <x:v>FW04</x:v>
      </x:c>
      <x:c r="C1422" s="7" t="str">
        <x:v>T5</x:v>
      </x:c>
      <x:c r="D1422" s="7" t="str">
        <x:v>L08</x:v>
      </x:c>
      <x:c r="E1422" s="7" t="str">
        <x:v>Core wall two faces</x:v>
      </x:c>
      <x:c r="F1422" s="20" t="n">
        <x:v>2</x:v>
      </x:c>
      <x:c r="G1422" s="20" t="n">
        <x:f>'Controls'!$B$19</x:f>
        <x:v>24</x:v>
      </x:c>
      <x:c r="H1422" s="20" t="n">
        <x:f>'Controls'!$B$12-'Controls'!$B$13</x:f>
        <x:v>2.98</x:v>
      </x:c>
      <x:c r="I1422" s="20" t="n">
        <x:v>1</x:v>
      </x:c>
      <x:c r="J1422" s="20" t="n">
        <x:v>1</x:v>
      </x:c>
      <x:c r="K1422" s="20" t="n">
        <x:f>F1422*G1422*H1422*I1422*J1422</x:f>
        <x:v>143.04</x:v>
      </x:c>
      <x:c r="L1422" s="7" t="str">
        <x:v>Net perimeter, no repeated corners</x:v>
      </x:c>
      <x:c r="M1422" s="2"/>
      <x:c r="N1422" s="2"/>
      <x:c r="O1422" s="2"/>
      <x:c r="P1422" s="2"/>
      <x:c r="Q1422" s="2"/>
    </x:row>
    <x:row r="1423" ht="22" customHeight="1">
      <x:c r="A1423" s="2" t="str">
        <x:v>M1416</x:v>
      </x:c>
      <x:c r="B1423" s="2" t="str">
        <x:v>AR01</x:v>
      </x:c>
      <x:c r="C1423" s="2" t="str">
        <x:v>T5</x:v>
      </x:c>
      <x:c r="D1423" s="2" t="str">
        <x:v>L08</x:v>
      </x:c>
      <x:c r="E1423" s="2" t="str">
        <x:v>Partition walls gross</x:v>
      </x:c>
      <x:c r="F1423" s="21" t="n">
        <x:v>1</x:v>
      </x:c>
      <x:c r="G1423" s="21" t="n">
        <x:f>'Controls'!$B$45</x:f>
        <x:v>220</x:v>
      </x:c>
      <x:c r="H1423" s="21" t="n">
        <x:f>'Controls'!$B$12-'Controls'!$B$13</x:f>
        <x:v>2.98</x:v>
      </x:c>
      <x:c r="I1423" s="21" t="n">
        <x:f>'Controls'!$B$46</x:f>
        <x:v>0.15</x:v>
      </x:c>
      <x:c r="J1423" s="21" t="n">
        <x:v>1</x:v>
      </x:c>
      <x:c r="K1423" s="21" t="n">
        <x:f>F1423*G1423*H1423*I1423*J1423</x:f>
        <x:v>98.34</x:v>
      </x:c>
      <x:c r="L1423" s="2" t="str">
        <x:v>Net openings deducted below</x:v>
      </x:c>
      <x:c r="M1423" s="2"/>
      <x:c r="N1423" s="2"/>
      <x:c r="O1423" s="2"/>
      <x:c r="P1423" s="2"/>
      <x:c r="Q1423" s="2"/>
    </x:row>
    <x:row r="1424" ht="22" customHeight="1">
      <x:c r="A1424" s="7" t="str">
        <x:v>M1417</x:v>
      </x:c>
      <x:c r="B1424" s="7" t="str">
        <x:v>AR01</x:v>
      </x:c>
      <x:c r="C1424" s="7" t="str">
        <x:v>T5</x:v>
      </x:c>
      <x:c r="D1424" s="7" t="str">
        <x:v>L08</x:v>
      </x:c>
      <x:c r="E1424" s="7" t="str">
        <x:v>Internal doors deduction</x:v>
      </x:c>
      <x:c r="F1424" s="20" t="n">
        <x:f>'Controls'!$B$48</x:f>
        <x:v>28</x:v>
      </x:c>
      <x:c r="G1424" s="20" t="n">
        <x:f>'Controls'!$B$49</x:f>
        <x:v>0.9</x:v>
      </x:c>
      <x:c r="H1424" s="20" t="n">
        <x:f>'Controls'!$B$50</x:f>
        <x:v>2.1</x:v>
      </x:c>
      <x:c r="I1424" s="20" t="n">
        <x:f>'Controls'!$B$46</x:f>
        <x:v>0.15</x:v>
      </x:c>
      <x:c r="J1424" s="20" t="n">
        <x:v>-1</x:v>
      </x:c>
      <x:c r="K1424" s="20" t="n">
        <x:f>F1424*G1424*H1424*I1424*J1424</x:f>
        <x:v>-7.938</x:v>
      </x:c>
      <x:c r="L1424" s="7" t="str">
        <x:v>28 doors per floor, OP-02</x:v>
      </x:c>
      <x:c r="M1424" s="2"/>
      <x:c r="N1424" s="2"/>
      <x:c r="O1424" s="2"/>
      <x:c r="P1424" s="2"/>
      <x:c r="Q1424" s="2"/>
    </x:row>
    <x:row r="1425" ht="22" customHeight="1">
      <x:c r="A1425" s="2" t="str">
        <x:v>M1418</x:v>
      </x:c>
      <x:c r="B1425" s="2" t="str">
        <x:v>AR02</x:v>
      </x:c>
      <x:c r="C1425" s="2" t="str">
        <x:v>T5</x:v>
      </x:c>
      <x:c r="D1425" s="2" t="str">
        <x:v>L08</x:v>
      </x:c>
      <x:c r="E1425" s="2" t="str">
        <x:v>Internal plaster gross</x:v>
      </x:c>
      <x:c r="F1425" s="21" t="n">
        <x:v>2</x:v>
      </x:c>
      <x:c r="G1425" s="21" t="n">
        <x:f>'Controls'!$B$45</x:f>
        <x:v>220</x:v>
      </x:c>
      <x:c r="H1425" s="21" t="n">
        <x:f>'Controls'!$B$12-'Controls'!$B$13</x:f>
        <x:v>2.98</x:v>
      </x:c>
      <x:c r="I1425" s="21" t="n">
        <x:v>1</x:v>
      </x:c>
      <x:c r="J1425" s="21" t="n">
        <x:v>1</x:v>
      </x:c>
      <x:c r="K1425" s="21" t="n">
        <x:f>F1425*G1425*H1425*I1425*J1425</x:f>
        <x:v>1311.2</x:v>
      </x:c>
      <x:c r="L1425" s="2" t="str">
        <x:v>Both faces of partition walls</x:v>
      </x:c>
      <x:c r="M1425" s="2"/>
      <x:c r="N1425" s="2"/>
      <x:c r="O1425" s="2"/>
      <x:c r="P1425" s="2"/>
      <x:c r="Q1425" s="2"/>
    </x:row>
    <x:row r="1426" ht="22" customHeight="1">
      <x:c r="A1426" s="7" t="str">
        <x:v>M1419</x:v>
      </x:c>
      <x:c r="B1426" s="7" t="str">
        <x:v>AR02</x:v>
      </x:c>
      <x:c r="C1426" s="7" t="str">
        <x:v>T5</x:v>
      </x:c>
      <x:c r="D1426" s="7" t="str">
        <x:v>L08</x:v>
      </x:c>
      <x:c r="E1426" s="7" t="str">
        <x:v>Door area deduction both faces</x:v>
      </x:c>
      <x:c r="F1426" s="20" t="n">
        <x:f>2*'Controls'!$B$48</x:f>
        <x:v>56</x:v>
      </x:c>
      <x:c r="G1426" s="20" t="n">
        <x:f>'Controls'!$B$49</x:f>
        <x:v>0.9</x:v>
      </x:c>
      <x:c r="H1426" s="20" t="n">
        <x:f>'Controls'!$B$50</x:f>
        <x:v>2.1</x:v>
      </x:c>
      <x:c r="I1426" s="20" t="n">
        <x:v>1</x:v>
      </x:c>
      <x:c r="J1426" s="20" t="n">
        <x:v>-1</x:v>
      </x:c>
      <x:c r="K1426" s="20" t="n">
        <x:f>F1426*G1426*H1426*I1426*J1426</x:f>
        <x:v>-105.84</x:v>
      </x:c>
      <x:c r="L1426" s="7" t="str">
        <x:v>No plaster over openings</x:v>
      </x:c>
      <x:c r="M1426" s="2"/>
      <x:c r="N1426" s="2"/>
      <x:c r="O1426" s="2"/>
      <x:c r="P1426" s="2"/>
      <x:c r="Q1426" s="2"/>
    </x:row>
    <x:row r="1427" ht="22" customHeight="1">
      <x:c r="A1427" s="2" t="str">
        <x:v>M1420</x:v>
      </x:c>
      <x:c r="B1427" s="2" t="str">
        <x:v>AR03</x:v>
      </x:c>
      <x:c r="C1427" s="2" t="str">
        <x:v>T5</x:v>
      </x:c>
      <x:c r="D1427" s="2" t="str">
        <x:v>L08</x:v>
      </x:c>
      <x:c r="E1427" s="2" t="str">
        <x:v>Floor screed net</x:v>
      </x:c>
      <x:c r="F1427" s="21" t="n">
        <x:v>1</x:v>
      </x:c>
      <x:c r="G1427" s="21" t="n">
        <x:f>'Controls'!$B$10*'Controls'!$B$11-'Controls'!$B$20*'Controls'!$B$21</x:f>
        <x:v>696</x:v>
      </x:c>
      <x:c r="H1427" s="21" t="n">
        <x:v>1</x:v>
      </x:c>
      <x:c r="I1427" s="21" t="n">
        <x:v>1</x:v>
      </x:c>
      <x:c r="J1427" s="21" t="n">
        <x:v>1</x:v>
      </x:c>
      <x:c r="K1427" s="21" t="n">
        <x:f>F1427*G1427*H1427*I1427*J1427</x:f>
        <x:v>696</x:v>
      </x:c>
      <x:c r="L1427" s="2" t="str">
        <x:v>Net structural floor area</x:v>
      </x:c>
      <x:c r="M1427" s="2"/>
      <x:c r="N1427" s="2"/>
      <x:c r="O1427" s="2"/>
      <x:c r="P1427" s="2"/>
      <x:c r="Q1427" s="2"/>
    </x:row>
    <x:row r="1428" ht="22" customHeight="1">
      <x:c r="A1428" s="7" t="str">
        <x:v>M1421</x:v>
      </x:c>
      <x:c r="B1428" s="7" t="str">
        <x:v>AR04</x:v>
      </x:c>
      <x:c r="C1428" s="7" t="str">
        <x:v>T5</x:v>
      </x:c>
      <x:c r="D1428" s="7" t="str">
        <x:v>L08</x:v>
      </x:c>
      <x:c r="E1428" s="7" t="str">
        <x:v>Floor finish net</x:v>
      </x:c>
      <x:c r="F1428" s="20" t="n">
        <x:v>1</x:v>
      </x:c>
      <x:c r="G1428" s="20" t="n">
        <x:f>'Controls'!$B$10*'Controls'!$B$11-'Controls'!$B$20*'Controls'!$B$21</x:f>
        <x:v>696</x:v>
      </x:c>
      <x:c r="H1428" s="20" t="n">
        <x:v>1</x:v>
      </x:c>
      <x:c r="I1428" s="20" t="n">
        <x:v>1</x:v>
      </x:c>
      <x:c r="J1428" s="20" t="n">
        <x:v>1</x:v>
      </x:c>
      <x:c r="K1428" s="20" t="n">
        <x:f>F1428*G1428*H1428*I1428*J1428</x:f>
        <x:v>696</x:v>
      </x:c>
      <x:c r="L1428" s="7" t="str">
        <x:v>Waste excluded from BOQ</x:v>
      </x:c>
      <x:c r="M1428" s="2"/>
      <x:c r="N1428" s="2"/>
      <x:c r="O1428" s="2"/>
      <x:c r="P1428" s="2"/>
      <x:c r="Q1428" s="2"/>
    </x:row>
    <x:row r="1429" ht="22" customHeight="1">
      <x:c r="A1429" s="2" t="str">
        <x:v>M1422</x:v>
      </x:c>
      <x:c r="B1429" s="2" t="str">
        <x:v>AR05</x:v>
      </x:c>
      <x:c r="C1429" s="2" t="str">
        <x:v>T5</x:v>
      </x:c>
      <x:c r="D1429" s="2" t="str">
        <x:v>L08</x:v>
      </x:c>
      <x:c r="E1429" s="2" t="str">
        <x:v>Internal wall paint net</x:v>
      </x:c>
      <x:c r="F1429" s="21" t="n">
        <x:v>2</x:v>
      </x:c>
      <x:c r="G1429" s="21" t="n">
        <x:f>'Controls'!$B$45*('Controls'!$B$12-'Controls'!$B$13)-'Controls'!$B$48*'Controls'!$B$49*'Controls'!$B$50</x:f>
        <x:v>602.6800000000001</x:v>
      </x:c>
      <x:c r="H1429" s="21" t="n">
        <x:v>1</x:v>
      </x:c>
      <x:c r="I1429" s="21" t="n">
        <x:v>1</x:v>
      </x:c>
      <x:c r="J1429" s="21" t="n">
        <x:v>1</x:v>
      </x:c>
      <x:c r="K1429" s="21" t="n">
        <x:f>F1429*G1429*H1429*I1429*J1429</x:f>
        <x:v>1205.3600000000001</x:v>
      </x:c>
      <x:c r="L1429" s="2" t="str">
        <x:v>Finished area; two coats priced in rate</x:v>
      </x:c>
      <x:c r="M1429" s="2"/>
      <x:c r="N1429" s="2"/>
      <x:c r="O1429" s="2"/>
      <x:c r="P1429" s="2"/>
      <x:c r="Q1429" s="2"/>
    </x:row>
    <x:row r="1430" ht="22" customHeight="1">
      <x:c r="A1430" s="7" t="str">
        <x:v>M1423</x:v>
      </x:c>
      <x:c r="B1430" s="7" t="str">
        <x:v>AR06</x:v>
      </x:c>
      <x:c r="C1430" s="7" t="str">
        <x:v>T5</x:v>
      </x:c>
      <x:c r="D1430" s="7" t="str">
        <x:v>L08</x:v>
      </x:c>
      <x:c r="E1430" s="7" t="str">
        <x:v>Door sets</x:v>
      </x:c>
      <x:c r="F1430" s="20" t="n">
        <x:f>'Controls'!$B$48</x:f>
        <x:v>28</x:v>
      </x:c>
      <x:c r="G1430" s="20" t="n">
        <x:v>1</x:v>
      </x:c>
      <x:c r="H1430" s="20" t="n">
        <x:v>1</x:v>
      </x:c>
      <x:c r="I1430" s="20" t="n">
        <x:v>1</x:v>
      </x:c>
      <x:c r="J1430" s="20" t="n">
        <x:v>1</x:v>
      </x:c>
      <x:c r="K1430" s="20" t="n">
        <x:f>F1430*G1430*H1430*I1430*J1430</x:f>
        <x:v>28</x:v>
      </x:c>
      <x:c r="L1430" s="7" t="str">
        <x:v>Door count, not double face</x:v>
      </x:c>
      <x:c r="M1430" s="2"/>
      <x:c r="N1430" s="2"/>
      <x:c r="O1430" s="2"/>
      <x:c r="P1430" s="2"/>
      <x:c r="Q1430" s="2"/>
    </x:row>
    <x:row r="1431" ht="22" customHeight="1">
      <x:c r="A1431" s="2" t="str">
        <x:v>M1424</x:v>
      </x:c>
      <x:c r="B1431" s="2" t="str">
        <x:v>RC03</x:v>
      </x:c>
      <x:c r="C1431" s="2" t="str">
        <x:v>T5</x:v>
      </x:c>
      <x:c r="D1431" s="2" t="str">
        <x:v>L09</x:v>
      </x:c>
      <x:c r="E1431" s="2" t="str">
        <x:v>Floor slab gross</x:v>
      </x:c>
      <x:c r="F1431" s="21" t="n">
        <x:v>1</x:v>
      </x:c>
      <x:c r="G1431" s="21" t="n">
        <x:f>'Controls'!$B$10</x:f>
        <x:v>30</x:v>
      </x:c>
      <x:c r="H1431" s="21" t="n">
        <x:f>'Controls'!$B$11</x:f>
        <x:v>24</x:v>
      </x:c>
      <x:c r="I1431" s="21" t="n">
        <x:f>'Controls'!$B$13</x:f>
        <x:v>0.22</x:v>
      </x:c>
      <x:c r="J1431" s="21" t="n">
        <x:v>1</x:v>
      </x:c>
      <x:c r="K1431" s="21" t="n">
        <x:f>F1431*G1431*H1431*I1431*J1431</x:f>
        <x:v>158.4</x:v>
      </x:c>
      <x:c r="L1431" s="2" t="str">
        <x:v>Slab includes beam top flange; downstand separate</x:v>
      </x:c>
      <x:c r="M1431" s="2"/>
      <x:c r="N1431" s="2"/>
      <x:c r="O1431" s="2"/>
      <x:c r="P1431" s="2"/>
      <x:c r="Q1431" s="2"/>
    </x:row>
    <x:row r="1432" ht="22" customHeight="1">
      <x:c r="A1432" s="7" t="str">
        <x:v>M1425</x:v>
      </x:c>
      <x:c r="B1432" s="7" t="str">
        <x:v>RC03</x:v>
      </x:c>
      <x:c r="C1432" s="7" t="str">
        <x:v>T5</x:v>
      </x:c>
      <x:c r="D1432" s="7" t="str">
        <x:v>L09</x:v>
      </x:c>
      <x:c r="E1432" s="7" t="str">
        <x:v>Stair opening deduction</x:v>
      </x:c>
      <x:c r="F1432" s="20" t="n">
        <x:v>1</x:v>
      </x:c>
      <x:c r="G1432" s="20" t="n">
        <x:f>'Controls'!$B$20</x:f>
        <x:v>4</x:v>
      </x:c>
      <x:c r="H1432" s="20" t="n">
        <x:f>'Controls'!$B$21</x:f>
        <x:v>6</x:v>
      </x:c>
      <x:c r="I1432" s="20" t="n">
        <x:f>'Controls'!$B$13</x:f>
        <x:v>0.22</x:v>
      </x:c>
      <x:c r="J1432" s="20" t="n">
        <x:v>-1</x:v>
      </x:c>
      <x:c r="K1432" s="20" t="n">
        <x:f>F1432*G1432*H1432*I1432*J1432</x:f>
        <x:v>-5.28</x:v>
      </x:c>
      <x:c r="L1432" s="7" t="str">
        <x:v>Opening OP-01</x:v>
      </x:c>
      <x:c r="M1432" s="2"/>
      <x:c r="N1432" s="2"/>
      <x:c r="O1432" s="2"/>
      <x:c r="P1432" s="2"/>
      <x:c r="Q1432" s="2"/>
    </x:row>
    <x:row r="1433" ht="22" customHeight="1">
      <x:c r="A1433" s="2" t="str">
        <x:v>M1426</x:v>
      </x:c>
      <x:c r="B1433" s="2" t="str">
        <x:v>RC04</x:v>
      </x:c>
      <x:c r="C1433" s="2" t="str">
        <x:v>T5</x:v>
      </x:c>
      <x:c r="D1433" s="2" t="str">
        <x:v>L09</x:v>
      </x:c>
      <x:c r="E1433" s="2" t="str">
        <x:v>Beam downstands X</x:v>
      </x:c>
      <x:c r="F1433" s="21" t="n">
        <x:v>1</x:v>
      </x:c>
      <x:c r="G1433" s="21" t="n">
        <x:f>5*5*('Controls'!$B$10/5-'Controls'!$B$14)</x:f>
        <x:v>137.5</x:v>
      </x:c>
      <x:c r="H1433" s="21" t="n">
        <x:f>'Controls'!$B$16</x:f>
        <x:v>0.3</x:v>
      </x:c>
      <x:c r="I1433" s="21" t="n">
        <x:f>'Controls'!$B$17-'Controls'!$B$13</x:f>
        <x:v>0.38</x:v>
      </x:c>
      <x:c r="J1433" s="21" t="n">
        <x:v>1</x:v>
      </x:c>
      <x:c r="K1433" s="21" t="n">
        <x:f>F1433*G1433*H1433*I1433*J1433</x:f>
        <x:v>15.675</x:v>
      </x:c>
      <x:c r="L1433" s="2" t="str">
        <x:v>Clear spans between column faces; no joint overlap</x:v>
      </x:c>
      <x:c r="M1433" s="2"/>
      <x:c r="N1433" s="2"/>
      <x:c r="O1433" s="2"/>
      <x:c r="P1433" s="2"/>
      <x:c r="Q1433" s="2"/>
    </x:row>
    <x:row r="1434" ht="22" customHeight="1">
      <x:c r="A1434" s="7" t="str">
        <x:v>M1427</x:v>
      </x:c>
      <x:c r="B1434" s="7" t="str">
        <x:v>FW02</x:v>
      </x:c>
      <x:c r="C1434" s="7" t="str">
        <x:v>T5</x:v>
      </x:c>
      <x:c r="D1434" s="7" t="str">
        <x:v>L09</x:v>
      </x:c>
      <x:c r="E1434" s="7" t="str">
        <x:v>Beam forms X</x:v>
      </x:c>
      <x:c r="F1434" s="20" t="n">
        <x:v>1</x:v>
      </x:c>
      <x:c r="G1434" s="20" t="n">
        <x:f>5*5*('Controls'!$B$10/5-'Controls'!$B$14)</x:f>
        <x:v>137.5</x:v>
      </x:c>
      <x:c r="H1434" s="20" t="n">
        <x:f>'Controls'!$B$16+2*('Controls'!$B$17-'Controls'!$B$13)</x:f>
        <x:v>1.06</x:v>
      </x:c>
      <x:c r="I1434" s="20" t="n">
        <x:v>1</x:v>
      </x:c>
      <x:c r="J1434" s="20" t="n">
        <x:v>1</x:v>
      </x:c>
      <x:c r="K1434" s="20" t="n">
        <x:f>F1434*G1434*H1434*I1434*J1434</x:f>
        <x:v>145.75</x:v>
      </x:c>
      <x:c r="L1434" s="7" t="str">
        <x:v>Soffit plus two downstand sides</x:v>
      </x:c>
      <x:c r="M1434" s="2"/>
      <x:c r="N1434" s="2"/>
      <x:c r="O1434" s="2"/>
      <x:c r="P1434" s="2"/>
      <x:c r="Q1434" s="2"/>
    </x:row>
    <x:row r="1435" ht="22" customHeight="1">
      <x:c r="A1435" s="2" t="str">
        <x:v>M1428</x:v>
      </x:c>
      <x:c r="B1435" s="2" t="str">
        <x:v>RC04</x:v>
      </x:c>
      <x:c r="C1435" s="2" t="str">
        <x:v>T5</x:v>
      </x:c>
      <x:c r="D1435" s="2" t="str">
        <x:v>L09</x:v>
      </x:c>
      <x:c r="E1435" s="2" t="str">
        <x:v>Beam downstands Y</x:v>
      </x:c>
      <x:c r="F1435" s="21" t="n">
        <x:v>1</x:v>
      </x:c>
      <x:c r="G1435" s="21" t="n">
        <x:f>6*4*('Controls'!$B$11/4-'Controls'!$B$15)</x:f>
        <x:v>132</x:v>
      </x:c>
      <x:c r="H1435" s="21" t="n">
        <x:f>'Controls'!$B$16</x:f>
        <x:v>0.3</x:v>
      </x:c>
      <x:c r="I1435" s="21" t="n">
        <x:f>'Controls'!$B$17-'Controls'!$B$13</x:f>
        <x:v>0.38</x:v>
      </x:c>
      <x:c r="J1435" s="21" t="n">
        <x:v>1</x:v>
      </x:c>
      <x:c r="K1435" s="21" t="n">
        <x:f>F1435*G1435*H1435*I1435*J1435</x:f>
        <x:v>15.048</x:v>
      </x:c>
      <x:c r="L1435" s="2" t="str">
        <x:v>Clear spans between column faces; no joint overlap</x:v>
      </x:c>
      <x:c r="M1435" s="2"/>
      <x:c r="N1435" s="2"/>
      <x:c r="O1435" s="2"/>
      <x:c r="P1435" s="2"/>
      <x:c r="Q1435" s="2"/>
    </x:row>
    <x:row r="1436" ht="22" customHeight="1">
      <x:c r="A1436" s="7" t="str">
        <x:v>M1429</x:v>
      </x:c>
      <x:c r="B1436" s="7" t="str">
        <x:v>FW02</x:v>
      </x:c>
      <x:c r="C1436" s="7" t="str">
        <x:v>T5</x:v>
      </x:c>
      <x:c r="D1436" s="7" t="str">
        <x:v>L09</x:v>
      </x:c>
      <x:c r="E1436" s="7" t="str">
        <x:v>Beam forms Y</x:v>
      </x:c>
      <x:c r="F1436" s="20" t="n">
        <x:v>1</x:v>
      </x:c>
      <x:c r="G1436" s="20" t="n">
        <x:f>6*4*('Controls'!$B$11/4-'Controls'!$B$15)</x:f>
        <x:v>132</x:v>
      </x:c>
      <x:c r="H1436" s="20" t="n">
        <x:f>'Controls'!$B$16+2*('Controls'!$B$17-'Controls'!$B$13)</x:f>
        <x:v>1.06</x:v>
      </x:c>
      <x:c r="I1436" s="20" t="n">
        <x:v>1</x:v>
      </x:c>
      <x:c r="J1436" s="20" t="n">
        <x:v>1</x:v>
      </x:c>
      <x:c r="K1436" s="20" t="n">
        <x:f>F1436*G1436*H1436*I1436*J1436</x:f>
        <x:v>139.92000000000002</x:v>
      </x:c>
      <x:c r="L1436" s="7" t="str">
        <x:v>Soffit plus two downstand sides</x:v>
      </x:c>
      <x:c r="M1436" s="2"/>
      <x:c r="N1436" s="2"/>
      <x:c r="O1436" s="2"/>
      <x:c r="P1436" s="2"/>
      <x:c r="Q1436" s="2"/>
    </x:row>
    <x:row r="1437" ht="22" customHeight="1">
      <x:c r="A1437" s="2" t="str">
        <x:v>M1430</x:v>
      </x:c>
      <x:c r="B1437" s="2" t="str">
        <x:v>RC05</x:v>
      </x:c>
      <x:c r="C1437" s="2" t="str">
        <x:v>T5</x:v>
      </x:c>
      <x:c r="D1437" s="2" t="str">
        <x:v>L09</x:v>
      </x:c>
      <x:c r="E1437" s="2" t="str">
        <x:v>Thirty columns, clear storey</x:v>
      </x:c>
      <x:c r="F1437" s="21" t="n">
        <x:v>30</x:v>
      </x:c>
      <x:c r="G1437" s="21" t="n">
        <x:f>'Controls'!$B$14</x:f>
        <x:v>0.5</x:v>
      </x:c>
      <x:c r="H1437" s="21" t="n">
        <x:f>'Controls'!$B$15</x:f>
        <x:v>0.5</x:v>
      </x:c>
      <x:c r="I1437" s="21" t="n">
        <x:f>'Controls'!$B$12-'Controls'!$B$13</x:f>
        <x:v>2.98</x:v>
      </x:c>
      <x:c r="J1437" s="21" t="n">
        <x:v>1</x:v>
      </x:c>
      <x:c r="K1437" s="21" t="n">
        <x:f>F1437*G1437*H1437*I1437*J1437</x:f>
        <x:v>22.35</x:v>
      </x:c>
      <x:c r="L1437" s="2" t="str">
        <x:v>Slab volume excluded from columns</x:v>
      </x:c>
      <x:c r="M1437" s="2"/>
      <x:c r="N1437" s="2"/>
      <x:c r="O1437" s="2"/>
      <x:c r="P1437" s="2"/>
      <x:c r="Q1437" s="2"/>
    </x:row>
    <x:row r="1438" ht="22" customHeight="1">
      <x:c r="A1438" s="7" t="str">
        <x:v>M1431</x:v>
      </x:c>
      <x:c r="B1438" s="7" t="str">
        <x:v>RC06</x:v>
      </x:c>
      <x:c r="C1438" s="7" t="str">
        <x:v>T5</x:v>
      </x:c>
      <x:c r="D1438" s="7" t="str">
        <x:v>L09</x:v>
      </x:c>
      <x:c r="E1438" s="7" t="str">
        <x:v>Core walls clear storey</x:v>
      </x:c>
      <x:c r="F1438" s="20" t="n">
        <x:v>1</x:v>
      </x:c>
      <x:c r="G1438" s="20" t="n">
        <x:f>'Controls'!$B$19</x:f>
        <x:v>24</x:v>
      </x:c>
      <x:c r="H1438" s="20" t="n">
        <x:f>'Controls'!$B$18</x:f>
        <x:v>0.25</x:v>
      </x:c>
      <x:c r="I1438" s="20" t="n">
        <x:f>'Controls'!$B$12-'Controls'!$B$13</x:f>
        <x:v>2.98</x:v>
      </x:c>
      <x:c r="J1438" s="20" t="n">
        <x:v>1</x:v>
      </x:c>
      <x:c r="K1438" s="20" t="n">
        <x:f>F1438*G1438*H1438*I1438*J1438</x:f>
        <x:v>17.88</x:v>
      </x:c>
      <x:c r="L1438" s="7" t="str">
        <x:v>Net clear wall length excludes corners</x:v>
      </x:c>
      <x:c r="M1438" s="2"/>
      <x:c r="N1438" s="2"/>
      <x:c r="O1438" s="2"/>
      <x:c r="P1438" s="2"/>
      <x:c r="Q1438" s="2"/>
    </x:row>
    <x:row r="1439" ht="22" customHeight="1">
      <x:c r="A1439" s="2" t="str">
        <x:v>M1432</x:v>
      </x:c>
      <x:c r="B1439" s="2" t="str">
        <x:v>RC07</x:v>
      </x:c>
      <x:c r="C1439" s="2" t="str">
        <x:v>T5</x:v>
      </x:c>
      <x:c r="D1439" s="2" t="str">
        <x:v>L09</x:v>
      </x:c>
      <x:c r="E1439" s="2" t="str">
        <x:v>Stair flights waist</x:v>
      </x:c>
      <x:c r="F1439" s="21" t="n">
        <x:v>2</x:v>
      </x:c>
      <x:c r="G1439" s="21" t="n">
        <x:v>4.1</x:v>
      </x:c>
      <x:c r="H1439" s="21" t="n">
        <x:v>1.2</x:v>
      </x:c>
      <x:c r="I1439" s="21" t="n">
        <x:v>0.18</x:v>
      </x:c>
      <x:c r="J1439" s="21" t="n">
        <x:v>1</x:v>
      </x:c>
      <x:c r="K1439" s="21" t="n">
        <x:f>F1439*G1439*H1439*I1439*J1439</x:f>
        <x:v>1.7711999999999997</x:v>
      </x:c>
      <x:c r="L1439" s="2" t="str">
        <x:v>Two flights; geometry separate from floor slab</x:v>
      </x:c>
      <x:c r="M1439" s="2"/>
      <x:c r="N1439" s="2"/>
      <x:c r="O1439" s="2"/>
      <x:c r="P1439" s="2"/>
      <x:c r="Q1439" s="2"/>
    </x:row>
    <x:row r="1440" ht="22" customHeight="1">
      <x:c r="A1440" s="7" t="str">
        <x:v>M1433</x:v>
      </x:c>
      <x:c r="B1440" s="7" t="str">
        <x:v>RC07</x:v>
      </x:c>
      <x:c r="C1440" s="7" t="str">
        <x:v>T5</x:v>
      </x:c>
      <x:c r="D1440" s="7" t="str">
        <x:v>L09</x:v>
      </x:c>
      <x:c r="E1440" s="7" t="str">
        <x:v>Stair landings</x:v>
      </x:c>
      <x:c r="F1440" s="20" t="n">
        <x:v>2</x:v>
      </x:c>
      <x:c r="G1440" s="20" t="n">
        <x:v>2</x:v>
      </x:c>
      <x:c r="H1440" s="20" t="n">
        <x:v>1.2</x:v>
      </x:c>
      <x:c r="I1440" s="20" t="n">
        <x:v>0.18</x:v>
      </x:c>
      <x:c r="J1440" s="20" t="n">
        <x:v>1</x:v>
      </x:c>
      <x:c r="K1440" s="20" t="n">
        <x:f>F1440*G1440*H1440*I1440*J1440</x:f>
        <x:v>0.864</x:v>
      </x:c>
      <x:c r="L1440" s="7" t="str">
        <x:v>Within stair opening</x:v>
      </x:c>
      <x:c r="M1440" s="2"/>
      <x:c r="N1440" s="2"/>
      <x:c r="O1440" s="2"/>
      <x:c r="P1440" s="2"/>
      <x:c r="Q1440" s="2"/>
    </x:row>
    <x:row r="1441" ht="22" customHeight="1">
      <x:c r="A1441" s="2" t="str">
        <x:v>M1434</x:v>
      </x:c>
      <x:c r="B1441" s="2" t="str">
        <x:v>FW01</x:v>
      </x:c>
      <x:c r="C1441" s="2" t="str">
        <x:v>T5</x:v>
      </x:c>
      <x:c r="D1441" s="2" t="str">
        <x:v>L09</x:v>
      </x:c>
      <x:c r="E1441" s="2" t="str">
        <x:v>Slab soffit gross</x:v>
      </x:c>
      <x:c r="F1441" s="21" t="n">
        <x:v>1</x:v>
      </x:c>
      <x:c r="G1441" s="21" t="n">
        <x:f>'Controls'!$B$10</x:f>
        <x:v>30</x:v>
      </x:c>
      <x:c r="H1441" s="21" t="n">
        <x:f>'Controls'!$B$11</x:f>
        <x:v>24</x:v>
      </x:c>
      <x:c r="I1441" s="21" t="n">
        <x:v>1</x:v>
      </x:c>
      <x:c r="J1441" s="21" t="n">
        <x:v>1</x:v>
      </x:c>
      <x:c r="K1441" s="21" t="n">
        <x:f>F1441*G1441*H1441*I1441*J1441</x:f>
        <x:v>720</x:v>
      </x:c>
      <x:c r="L1441" s="2" t="str">
        <x:v>Beam soffit deducted below</x:v>
      </x:c>
      <x:c r="M1441" s="2"/>
      <x:c r="N1441" s="2"/>
      <x:c r="O1441" s="2"/>
      <x:c r="P1441" s="2"/>
      <x:c r="Q1441" s="2"/>
    </x:row>
    <x:row r="1442" ht="22" customHeight="1">
      <x:c r="A1442" s="7" t="str">
        <x:v>M1435</x:v>
      </x:c>
      <x:c r="B1442" s="7" t="str">
        <x:v>FW01</x:v>
      </x:c>
      <x:c r="C1442" s="7" t="str">
        <x:v>T5</x:v>
      </x:c>
      <x:c r="D1442" s="7" t="str">
        <x:v>L09</x:v>
      </x:c>
      <x:c r="E1442" s="7" t="str">
        <x:v>Stair opening deduction</x:v>
      </x:c>
      <x:c r="F1442" s="20" t="n">
        <x:v>1</x:v>
      </x:c>
      <x:c r="G1442" s="20" t="n">
        <x:f>'Controls'!$B$20</x:f>
        <x:v>4</x:v>
      </x:c>
      <x:c r="H1442" s="20" t="n">
        <x:f>'Controls'!$B$21</x:f>
        <x:v>6</x:v>
      </x:c>
      <x:c r="I1442" s="20" t="n">
        <x:v>1</x:v>
      </x:c>
      <x:c r="J1442" s="20" t="n">
        <x:v>-1</x:v>
      </x:c>
      <x:c r="K1442" s="20" t="n">
        <x:f>F1442*G1442*H1442*I1442*J1442</x:f>
        <x:v>-24</x:v>
      </x:c>
      <x:c r="L1442" s="7" t="str">
        <x:v>OP-01</x:v>
      </x:c>
      <x:c r="M1442" s="2"/>
      <x:c r="N1442" s="2"/>
      <x:c r="O1442" s="2"/>
      <x:c r="P1442" s="2"/>
      <x:c r="Q1442" s="2"/>
    </x:row>
    <x:row r="1443" ht="22" customHeight="1">
      <x:c r="A1443" s="2" t="str">
        <x:v>M1436</x:v>
      </x:c>
      <x:c r="B1443" s="2" t="str">
        <x:v>FW01</x:v>
      </x:c>
      <x:c r="C1443" s="2" t="str">
        <x:v>T5</x:v>
      </x:c>
      <x:c r="D1443" s="2" t="str">
        <x:v>L09</x:v>
      </x:c>
      <x:c r="E1443" s="2" t="str">
        <x:v>Beam soffit deduction</x:v>
      </x:c>
      <x:c r="F1443" s="21" t="n">
        <x:v>1</x:v>
      </x:c>
      <x:c r="G1443" s="21" t="n">
        <x:f>5*5*('Controls'!$B$10/5-'Controls'!$B$14)+6*4*('Controls'!$B$11/4-'Controls'!$B$15)</x:f>
        <x:v>269.5</x:v>
      </x:c>
      <x:c r="H1443" s="21" t="n">
        <x:f>'Controls'!$B$16</x:f>
        <x:v>0.3</x:v>
      </x:c>
      <x:c r="I1443" s="21" t="n">
        <x:v>1</x:v>
      </x:c>
      <x:c r="J1443" s="21" t="n">
        <x:v>-1</x:v>
      </x:c>
      <x:c r="K1443" s="21" t="n">
        <x:f>F1443*G1443*H1443*I1443*J1443</x:f>
        <x:v>-80.85</x:v>
      </x:c>
      <x:c r="L1443" s="2" t="str">
        <x:v>Beam forms measured in FW02</x:v>
      </x:c>
      <x:c r="M1443" s="2"/>
      <x:c r="N1443" s="2"/>
      <x:c r="O1443" s="2"/>
      <x:c r="P1443" s="2"/>
      <x:c r="Q1443" s="2"/>
    </x:row>
    <x:row r="1444" ht="22" customHeight="1">
      <x:c r="A1444" s="7" t="str">
        <x:v>M1437</x:v>
      </x:c>
      <x:c r="B1444" s="7" t="str">
        <x:v>FW03</x:v>
      </x:c>
      <x:c r="C1444" s="7" t="str">
        <x:v>T5</x:v>
      </x:c>
      <x:c r="D1444" s="7" t="str">
        <x:v>L09</x:v>
      </x:c>
      <x:c r="E1444" s="7" t="str">
        <x:v>Column four faces</x:v>
      </x:c>
      <x:c r="F1444" s="20" t="n">
        <x:v>30</x:v>
      </x:c>
      <x:c r="G1444" s="20" t="n">
        <x:f>2*('Controls'!$B$14+'Controls'!$B$15)</x:f>
        <x:v>2</x:v>
      </x:c>
      <x:c r="H1444" s="20" t="n">
        <x:f>'Controls'!$B$12-'Controls'!$B$13</x:f>
        <x:v>2.98</x:v>
      </x:c>
      <x:c r="I1444" s="20" t="n">
        <x:v>1</x:v>
      </x:c>
      <x:c r="J1444" s="20" t="n">
        <x:v>1</x:v>
      </x:c>
      <x:c r="K1444" s="20" t="n">
        <x:f>F1444*G1444*H1444*I1444*J1444</x:f>
        <x:v>178.8</x:v>
      </x:c>
      <x:c r="L1444" s="7" t="str">
        <x:v>Clear floor-to-soffit</x:v>
      </x:c>
      <x:c r="M1444" s="2"/>
      <x:c r="N1444" s="2"/>
      <x:c r="O1444" s="2"/>
      <x:c r="P1444" s="2"/>
      <x:c r="Q1444" s="2"/>
    </x:row>
    <x:row r="1445" ht="22" customHeight="1">
      <x:c r="A1445" s="2" t="str">
        <x:v>M1438</x:v>
      </x:c>
      <x:c r="B1445" s="2" t="str">
        <x:v>FW04</x:v>
      </x:c>
      <x:c r="C1445" s="2" t="str">
        <x:v>T5</x:v>
      </x:c>
      <x:c r="D1445" s="2" t="str">
        <x:v>L09</x:v>
      </x:c>
      <x:c r="E1445" s="2" t="str">
        <x:v>Core wall two faces</x:v>
      </x:c>
      <x:c r="F1445" s="21" t="n">
        <x:v>2</x:v>
      </x:c>
      <x:c r="G1445" s="21" t="n">
        <x:f>'Controls'!$B$19</x:f>
        <x:v>24</x:v>
      </x:c>
      <x:c r="H1445" s="21" t="n">
        <x:f>'Controls'!$B$12-'Controls'!$B$13</x:f>
        <x:v>2.98</x:v>
      </x:c>
      <x:c r="I1445" s="21" t="n">
        <x:v>1</x:v>
      </x:c>
      <x:c r="J1445" s="21" t="n">
        <x:v>1</x:v>
      </x:c>
      <x:c r="K1445" s="21" t="n">
        <x:f>F1445*G1445*H1445*I1445*J1445</x:f>
        <x:v>143.04</x:v>
      </x:c>
      <x:c r="L1445" s="2" t="str">
        <x:v>Net perimeter, no repeated corners</x:v>
      </x:c>
      <x:c r="M1445" s="2"/>
      <x:c r="N1445" s="2"/>
      <x:c r="O1445" s="2"/>
      <x:c r="P1445" s="2"/>
      <x:c r="Q1445" s="2"/>
    </x:row>
    <x:row r="1446" ht="22" customHeight="1">
      <x:c r="A1446" s="7" t="str">
        <x:v>M1439</x:v>
      </x:c>
      <x:c r="B1446" s="7" t="str">
        <x:v>AR01</x:v>
      </x:c>
      <x:c r="C1446" s="7" t="str">
        <x:v>T5</x:v>
      </x:c>
      <x:c r="D1446" s="7" t="str">
        <x:v>L09</x:v>
      </x:c>
      <x:c r="E1446" s="7" t="str">
        <x:v>Partition walls gross</x:v>
      </x:c>
      <x:c r="F1446" s="20" t="n">
        <x:v>1</x:v>
      </x:c>
      <x:c r="G1446" s="20" t="n">
        <x:f>'Controls'!$B$45</x:f>
        <x:v>220</x:v>
      </x:c>
      <x:c r="H1446" s="20" t="n">
        <x:f>'Controls'!$B$12-'Controls'!$B$13</x:f>
        <x:v>2.98</x:v>
      </x:c>
      <x:c r="I1446" s="20" t="n">
        <x:f>'Controls'!$B$46</x:f>
        <x:v>0.15</x:v>
      </x:c>
      <x:c r="J1446" s="20" t="n">
        <x:v>1</x:v>
      </x:c>
      <x:c r="K1446" s="20" t="n">
        <x:f>F1446*G1446*H1446*I1446*J1446</x:f>
        <x:v>98.34</x:v>
      </x:c>
      <x:c r="L1446" s="7" t="str">
        <x:v>Net openings deducted below</x:v>
      </x:c>
      <x:c r="M1446" s="2"/>
      <x:c r="N1446" s="2"/>
      <x:c r="O1446" s="2"/>
      <x:c r="P1446" s="2"/>
      <x:c r="Q1446" s="2"/>
    </x:row>
    <x:row r="1447" ht="22" customHeight="1">
      <x:c r="A1447" s="2" t="str">
        <x:v>M1440</x:v>
      </x:c>
      <x:c r="B1447" s="2" t="str">
        <x:v>AR01</x:v>
      </x:c>
      <x:c r="C1447" s="2" t="str">
        <x:v>T5</x:v>
      </x:c>
      <x:c r="D1447" s="2" t="str">
        <x:v>L09</x:v>
      </x:c>
      <x:c r="E1447" s="2" t="str">
        <x:v>Internal doors deduction</x:v>
      </x:c>
      <x:c r="F1447" s="21" t="n">
        <x:f>'Controls'!$B$48</x:f>
        <x:v>28</x:v>
      </x:c>
      <x:c r="G1447" s="21" t="n">
        <x:f>'Controls'!$B$49</x:f>
        <x:v>0.9</x:v>
      </x:c>
      <x:c r="H1447" s="21" t="n">
        <x:f>'Controls'!$B$50</x:f>
        <x:v>2.1</x:v>
      </x:c>
      <x:c r="I1447" s="21" t="n">
        <x:f>'Controls'!$B$46</x:f>
        <x:v>0.15</x:v>
      </x:c>
      <x:c r="J1447" s="21" t="n">
        <x:v>-1</x:v>
      </x:c>
      <x:c r="K1447" s="21" t="n">
        <x:f>F1447*G1447*H1447*I1447*J1447</x:f>
        <x:v>-7.938</x:v>
      </x:c>
      <x:c r="L1447" s="2" t="str">
        <x:v>28 doors per floor, OP-02</x:v>
      </x:c>
      <x:c r="M1447" s="2"/>
      <x:c r="N1447" s="2"/>
      <x:c r="O1447" s="2"/>
      <x:c r="P1447" s="2"/>
      <x:c r="Q1447" s="2"/>
    </x:row>
    <x:row r="1448" ht="22" customHeight="1">
      <x:c r="A1448" s="7" t="str">
        <x:v>M1441</x:v>
      </x:c>
      <x:c r="B1448" s="7" t="str">
        <x:v>AR02</x:v>
      </x:c>
      <x:c r="C1448" s="7" t="str">
        <x:v>T5</x:v>
      </x:c>
      <x:c r="D1448" s="7" t="str">
        <x:v>L09</x:v>
      </x:c>
      <x:c r="E1448" s="7" t="str">
        <x:v>Internal plaster gross</x:v>
      </x:c>
      <x:c r="F1448" s="20" t="n">
        <x:v>2</x:v>
      </x:c>
      <x:c r="G1448" s="20" t="n">
        <x:f>'Controls'!$B$45</x:f>
        <x:v>220</x:v>
      </x:c>
      <x:c r="H1448" s="20" t="n">
        <x:f>'Controls'!$B$12-'Controls'!$B$13</x:f>
        <x:v>2.98</x:v>
      </x:c>
      <x:c r="I1448" s="20" t="n">
        <x:v>1</x:v>
      </x:c>
      <x:c r="J1448" s="20" t="n">
        <x:v>1</x:v>
      </x:c>
      <x:c r="K1448" s="20" t="n">
        <x:f>F1448*G1448*H1448*I1448*J1448</x:f>
        <x:v>1311.2</x:v>
      </x:c>
      <x:c r="L1448" s="7" t="str">
        <x:v>Both faces of partition walls</x:v>
      </x:c>
      <x:c r="M1448" s="2"/>
      <x:c r="N1448" s="2"/>
      <x:c r="O1448" s="2"/>
      <x:c r="P1448" s="2"/>
      <x:c r="Q1448" s="2"/>
    </x:row>
    <x:row r="1449" ht="22" customHeight="1">
      <x:c r="A1449" s="2" t="str">
        <x:v>M1442</x:v>
      </x:c>
      <x:c r="B1449" s="2" t="str">
        <x:v>AR02</x:v>
      </x:c>
      <x:c r="C1449" s="2" t="str">
        <x:v>T5</x:v>
      </x:c>
      <x:c r="D1449" s="2" t="str">
        <x:v>L09</x:v>
      </x:c>
      <x:c r="E1449" s="2" t="str">
        <x:v>Door area deduction both faces</x:v>
      </x:c>
      <x:c r="F1449" s="21" t="n">
        <x:f>2*'Controls'!$B$48</x:f>
        <x:v>56</x:v>
      </x:c>
      <x:c r="G1449" s="21" t="n">
        <x:f>'Controls'!$B$49</x:f>
        <x:v>0.9</x:v>
      </x:c>
      <x:c r="H1449" s="21" t="n">
        <x:f>'Controls'!$B$50</x:f>
        <x:v>2.1</x:v>
      </x:c>
      <x:c r="I1449" s="21" t="n">
        <x:v>1</x:v>
      </x:c>
      <x:c r="J1449" s="21" t="n">
        <x:v>-1</x:v>
      </x:c>
      <x:c r="K1449" s="21" t="n">
        <x:f>F1449*G1449*H1449*I1449*J1449</x:f>
        <x:v>-105.84</x:v>
      </x:c>
      <x:c r="L1449" s="2" t="str">
        <x:v>No plaster over openings</x:v>
      </x:c>
      <x:c r="M1449" s="2"/>
      <x:c r="N1449" s="2"/>
      <x:c r="O1449" s="2"/>
      <x:c r="P1449" s="2"/>
      <x:c r="Q1449" s="2"/>
    </x:row>
    <x:row r="1450" ht="22" customHeight="1">
      <x:c r="A1450" s="7" t="str">
        <x:v>M1443</x:v>
      </x:c>
      <x:c r="B1450" s="7" t="str">
        <x:v>AR03</x:v>
      </x:c>
      <x:c r="C1450" s="7" t="str">
        <x:v>T5</x:v>
      </x:c>
      <x:c r="D1450" s="7" t="str">
        <x:v>L09</x:v>
      </x:c>
      <x:c r="E1450" s="7" t="str">
        <x:v>Floor screed net</x:v>
      </x:c>
      <x:c r="F1450" s="20" t="n">
        <x:v>1</x:v>
      </x:c>
      <x:c r="G1450" s="20" t="n">
        <x:f>'Controls'!$B$10*'Controls'!$B$11-'Controls'!$B$20*'Controls'!$B$21</x:f>
        <x:v>696</x:v>
      </x:c>
      <x:c r="H1450" s="20" t="n">
        <x:v>1</x:v>
      </x:c>
      <x:c r="I1450" s="20" t="n">
        <x:v>1</x:v>
      </x:c>
      <x:c r="J1450" s="20" t="n">
        <x:v>1</x:v>
      </x:c>
      <x:c r="K1450" s="20" t="n">
        <x:f>F1450*G1450*H1450*I1450*J1450</x:f>
        <x:v>696</x:v>
      </x:c>
      <x:c r="L1450" s="7" t="str">
        <x:v>Net structural floor area</x:v>
      </x:c>
      <x:c r="M1450" s="2"/>
      <x:c r="N1450" s="2"/>
      <x:c r="O1450" s="2"/>
      <x:c r="P1450" s="2"/>
      <x:c r="Q1450" s="2"/>
    </x:row>
    <x:row r="1451" ht="22" customHeight="1">
      <x:c r="A1451" s="2" t="str">
        <x:v>M1444</x:v>
      </x:c>
      <x:c r="B1451" s="2" t="str">
        <x:v>AR04</x:v>
      </x:c>
      <x:c r="C1451" s="2" t="str">
        <x:v>T5</x:v>
      </x:c>
      <x:c r="D1451" s="2" t="str">
        <x:v>L09</x:v>
      </x:c>
      <x:c r="E1451" s="2" t="str">
        <x:v>Floor finish net</x:v>
      </x:c>
      <x:c r="F1451" s="21" t="n">
        <x:v>1</x:v>
      </x:c>
      <x:c r="G1451" s="21" t="n">
        <x:f>'Controls'!$B$10*'Controls'!$B$11-'Controls'!$B$20*'Controls'!$B$21</x:f>
        <x:v>696</x:v>
      </x:c>
      <x:c r="H1451" s="21" t="n">
        <x:v>1</x:v>
      </x:c>
      <x:c r="I1451" s="21" t="n">
        <x:v>1</x:v>
      </x:c>
      <x:c r="J1451" s="21" t="n">
        <x:v>1</x:v>
      </x:c>
      <x:c r="K1451" s="21" t="n">
        <x:f>F1451*G1451*H1451*I1451*J1451</x:f>
        <x:v>696</x:v>
      </x:c>
      <x:c r="L1451" s="2" t="str">
        <x:v>Waste excluded from BOQ</x:v>
      </x:c>
      <x:c r="M1451" s="2"/>
      <x:c r="N1451" s="2"/>
      <x:c r="O1451" s="2"/>
      <x:c r="P1451" s="2"/>
      <x:c r="Q1451" s="2"/>
    </x:row>
    <x:row r="1452" ht="22" customHeight="1">
      <x:c r="A1452" s="7" t="str">
        <x:v>M1445</x:v>
      </x:c>
      <x:c r="B1452" s="7" t="str">
        <x:v>AR05</x:v>
      </x:c>
      <x:c r="C1452" s="7" t="str">
        <x:v>T5</x:v>
      </x:c>
      <x:c r="D1452" s="7" t="str">
        <x:v>L09</x:v>
      </x:c>
      <x:c r="E1452" s="7" t="str">
        <x:v>Internal wall paint net</x:v>
      </x:c>
      <x:c r="F1452" s="20" t="n">
        <x:v>2</x:v>
      </x:c>
      <x:c r="G1452" s="20" t="n">
        <x:f>'Controls'!$B$45*('Controls'!$B$12-'Controls'!$B$13)-'Controls'!$B$48*'Controls'!$B$49*'Controls'!$B$50</x:f>
        <x:v>602.6800000000001</x:v>
      </x:c>
      <x:c r="H1452" s="20" t="n">
        <x:v>1</x:v>
      </x:c>
      <x:c r="I1452" s="20" t="n">
        <x:v>1</x:v>
      </x:c>
      <x:c r="J1452" s="20" t="n">
        <x:v>1</x:v>
      </x:c>
      <x:c r="K1452" s="20" t="n">
        <x:f>F1452*G1452*H1452*I1452*J1452</x:f>
        <x:v>1205.3600000000001</x:v>
      </x:c>
      <x:c r="L1452" s="7" t="str">
        <x:v>Finished area; two coats priced in rate</x:v>
      </x:c>
      <x:c r="M1452" s="2"/>
      <x:c r="N1452" s="2"/>
      <x:c r="O1452" s="2"/>
      <x:c r="P1452" s="2"/>
      <x:c r="Q1452" s="2"/>
    </x:row>
    <x:row r="1453" ht="22" customHeight="1">
      <x:c r="A1453" s="2" t="str">
        <x:v>M1446</x:v>
      </x:c>
      <x:c r="B1453" s="2" t="str">
        <x:v>AR06</x:v>
      </x:c>
      <x:c r="C1453" s="2" t="str">
        <x:v>T5</x:v>
      </x:c>
      <x:c r="D1453" s="2" t="str">
        <x:v>L09</x:v>
      </x:c>
      <x:c r="E1453" s="2" t="str">
        <x:v>Door sets</x:v>
      </x:c>
      <x:c r="F1453" s="21" t="n">
        <x:f>'Controls'!$B$48</x:f>
        <x:v>28</x:v>
      </x:c>
      <x:c r="G1453" s="21" t="n">
        <x:v>1</x:v>
      </x:c>
      <x:c r="H1453" s="21" t="n">
        <x:v>1</x:v>
      </x:c>
      <x:c r="I1453" s="21" t="n">
        <x:v>1</x:v>
      </x:c>
      <x:c r="J1453" s="21" t="n">
        <x:v>1</x:v>
      </x:c>
      <x:c r="K1453" s="21" t="n">
        <x:f>F1453*G1453*H1453*I1453*J1453</x:f>
        <x:v>28</x:v>
      </x:c>
      <x:c r="L1453" s="2" t="str">
        <x:v>Door count, not double face</x:v>
      </x:c>
      <x:c r="M1453" s="2"/>
      <x:c r="N1453" s="2"/>
      <x:c r="O1453" s="2"/>
      <x:c r="P1453" s="2"/>
      <x:c r="Q1453" s="2"/>
    </x:row>
    <x:row r="1454" ht="22" customHeight="1">
      <x:c r="A1454" s="7" t="str">
        <x:v>M1447</x:v>
      </x:c>
      <x:c r="B1454" s="7" t="str">
        <x:v>RC03</x:v>
      </x:c>
      <x:c r="C1454" s="7" t="str">
        <x:v>T5</x:v>
      </x:c>
      <x:c r="D1454" s="7" t="str">
        <x:v>L10</x:v>
      </x:c>
      <x:c r="E1454" s="7" t="str">
        <x:v>Floor slab gross</x:v>
      </x:c>
      <x:c r="F1454" s="20" t="n">
        <x:v>1</x:v>
      </x:c>
      <x:c r="G1454" s="20" t="n">
        <x:f>'Controls'!$B$10</x:f>
        <x:v>30</x:v>
      </x:c>
      <x:c r="H1454" s="20" t="n">
        <x:f>'Controls'!$B$11</x:f>
        <x:v>24</x:v>
      </x:c>
      <x:c r="I1454" s="20" t="n">
        <x:f>'Controls'!$B$13</x:f>
        <x:v>0.22</x:v>
      </x:c>
      <x:c r="J1454" s="20" t="n">
        <x:v>1</x:v>
      </x:c>
      <x:c r="K1454" s="20" t="n">
        <x:f>F1454*G1454*H1454*I1454*J1454</x:f>
        <x:v>158.4</x:v>
      </x:c>
      <x:c r="L1454" s="7" t="str">
        <x:v>Slab includes beam top flange; downstand separate</x:v>
      </x:c>
      <x:c r="M1454" s="2"/>
      <x:c r="N1454" s="2"/>
      <x:c r="O1454" s="2"/>
      <x:c r="P1454" s="2"/>
      <x:c r="Q1454" s="2"/>
    </x:row>
    <x:row r="1455" ht="22" customHeight="1">
      <x:c r="A1455" s="2" t="str">
        <x:v>M1448</x:v>
      </x:c>
      <x:c r="B1455" s="2" t="str">
        <x:v>RC03</x:v>
      </x:c>
      <x:c r="C1455" s="2" t="str">
        <x:v>T5</x:v>
      </x:c>
      <x:c r="D1455" s="2" t="str">
        <x:v>L10</x:v>
      </x:c>
      <x:c r="E1455" s="2" t="str">
        <x:v>Stair opening deduction</x:v>
      </x:c>
      <x:c r="F1455" s="21" t="n">
        <x:v>1</x:v>
      </x:c>
      <x:c r="G1455" s="21" t="n">
        <x:f>'Controls'!$B$20</x:f>
        <x:v>4</x:v>
      </x:c>
      <x:c r="H1455" s="21" t="n">
        <x:f>'Controls'!$B$21</x:f>
        <x:v>6</x:v>
      </x:c>
      <x:c r="I1455" s="21" t="n">
        <x:f>'Controls'!$B$13</x:f>
        <x:v>0.22</x:v>
      </x:c>
      <x:c r="J1455" s="21" t="n">
        <x:v>-1</x:v>
      </x:c>
      <x:c r="K1455" s="21" t="n">
        <x:f>F1455*G1455*H1455*I1455*J1455</x:f>
        <x:v>-5.28</x:v>
      </x:c>
      <x:c r="L1455" s="2" t="str">
        <x:v>Opening OP-01</x:v>
      </x:c>
      <x:c r="M1455" s="2"/>
      <x:c r="N1455" s="2"/>
      <x:c r="O1455" s="2"/>
      <x:c r="P1455" s="2"/>
      <x:c r="Q1455" s="2"/>
    </x:row>
    <x:row r="1456" ht="22" customHeight="1">
      <x:c r="A1456" s="7" t="str">
        <x:v>M1449</x:v>
      </x:c>
      <x:c r="B1456" s="7" t="str">
        <x:v>RC04</x:v>
      </x:c>
      <x:c r="C1456" s="7" t="str">
        <x:v>T5</x:v>
      </x:c>
      <x:c r="D1456" s="7" t="str">
        <x:v>L10</x:v>
      </x:c>
      <x:c r="E1456" s="7" t="str">
        <x:v>Beam downstands X</x:v>
      </x:c>
      <x:c r="F1456" s="20" t="n">
        <x:v>1</x:v>
      </x:c>
      <x:c r="G1456" s="20" t="n">
        <x:f>5*5*('Controls'!$B$10/5-'Controls'!$B$14)</x:f>
        <x:v>137.5</x:v>
      </x:c>
      <x:c r="H1456" s="20" t="n">
        <x:f>'Controls'!$B$16</x:f>
        <x:v>0.3</x:v>
      </x:c>
      <x:c r="I1456" s="20" t="n">
        <x:f>'Controls'!$B$17-'Controls'!$B$13</x:f>
        <x:v>0.38</x:v>
      </x:c>
      <x:c r="J1456" s="20" t="n">
        <x:v>1</x:v>
      </x:c>
      <x:c r="K1456" s="20" t="n">
        <x:f>F1456*G1456*H1456*I1456*J1456</x:f>
        <x:v>15.675</x:v>
      </x:c>
      <x:c r="L1456" s="7" t="str">
        <x:v>Clear spans between column faces; no joint overlap</x:v>
      </x:c>
      <x:c r="M1456" s="2"/>
      <x:c r="N1456" s="2"/>
      <x:c r="O1456" s="2"/>
      <x:c r="P1456" s="2"/>
      <x:c r="Q1456" s="2"/>
    </x:row>
    <x:row r="1457" ht="22" customHeight="1">
      <x:c r="A1457" s="2" t="str">
        <x:v>M1450</x:v>
      </x:c>
      <x:c r="B1457" s="2" t="str">
        <x:v>FW02</x:v>
      </x:c>
      <x:c r="C1457" s="2" t="str">
        <x:v>T5</x:v>
      </x:c>
      <x:c r="D1457" s="2" t="str">
        <x:v>L10</x:v>
      </x:c>
      <x:c r="E1457" s="2" t="str">
        <x:v>Beam forms X</x:v>
      </x:c>
      <x:c r="F1457" s="21" t="n">
        <x:v>1</x:v>
      </x:c>
      <x:c r="G1457" s="21" t="n">
        <x:f>5*5*('Controls'!$B$10/5-'Controls'!$B$14)</x:f>
        <x:v>137.5</x:v>
      </x:c>
      <x:c r="H1457" s="21" t="n">
        <x:f>'Controls'!$B$16+2*('Controls'!$B$17-'Controls'!$B$13)</x:f>
        <x:v>1.06</x:v>
      </x:c>
      <x:c r="I1457" s="21" t="n">
        <x:v>1</x:v>
      </x:c>
      <x:c r="J1457" s="21" t="n">
        <x:v>1</x:v>
      </x:c>
      <x:c r="K1457" s="21" t="n">
        <x:f>F1457*G1457*H1457*I1457*J1457</x:f>
        <x:v>145.75</x:v>
      </x:c>
      <x:c r="L1457" s="2" t="str">
        <x:v>Soffit plus two downstand sides</x:v>
      </x:c>
      <x:c r="M1457" s="2"/>
      <x:c r="N1457" s="2"/>
      <x:c r="O1457" s="2"/>
      <x:c r="P1457" s="2"/>
      <x:c r="Q1457" s="2"/>
    </x:row>
    <x:row r="1458" ht="22" customHeight="1">
      <x:c r="A1458" s="7" t="str">
        <x:v>M1451</x:v>
      </x:c>
      <x:c r="B1458" s="7" t="str">
        <x:v>RC04</x:v>
      </x:c>
      <x:c r="C1458" s="7" t="str">
        <x:v>T5</x:v>
      </x:c>
      <x:c r="D1458" s="7" t="str">
        <x:v>L10</x:v>
      </x:c>
      <x:c r="E1458" s="7" t="str">
        <x:v>Beam downstands Y</x:v>
      </x:c>
      <x:c r="F1458" s="20" t="n">
        <x:v>1</x:v>
      </x:c>
      <x:c r="G1458" s="20" t="n">
        <x:f>6*4*('Controls'!$B$11/4-'Controls'!$B$15)</x:f>
        <x:v>132</x:v>
      </x:c>
      <x:c r="H1458" s="20" t="n">
        <x:f>'Controls'!$B$16</x:f>
        <x:v>0.3</x:v>
      </x:c>
      <x:c r="I1458" s="20" t="n">
        <x:f>'Controls'!$B$17-'Controls'!$B$13</x:f>
        <x:v>0.38</x:v>
      </x:c>
      <x:c r="J1458" s="20" t="n">
        <x:v>1</x:v>
      </x:c>
      <x:c r="K1458" s="20" t="n">
        <x:f>F1458*G1458*H1458*I1458*J1458</x:f>
        <x:v>15.048</x:v>
      </x:c>
      <x:c r="L1458" s="7" t="str">
        <x:v>Clear spans between column faces; no joint overlap</x:v>
      </x:c>
      <x:c r="M1458" s="2"/>
      <x:c r="N1458" s="2"/>
      <x:c r="O1458" s="2"/>
      <x:c r="P1458" s="2"/>
      <x:c r="Q1458" s="2"/>
    </x:row>
    <x:row r="1459" ht="22" customHeight="1">
      <x:c r="A1459" s="2" t="str">
        <x:v>M1452</x:v>
      </x:c>
      <x:c r="B1459" s="2" t="str">
        <x:v>FW02</x:v>
      </x:c>
      <x:c r="C1459" s="2" t="str">
        <x:v>T5</x:v>
      </x:c>
      <x:c r="D1459" s="2" t="str">
        <x:v>L10</x:v>
      </x:c>
      <x:c r="E1459" s="2" t="str">
        <x:v>Beam forms Y</x:v>
      </x:c>
      <x:c r="F1459" s="21" t="n">
        <x:v>1</x:v>
      </x:c>
      <x:c r="G1459" s="21" t="n">
        <x:f>6*4*('Controls'!$B$11/4-'Controls'!$B$15)</x:f>
        <x:v>132</x:v>
      </x:c>
      <x:c r="H1459" s="21" t="n">
        <x:f>'Controls'!$B$16+2*('Controls'!$B$17-'Controls'!$B$13)</x:f>
        <x:v>1.06</x:v>
      </x:c>
      <x:c r="I1459" s="21" t="n">
        <x:v>1</x:v>
      </x:c>
      <x:c r="J1459" s="21" t="n">
        <x:v>1</x:v>
      </x:c>
      <x:c r="K1459" s="21" t="n">
        <x:f>F1459*G1459*H1459*I1459*J1459</x:f>
        <x:v>139.92000000000002</x:v>
      </x:c>
      <x:c r="L1459" s="2" t="str">
        <x:v>Soffit plus two downstand sides</x:v>
      </x:c>
      <x:c r="M1459" s="2"/>
      <x:c r="N1459" s="2"/>
      <x:c r="O1459" s="2"/>
      <x:c r="P1459" s="2"/>
      <x:c r="Q1459" s="2"/>
    </x:row>
    <x:row r="1460" ht="22" customHeight="1">
      <x:c r="A1460" s="7" t="str">
        <x:v>M1453</x:v>
      </x:c>
      <x:c r="B1460" s="7" t="str">
        <x:v>RC05</x:v>
      </x:c>
      <x:c r="C1460" s="7" t="str">
        <x:v>T5</x:v>
      </x:c>
      <x:c r="D1460" s="7" t="str">
        <x:v>L10</x:v>
      </x:c>
      <x:c r="E1460" s="7" t="str">
        <x:v>Thirty columns, clear storey</x:v>
      </x:c>
      <x:c r="F1460" s="20" t="n">
        <x:v>30</x:v>
      </x:c>
      <x:c r="G1460" s="20" t="n">
        <x:f>'Controls'!$B$14</x:f>
        <x:v>0.5</x:v>
      </x:c>
      <x:c r="H1460" s="20" t="n">
        <x:f>'Controls'!$B$15</x:f>
        <x:v>0.5</x:v>
      </x:c>
      <x:c r="I1460" s="20" t="n">
        <x:f>'Controls'!$B$12-'Controls'!$B$13</x:f>
        <x:v>2.98</x:v>
      </x:c>
      <x:c r="J1460" s="20" t="n">
        <x:v>1</x:v>
      </x:c>
      <x:c r="K1460" s="20" t="n">
        <x:f>F1460*G1460*H1460*I1460*J1460</x:f>
        <x:v>22.35</x:v>
      </x:c>
      <x:c r="L1460" s="7" t="str">
        <x:v>Slab volume excluded from columns</x:v>
      </x:c>
      <x:c r="M1460" s="2"/>
      <x:c r="N1460" s="2"/>
      <x:c r="O1460" s="2"/>
      <x:c r="P1460" s="2"/>
      <x:c r="Q1460" s="2"/>
    </x:row>
    <x:row r="1461" ht="22" customHeight="1">
      <x:c r="A1461" s="2" t="str">
        <x:v>M1454</x:v>
      </x:c>
      <x:c r="B1461" s="2" t="str">
        <x:v>RC06</x:v>
      </x:c>
      <x:c r="C1461" s="2" t="str">
        <x:v>T5</x:v>
      </x:c>
      <x:c r="D1461" s="2" t="str">
        <x:v>L10</x:v>
      </x:c>
      <x:c r="E1461" s="2" t="str">
        <x:v>Core walls clear storey</x:v>
      </x:c>
      <x:c r="F1461" s="21" t="n">
        <x:v>1</x:v>
      </x:c>
      <x:c r="G1461" s="21" t="n">
        <x:f>'Controls'!$B$19</x:f>
        <x:v>24</x:v>
      </x:c>
      <x:c r="H1461" s="21" t="n">
        <x:f>'Controls'!$B$18</x:f>
        <x:v>0.25</x:v>
      </x:c>
      <x:c r="I1461" s="21" t="n">
        <x:f>'Controls'!$B$12-'Controls'!$B$13</x:f>
        <x:v>2.98</x:v>
      </x:c>
      <x:c r="J1461" s="21" t="n">
        <x:v>1</x:v>
      </x:c>
      <x:c r="K1461" s="21" t="n">
        <x:f>F1461*G1461*H1461*I1461*J1461</x:f>
        <x:v>17.88</x:v>
      </x:c>
      <x:c r="L1461" s="2" t="str">
        <x:v>Net clear wall length excludes corners</x:v>
      </x:c>
      <x:c r="M1461" s="2"/>
      <x:c r="N1461" s="2"/>
      <x:c r="O1461" s="2"/>
      <x:c r="P1461" s="2"/>
      <x:c r="Q1461" s="2"/>
    </x:row>
    <x:row r="1462" ht="22" customHeight="1">
      <x:c r="A1462" s="7" t="str">
        <x:v>M1455</x:v>
      </x:c>
      <x:c r="B1462" s="7" t="str">
        <x:v>RC07</x:v>
      </x:c>
      <x:c r="C1462" s="7" t="str">
        <x:v>T5</x:v>
      </x:c>
      <x:c r="D1462" s="7" t="str">
        <x:v>L10</x:v>
      </x:c>
      <x:c r="E1462" s="7" t="str">
        <x:v>Stair flights waist</x:v>
      </x:c>
      <x:c r="F1462" s="20" t="n">
        <x:v>2</x:v>
      </x:c>
      <x:c r="G1462" s="20" t="n">
        <x:v>4.1</x:v>
      </x:c>
      <x:c r="H1462" s="20" t="n">
        <x:v>1.2</x:v>
      </x:c>
      <x:c r="I1462" s="20" t="n">
        <x:v>0.18</x:v>
      </x:c>
      <x:c r="J1462" s="20" t="n">
        <x:v>1</x:v>
      </x:c>
      <x:c r="K1462" s="20" t="n">
        <x:f>F1462*G1462*H1462*I1462*J1462</x:f>
        <x:v>1.7711999999999997</x:v>
      </x:c>
      <x:c r="L1462" s="7" t="str">
        <x:v>Two flights; geometry separate from floor slab</x:v>
      </x:c>
      <x:c r="M1462" s="2"/>
      <x:c r="N1462" s="2"/>
      <x:c r="O1462" s="2"/>
      <x:c r="P1462" s="2"/>
      <x:c r="Q1462" s="2"/>
    </x:row>
    <x:row r="1463" ht="22" customHeight="1">
      <x:c r="A1463" s="2" t="str">
        <x:v>M1456</x:v>
      </x:c>
      <x:c r="B1463" s="2" t="str">
        <x:v>RC07</x:v>
      </x:c>
      <x:c r="C1463" s="2" t="str">
        <x:v>T5</x:v>
      </x:c>
      <x:c r="D1463" s="2" t="str">
        <x:v>L10</x:v>
      </x:c>
      <x:c r="E1463" s="2" t="str">
        <x:v>Stair landings</x:v>
      </x:c>
      <x:c r="F1463" s="21" t="n">
        <x:v>2</x:v>
      </x:c>
      <x:c r="G1463" s="21" t="n">
        <x:v>2</x:v>
      </x:c>
      <x:c r="H1463" s="21" t="n">
        <x:v>1.2</x:v>
      </x:c>
      <x:c r="I1463" s="21" t="n">
        <x:v>0.18</x:v>
      </x:c>
      <x:c r="J1463" s="21" t="n">
        <x:v>1</x:v>
      </x:c>
      <x:c r="K1463" s="21" t="n">
        <x:f>F1463*G1463*H1463*I1463*J1463</x:f>
        <x:v>0.864</x:v>
      </x:c>
      <x:c r="L1463" s="2" t="str">
        <x:v>Within stair opening</x:v>
      </x:c>
      <x:c r="M1463" s="2"/>
      <x:c r="N1463" s="2"/>
      <x:c r="O1463" s="2"/>
      <x:c r="P1463" s="2"/>
      <x:c r="Q1463" s="2"/>
    </x:row>
    <x:row r="1464" ht="22" customHeight="1">
      <x:c r="A1464" s="7" t="str">
        <x:v>M1457</x:v>
      </x:c>
      <x:c r="B1464" s="7" t="str">
        <x:v>FW01</x:v>
      </x:c>
      <x:c r="C1464" s="7" t="str">
        <x:v>T5</x:v>
      </x:c>
      <x:c r="D1464" s="7" t="str">
        <x:v>L10</x:v>
      </x:c>
      <x:c r="E1464" s="7" t="str">
        <x:v>Slab soffit gross</x:v>
      </x:c>
      <x:c r="F1464" s="20" t="n">
        <x:v>1</x:v>
      </x:c>
      <x:c r="G1464" s="20" t="n">
        <x:f>'Controls'!$B$10</x:f>
        <x:v>30</x:v>
      </x:c>
      <x:c r="H1464" s="20" t="n">
        <x:f>'Controls'!$B$11</x:f>
        <x:v>24</x:v>
      </x:c>
      <x:c r="I1464" s="20" t="n">
        <x:v>1</x:v>
      </x:c>
      <x:c r="J1464" s="20" t="n">
        <x:v>1</x:v>
      </x:c>
      <x:c r="K1464" s="20" t="n">
        <x:f>F1464*G1464*H1464*I1464*J1464</x:f>
        <x:v>720</x:v>
      </x:c>
      <x:c r="L1464" s="7" t="str">
        <x:v>Beam soffit deducted below</x:v>
      </x:c>
      <x:c r="M1464" s="2"/>
      <x:c r="N1464" s="2"/>
      <x:c r="O1464" s="2"/>
      <x:c r="P1464" s="2"/>
      <x:c r="Q1464" s="2"/>
    </x:row>
    <x:row r="1465" ht="22" customHeight="1">
      <x:c r="A1465" s="2" t="str">
        <x:v>M1458</x:v>
      </x:c>
      <x:c r="B1465" s="2" t="str">
        <x:v>FW01</x:v>
      </x:c>
      <x:c r="C1465" s="2" t="str">
        <x:v>T5</x:v>
      </x:c>
      <x:c r="D1465" s="2" t="str">
        <x:v>L10</x:v>
      </x:c>
      <x:c r="E1465" s="2" t="str">
        <x:v>Stair opening deduction</x:v>
      </x:c>
      <x:c r="F1465" s="21" t="n">
        <x:v>1</x:v>
      </x:c>
      <x:c r="G1465" s="21" t="n">
        <x:f>'Controls'!$B$20</x:f>
        <x:v>4</x:v>
      </x:c>
      <x:c r="H1465" s="21" t="n">
        <x:f>'Controls'!$B$21</x:f>
        <x:v>6</x:v>
      </x:c>
      <x:c r="I1465" s="21" t="n">
        <x:v>1</x:v>
      </x:c>
      <x:c r="J1465" s="21" t="n">
        <x:v>-1</x:v>
      </x:c>
      <x:c r="K1465" s="21" t="n">
        <x:f>F1465*G1465*H1465*I1465*J1465</x:f>
        <x:v>-24</x:v>
      </x:c>
      <x:c r="L1465" s="2" t="str">
        <x:v>OP-01</x:v>
      </x:c>
      <x:c r="M1465" s="2"/>
      <x:c r="N1465" s="2"/>
      <x:c r="O1465" s="2"/>
      <x:c r="P1465" s="2"/>
      <x:c r="Q1465" s="2"/>
    </x:row>
    <x:row r="1466" ht="22" customHeight="1">
      <x:c r="A1466" s="7" t="str">
        <x:v>M1459</x:v>
      </x:c>
      <x:c r="B1466" s="7" t="str">
        <x:v>FW01</x:v>
      </x:c>
      <x:c r="C1466" s="7" t="str">
        <x:v>T5</x:v>
      </x:c>
      <x:c r="D1466" s="7" t="str">
        <x:v>L10</x:v>
      </x:c>
      <x:c r="E1466" s="7" t="str">
        <x:v>Beam soffit deduction</x:v>
      </x:c>
      <x:c r="F1466" s="20" t="n">
        <x:v>1</x:v>
      </x:c>
      <x:c r="G1466" s="20" t="n">
        <x:f>5*5*('Controls'!$B$10/5-'Controls'!$B$14)+6*4*('Controls'!$B$11/4-'Controls'!$B$15)</x:f>
        <x:v>269.5</x:v>
      </x:c>
      <x:c r="H1466" s="20" t="n">
        <x:f>'Controls'!$B$16</x:f>
        <x:v>0.3</x:v>
      </x:c>
      <x:c r="I1466" s="20" t="n">
        <x:v>1</x:v>
      </x:c>
      <x:c r="J1466" s="20" t="n">
        <x:v>-1</x:v>
      </x:c>
      <x:c r="K1466" s="20" t="n">
        <x:f>F1466*G1466*H1466*I1466*J1466</x:f>
        <x:v>-80.85</x:v>
      </x:c>
      <x:c r="L1466" s="7" t="str">
        <x:v>Beam forms measured in FW02</x:v>
      </x:c>
      <x:c r="M1466" s="2"/>
      <x:c r="N1466" s="2"/>
      <x:c r="O1466" s="2"/>
      <x:c r="P1466" s="2"/>
      <x:c r="Q1466" s="2"/>
    </x:row>
    <x:row r="1467" ht="22" customHeight="1">
      <x:c r="A1467" s="2" t="str">
        <x:v>M1460</x:v>
      </x:c>
      <x:c r="B1467" s="2" t="str">
        <x:v>FW03</x:v>
      </x:c>
      <x:c r="C1467" s="2" t="str">
        <x:v>T5</x:v>
      </x:c>
      <x:c r="D1467" s="2" t="str">
        <x:v>L10</x:v>
      </x:c>
      <x:c r="E1467" s="2" t="str">
        <x:v>Column four faces</x:v>
      </x:c>
      <x:c r="F1467" s="21" t="n">
        <x:v>30</x:v>
      </x:c>
      <x:c r="G1467" s="21" t="n">
        <x:f>2*('Controls'!$B$14+'Controls'!$B$15)</x:f>
        <x:v>2</x:v>
      </x:c>
      <x:c r="H1467" s="21" t="n">
        <x:f>'Controls'!$B$12-'Controls'!$B$13</x:f>
        <x:v>2.98</x:v>
      </x:c>
      <x:c r="I1467" s="21" t="n">
        <x:v>1</x:v>
      </x:c>
      <x:c r="J1467" s="21" t="n">
        <x:v>1</x:v>
      </x:c>
      <x:c r="K1467" s="21" t="n">
        <x:f>F1467*G1467*H1467*I1467*J1467</x:f>
        <x:v>178.8</x:v>
      </x:c>
      <x:c r="L1467" s="2" t="str">
        <x:v>Clear floor-to-soffit</x:v>
      </x:c>
      <x:c r="M1467" s="2"/>
      <x:c r="N1467" s="2"/>
      <x:c r="O1467" s="2"/>
      <x:c r="P1467" s="2"/>
      <x:c r="Q1467" s="2"/>
    </x:row>
    <x:row r="1468" ht="22" customHeight="1">
      <x:c r="A1468" s="7" t="str">
        <x:v>M1461</x:v>
      </x:c>
      <x:c r="B1468" s="7" t="str">
        <x:v>FW04</x:v>
      </x:c>
      <x:c r="C1468" s="7" t="str">
        <x:v>T5</x:v>
      </x:c>
      <x:c r="D1468" s="7" t="str">
        <x:v>L10</x:v>
      </x:c>
      <x:c r="E1468" s="7" t="str">
        <x:v>Core wall two faces</x:v>
      </x:c>
      <x:c r="F1468" s="20" t="n">
        <x:v>2</x:v>
      </x:c>
      <x:c r="G1468" s="20" t="n">
        <x:f>'Controls'!$B$19</x:f>
        <x:v>24</x:v>
      </x:c>
      <x:c r="H1468" s="20" t="n">
        <x:f>'Controls'!$B$12-'Controls'!$B$13</x:f>
        <x:v>2.98</x:v>
      </x:c>
      <x:c r="I1468" s="20" t="n">
        <x:v>1</x:v>
      </x:c>
      <x:c r="J1468" s="20" t="n">
        <x:v>1</x:v>
      </x:c>
      <x:c r="K1468" s="20" t="n">
        <x:f>F1468*G1468*H1468*I1468*J1468</x:f>
        <x:v>143.04</x:v>
      </x:c>
      <x:c r="L1468" s="7" t="str">
        <x:v>Net perimeter, no repeated corners</x:v>
      </x:c>
      <x:c r="M1468" s="2"/>
      <x:c r="N1468" s="2"/>
      <x:c r="O1468" s="2"/>
      <x:c r="P1468" s="2"/>
      <x:c r="Q1468" s="2"/>
    </x:row>
    <x:row r="1469" ht="22" customHeight="1">
      <x:c r="A1469" s="2" t="str">
        <x:v>M1462</x:v>
      </x:c>
      <x:c r="B1469" s="2" t="str">
        <x:v>AR01</x:v>
      </x:c>
      <x:c r="C1469" s="2" t="str">
        <x:v>T5</x:v>
      </x:c>
      <x:c r="D1469" s="2" t="str">
        <x:v>L10</x:v>
      </x:c>
      <x:c r="E1469" s="2" t="str">
        <x:v>Partition walls gross</x:v>
      </x:c>
      <x:c r="F1469" s="21" t="n">
        <x:v>1</x:v>
      </x:c>
      <x:c r="G1469" s="21" t="n">
        <x:f>'Controls'!$B$45</x:f>
        <x:v>220</x:v>
      </x:c>
      <x:c r="H1469" s="21" t="n">
        <x:f>'Controls'!$B$12-'Controls'!$B$13</x:f>
        <x:v>2.98</x:v>
      </x:c>
      <x:c r="I1469" s="21" t="n">
        <x:f>'Controls'!$B$46</x:f>
        <x:v>0.15</x:v>
      </x:c>
      <x:c r="J1469" s="21" t="n">
        <x:v>1</x:v>
      </x:c>
      <x:c r="K1469" s="21" t="n">
        <x:f>F1469*G1469*H1469*I1469*J1469</x:f>
        <x:v>98.34</x:v>
      </x:c>
      <x:c r="L1469" s="2" t="str">
        <x:v>Net openings deducted below</x:v>
      </x:c>
      <x:c r="M1469" s="2"/>
      <x:c r="N1469" s="2"/>
      <x:c r="O1469" s="2"/>
      <x:c r="P1469" s="2"/>
      <x:c r="Q1469" s="2"/>
    </x:row>
    <x:row r="1470" ht="22" customHeight="1">
      <x:c r="A1470" s="7" t="str">
        <x:v>M1463</x:v>
      </x:c>
      <x:c r="B1470" s="7" t="str">
        <x:v>AR01</x:v>
      </x:c>
      <x:c r="C1470" s="7" t="str">
        <x:v>T5</x:v>
      </x:c>
      <x:c r="D1470" s="7" t="str">
        <x:v>L10</x:v>
      </x:c>
      <x:c r="E1470" s="7" t="str">
        <x:v>Internal doors deduction</x:v>
      </x:c>
      <x:c r="F1470" s="20" t="n">
        <x:f>'Controls'!$B$48</x:f>
        <x:v>28</x:v>
      </x:c>
      <x:c r="G1470" s="20" t="n">
        <x:f>'Controls'!$B$49</x:f>
        <x:v>0.9</x:v>
      </x:c>
      <x:c r="H1470" s="20" t="n">
        <x:f>'Controls'!$B$50</x:f>
        <x:v>2.1</x:v>
      </x:c>
      <x:c r="I1470" s="20" t="n">
        <x:f>'Controls'!$B$46</x:f>
        <x:v>0.15</x:v>
      </x:c>
      <x:c r="J1470" s="20" t="n">
        <x:v>-1</x:v>
      </x:c>
      <x:c r="K1470" s="20" t="n">
        <x:f>F1470*G1470*H1470*I1470*J1470</x:f>
        <x:v>-7.938</x:v>
      </x:c>
      <x:c r="L1470" s="7" t="str">
        <x:v>28 doors per floor, OP-02</x:v>
      </x:c>
      <x:c r="M1470" s="2"/>
      <x:c r="N1470" s="2"/>
      <x:c r="O1470" s="2"/>
      <x:c r="P1470" s="2"/>
      <x:c r="Q1470" s="2"/>
    </x:row>
    <x:row r="1471" ht="22" customHeight="1">
      <x:c r="A1471" s="2" t="str">
        <x:v>M1464</x:v>
      </x:c>
      <x:c r="B1471" s="2" t="str">
        <x:v>AR02</x:v>
      </x:c>
      <x:c r="C1471" s="2" t="str">
        <x:v>T5</x:v>
      </x:c>
      <x:c r="D1471" s="2" t="str">
        <x:v>L10</x:v>
      </x:c>
      <x:c r="E1471" s="2" t="str">
        <x:v>Internal plaster gross</x:v>
      </x:c>
      <x:c r="F1471" s="21" t="n">
        <x:v>2</x:v>
      </x:c>
      <x:c r="G1471" s="21" t="n">
        <x:f>'Controls'!$B$45</x:f>
        <x:v>220</x:v>
      </x:c>
      <x:c r="H1471" s="21" t="n">
        <x:f>'Controls'!$B$12-'Controls'!$B$13</x:f>
        <x:v>2.98</x:v>
      </x:c>
      <x:c r="I1471" s="21" t="n">
        <x:v>1</x:v>
      </x:c>
      <x:c r="J1471" s="21" t="n">
        <x:v>1</x:v>
      </x:c>
      <x:c r="K1471" s="21" t="n">
        <x:f>F1471*G1471*H1471*I1471*J1471</x:f>
        <x:v>1311.2</x:v>
      </x:c>
      <x:c r="L1471" s="2" t="str">
        <x:v>Both faces of partition walls</x:v>
      </x:c>
      <x:c r="M1471" s="2"/>
      <x:c r="N1471" s="2"/>
      <x:c r="O1471" s="2"/>
      <x:c r="P1471" s="2"/>
      <x:c r="Q1471" s="2"/>
    </x:row>
    <x:row r="1472" ht="22" customHeight="1">
      <x:c r="A1472" s="7" t="str">
        <x:v>M1465</x:v>
      </x:c>
      <x:c r="B1472" s="7" t="str">
        <x:v>AR02</x:v>
      </x:c>
      <x:c r="C1472" s="7" t="str">
        <x:v>T5</x:v>
      </x:c>
      <x:c r="D1472" s="7" t="str">
        <x:v>L10</x:v>
      </x:c>
      <x:c r="E1472" s="7" t="str">
        <x:v>Door area deduction both faces</x:v>
      </x:c>
      <x:c r="F1472" s="20" t="n">
        <x:f>2*'Controls'!$B$48</x:f>
        <x:v>56</x:v>
      </x:c>
      <x:c r="G1472" s="20" t="n">
        <x:f>'Controls'!$B$49</x:f>
        <x:v>0.9</x:v>
      </x:c>
      <x:c r="H1472" s="20" t="n">
        <x:f>'Controls'!$B$50</x:f>
        <x:v>2.1</x:v>
      </x:c>
      <x:c r="I1472" s="20" t="n">
        <x:v>1</x:v>
      </x:c>
      <x:c r="J1472" s="20" t="n">
        <x:v>-1</x:v>
      </x:c>
      <x:c r="K1472" s="20" t="n">
        <x:f>F1472*G1472*H1472*I1472*J1472</x:f>
        <x:v>-105.84</x:v>
      </x:c>
      <x:c r="L1472" s="7" t="str">
        <x:v>No plaster over openings</x:v>
      </x:c>
      <x:c r="M1472" s="2"/>
      <x:c r="N1472" s="2"/>
      <x:c r="O1472" s="2"/>
      <x:c r="P1472" s="2"/>
      <x:c r="Q1472" s="2"/>
    </x:row>
    <x:row r="1473" ht="22" customHeight="1">
      <x:c r="A1473" s="2" t="str">
        <x:v>M1466</x:v>
      </x:c>
      <x:c r="B1473" s="2" t="str">
        <x:v>AR03</x:v>
      </x:c>
      <x:c r="C1473" s="2" t="str">
        <x:v>T5</x:v>
      </x:c>
      <x:c r="D1473" s="2" t="str">
        <x:v>L10</x:v>
      </x:c>
      <x:c r="E1473" s="2" t="str">
        <x:v>Floor screed net</x:v>
      </x:c>
      <x:c r="F1473" s="21" t="n">
        <x:v>1</x:v>
      </x:c>
      <x:c r="G1473" s="21" t="n">
        <x:f>'Controls'!$B$10*'Controls'!$B$11-'Controls'!$B$20*'Controls'!$B$21</x:f>
        <x:v>696</x:v>
      </x:c>
      <x:c r="H1473" s="21" t="n">
        <x:v>1</x:v>
      </x:c>
      <x:c r="I1473" s="21" t="n">
        <x:v>1</x:v>
      </x:c>
      <x:c r="J1473" s="21" t="n">
        <x:v>1</x:v>
      </x:c>
      <x:c r="K1473" s="21" t="n">
        <x:f>F1473*G1473*H1473*I1473*J1473</x:f>
        <x:v>696</x:v>
      </x:c>
      <x:c r="L1473" s="2" t="str">
        <x:v>Net structural floor area</x:v>
      </x:c>
      <x:c r="M1473" s="2"/>
      <x:c r="N1473" s="2"/>
      <x:c r="O1473" s="2"/>
      <x:c r="P1473" s="2"/>
      <x:c r="Q1473" s="2"/>
    </x:row>
    <x:row r="1474" ht="22" customHeight="1">
      <x:c r="A1474" s="7" t="str">
        <x:v>M1467</x:v>
      </x:c>
      <x:c r="B1474" s="7" t="str">
        <x:v>AR04</x:v>
      </x:c>
      <x:c r="C1474" s="7" t="str">
        <x:v>T5</x:v>
      </x:c>
      <x:c r="D1474" s="7" t="str">
        <x:v>L10</x:v>
      </x:c>
      <x:c r="E1474" s="7" t="str">
        <x:v>Floor finish net</x:v>
      </x:c>
      <x:c r="F1474" s="20" t="n">
        <x:v>1</x:v>
      </x:c>
      <x:c r="G1474" s="20" t="n">
        <x:f>'Controls'!$B$10*'Controls'!$B$11-'Controls'!$B$20*'Controls'!$B$21</x:f>
        <x:v>696</x:v>
      </x:c>
      <x:c r="H1474" s="20" t="n">
        <x:v>1</x:v>
      </x:c>
      <x:c r="I1474" s="20" t="n">
        <x:v>1</x:v>
      </x:c>
      <x:c r="J1474" s="20" t="n">
        <x:v>1</x:v>
      </x:c>
      <x:c r="K1474" s="20" t="n">
        <x:f>F1474*G1474*H1474*I1474*J1474</x:f>
        <x:v>696</x:v>
      </x:c>
      <x:c r="L1474" s="7" t="str">
        <x:v>Waste excluded from BOQ</x:v>
      </x:c>
      <x:c r="M1474" s="2"/>
      <x:c r="N1474" s="2"/>
      <x:c r="O1474" s="2"/>
      <x:c r="P1474" s="2"/>
      <x:c r="Q1474" s="2"/>
    </x:row>
    <x:row r="1475" ht="22" customHeight="1">
      <x:c r="A1475" s="2" t="str">
        <x:v>M1468</x:v>
      </x:c>
      <x:c r="B1475" s="2" t="str">
        <x:v>AR05</x:v>
      </x:c>
      <x:c r="C1475" s="2" t="str">
        <x:v>T5</x:v>
      </x:c>
      <x:c r="D1475" s="2" t="str">
        <x:v>L10</x:v>
      </x:c>
      <x:c r="E1475" s="2" t="str">
        <x:v>Internal wall paint net</x:v>
      </x:c>
      <x:c r="F1475" s="21" t="n">
        <x:v>2</x:v>
      </x:c>
      <x:c r="G1475" s="21" t="n">
        <x:f>'Controls'!$B$45*('Controls'!$B$12-'Controls'!$B$13)-'Controls'!$B$48*'Controls'!$B$49*'Controls'!$B$50</x:f>
        <x:v>602.6800000000001</x:v>
      </x:c>
      <x:c r="H1475" s="21" t="n">
        <x:v>1</x:v>
      </x:c>
      <x:c r="I1475" s="21" t="n">
        <x:v>1</x:v>
      </x:c>
      <x:c r="J1475" s="21" t="n">
        <x:v>1</x:v>
      </x:c>
      <x:c r="K1475" s="21" t="n">
        <x:f>F1475*G1475*H1475*I1475*J1475</x:f>
        <x:v>1205.3600000000001</x:v>
      </x:c>
      <x:c r="L1475" s="2" t="str">
        <x:v>Finished area; two coats priced in rate</x:v>
      </x:c>
      <x:c r="M1475" s="2"/>
      <x:c r="N1475" s="2"/>
      <x:c r="O1475" s="2"/>
      <x:c r="P1475" s="2"/>
      <x:c r="Q1475" s="2"/>
    </x:row>
    <x:row r="1476" ht="22" customHeight="1">
      <x:c r="A1476" s="7" t="str">
        <x:v>M1469</x:v>
      </x:c>
      <x:c r="B1476" s="7" t="str">
        <x:v>AR06</x:v>
      </x:c>
      <x:c r="C1476" s="7" t="str">
        <x:v>T5</x:v>
      </x:c>
      <x:c r="D1476" s="7" t="str">
        <x:v>L10</x:v>
      </x:c>
      <x:c r="E1476" s="7" t="str">
        <x:v>Door sets</x:v>
      </x:c>
      <x:c r="F1476" s="20" t="n">
        <x:f>'Controls'!$B$48</x:f>
        <x:v>28</x:v>
      </x:c>
      <x:c r="G1476" s="20" t="n">
        <x:v>1</x:v>
      </x:c>
      <x:c r="H1476" s="20" t="n">
        <x:v>1</x:v>
      </x:c>
      <x:c r="I1476" s="20" t="n">
        <x:v>1</x:v>
      </x:c>
      <x:c r="J1476" s="20" t="n">
        <x:v>1</x:v>
      </x:c>
      <x:c r="K1476" s="20" t="n">
        <x:f>F1476*G1476*H1476*I1476*J1476</x:f>
        <x:v>28</x:v>
      </x:c>
      <x:c r="L1476" s="7" t="str">
        <x:v>Door count, not double face</x:v>
      </x:c>
      <x:c r="M1476" s="2"/>
      <x:c r="N1476" s="2"/>
      <x:c r="O1476" s="2"/>
      <x:c r="P1476" s="2"/>
      <x:c r="Q1476" s="2"/>
    </x:row>
    <x:row r="1477" ht="22" customHeight="1">
      <x:c r="A1477" s="2" t="str">
        <x:v>M1470</x:v>
      </x:c>
      <x:c r="B1477" s="2" t="str">
        <x:v>RC03</x:v>
      </x:c>
      <x:c r="C1477" s="2" t="str">
        <x:v>T5</x:v>
      </x:c>
      <x:c r="D1477" s="2" t="str">
        <x:v>L11</x:v>
      </x:c>
      <x:c r="E1477" s="2" t="str">
        <x:v>Floor slab gross</x:v>
      </x:c>
      <x:c r="F1477" s="21" t="n">
        <x:v>1</x:v>
      </x:c>
      <x:c r="G1477" s="21" t="n">
        <x:f>'Controls'!$B$10</x:f>
        <x:v>30</x:v>
      </x:c>
      <x:c r="H1477" s="21" t="n">
        <x:f>'Controls'!$B$11</x:f>
        <x:v>24</x:v>
      </x:c>
      <x:c r="I1477" s="21" t="n">
        <x:f>'Controls'!$B$13</x:f>
        <x:v>0.22</x:v>
      </x:c>
      <x:c r="J1477" s="21" t="n">
        <x:v>1</x:v>
      </x:c>
      <x:c r="K1477" s="21" t="n">
        <x:f>F1477*G1477*H1477*I1477*J1477</x:f>
        <x:v>158.4</x:v>
      </x:c>
      <x:c r="L1477" s="2" t="str">
        <x:v>Slab includes beam top flange; downstand separate</x:v>
      </x:c>
      <x:c r="M1477" s="2"/>
      <x:c r="N1477" s="2"/>
      <x:c r="O1477" s="2"/>
      <x:c r="P1477" s="2"/>
      <x:c r="Q1477" s="2"/>
    </x:row>
    <x:row r="1478" ht="22" customHeight="1">
      <x:c r="A1478" s="7" t="str">
        <x:v>M1471</x:v>
      </x:c>
      <x:c r="B1478" s="7" t="str">
        <x:v>RC03</x:v>
      </x:c>
      <x:c r="C1478" s="7" t="str">
        <x:v>T5</x:v>
      </x:c>
      <x:c r="D1478" s="7" t="str">
        <x:v>L11</x:v>
      </x:c>
      <x:c r="E1478" s="7" t="str">
        <x:v>Stair opening deduction</x:v>
      </x:c>
      <x:c r="F1478" s="20" t="n">
        <x:v>1</x:v>
      </x:c>
      <x:c r="G1478" s="20" t="n">
        <x:f>'Controls'!$B$20</x:f>
        <x:v>4</x:v>
      </x:c>
      <x:c r="H1478" s="20" t="n">
        <x:f>'Controls'!$B$21</x:f>
        <x:v>6</x:v>
      </x:c>
      <x:c r="I1478" s="20" t="n">
        <x:f>'Controls'!$B$13</x:f>
        <x:v>0.22</x:v>
      </x:c>
      <x:c r="J1478" s="20" t="n">
        <x:v>-1</x:v>
      </x:c>
      <x:c r="K1478" s="20" t="n">
        <x:f>F1478*G1478*H1478*I1478*J1478</x:f>
        <x:v>-5.28</x:v>
      </x:c>
      <x:c r="L1478" s="7" t="str">
        <x:v>Opening OP-01</x:v>
      </x:c>
      <x:c r="M1478" s="2"/>
      <x:c r="N1478" s="2"/>
      <x:c r="O1478" s="2"/>
      <x:c r="P1478" s="2"/>
      <x:c r="Q1478" s="2"/>
    </x:row>
    <x:row r="1479" ht="22" customHeight="1">
      <x:c r="A1479" s="2" t="str">
        <x:v>M1472</x:v>
      </x:c>
      <x:c r="B1479" s="2" t="str">
        <x:v>RC04</x:v>
      </x:c>
      <x:c r="C1479" s="2" t="str">
        <x:v>T5</x:v>
      </x:c>
      <x:c r="D1479" s="2" t="str">
        <x:v>L11</x:v>
      </x:c>
      <x:c r="E1479" s="2" t="str">
        <x:v>Beam downstands X</x:v>
      </x:c>
      <x:c r="F1479" s="21" t="n">
        <x:v>1</x:v>
      </x:c>
      <x:c r="G1479" s="21" t="n">
        <x:f>5*5*('Controls'!$B$10/5-'Controls'!$B$14)</x:f>
        <x:v>137.5</x:v>
      </x:c>
      <x:c r="H1479" s="21" t="n">
        <x:f>'Controls'!$B$16</x:f>
        <x:v>0.3</x:v>
      </x:c>
      <x:c r="I1479" s="21" t="n">
        <x:f>'Controls'!$B$17-'Controls'!$B$13</x:f>
        <x:v>0.38</x:v>
      </x:c>
      <x:c r="J1479" s="21" t="n">
        <x:v>1</x:v>
      </x:c>
      <x:c r="K1479" s="21" t="n">
        <x:f>F1479*G1479*H1479*I1479*J1479</x:f>
        <x:v>15.675</x:v>
      </x:c>
      <x:c r="L1479" s="2" t="str">
        <x:v>Clear spans between column faces; no joint overlap</x:v>
      </x:c>
      <x:c r="M1479" s="2"/>
      <x:c r="N1479" s="2"/>
      <x:c r="O1479" s="2"/>
      <x:c r="P1479" s="2"/>
      <x:c r="Q1479" s="2"/>
    </x:row>
    <x:row r="1480" ht="22" customHeight="1">
      <x:c r="A1480" s="7" t="str">
        <x:v>M1473</x:v>
      </x:c>
      <x:c r="B1480" s="7" t="str">
        <x:v>FW02</x:v>
      </x:c>
      <x:c r="C1480" s="7" t="str">
        <x:v>T5</x:v>
      </x:c>
      <x:c r="D1480" s="7" t="str">
        <x:v>L11</x:v>
      </x:c>
      <x:c r="E1480" s="7" t="str">
        <x:v>Beam forms X</x:v>
      </x:c>
      <x:c r="F1480" s="20" t="n">
        <x:v>1</x:v>
      </x:c>
      <x:c r="G1480" s="20" t="n">
        <x:f>5*5*('Controls'!$B$10/5-'Controls'!$B$14)</x:f>
        <x:v>137.5</x:v>
      </x:c>
      <x:c r="H1480" s="20" t="n">
        <x:f>'Controls'!$B$16+2*('Controls'!$B$17-'Controls'!$B$13)</x:f>
        <x:v>1.06</x:v>
      </x:c>
      <x:c r="I1480" s="20" t="n">
        <x:v>1</x:v>
      </x:c>
      <x:c r="J1480" s="20" t="n">
        <x:v>1</x:v>
      </x:c>
      <x:c r="K1480" s="20" t="n">
        <x:f>F1480*G1480*H1480*I1480*J1480</x:f>
        <x:v>145.75</x:v>
      </x:c>
      <x:c r="L1480" s="7" t="str">
        <x:v>Soffit plus two downstand sides</x:v>
      </x:c>
      <x:c r="M1480" s="2"/>
      <x:c r="N1480" s="2"/>
      <x:c r="O1480" s="2"/>
      <x:c r="P1480" s="2"/>
      <x:c r="Q1480" s="2"/>
    </x:row>
    <x:row r="1481" ht="22" customHeight="1">
      <x:c r="A1481" s="2" t="str">
        <x:v>M1474</x:v>
      </x:c>
      <x:c r="B1481" s="2" t="str">
        <x:v>RC04</x:v>
      </x:c>
      <x:c r="C1481" s="2" t="str">
        <x:v>T5</x:v>
      </x:c>
      <x:c r="D1481" s="2" t="str">
        <x:v>L11</x:v>
      </x:c>
      <x:c r="E1481" s="2" t="str">
        <x:v>Beam downstands Y</x:v>
      </x:c>
      <x:c r="F1481" s="21" t="n">
        <x:v>1</x:v>
      </x:c>
      <x:c r="G1481" s="21" t="n">
        <x:f>6*4*('Controls'!$B$11/4-'Controls'!$B$15)</x:f>
        <x:v>132</x:v>
      </x:c>
      <x:c r="H1481" s="21" t="n">
        <x:f>'Controls'!$B$16</x:f>
        <x:v>0.3</x:v>
      </x:c>
      <x:c r="I1481" s="21" t="n">
        <x:f>'Controls'!$B$17-'Controls'!$B$13</x:f>
        <x:v>0.38</x:v>
      </x:c>
      <x:c r="J1481" s="21" t="n">
        <x:v>1</x:v>
      </x:c>
      <x:c r="K1481" s="21" t="n">
        <x:f>F1481*G1481*H1481*I1481*J1481</x:f>
        <x:v>15.048</x:v>
      </x:c>
      <x:c r="L1481" s="2" t="str">
        <x:v>Clear spans between column faces; no joint overlap</x:v>
      </x:c>
      <x:c r="M1481" s="2"/>
      <x:c r="N1481" s="2"/>
      <x:c r="O1481" s="2"/>
      <x:c r="P1481" s="2"/>
      <x:c r="Q1481" s="2"/>
    </x:row>
    <x:row r="1482" ht="22" customHeight="1">
      <x:c r="A1482" s="7" t="str">
        <x:v>M1475</x:v>
      </x:c>
      <x:c r="B1482" s="7" t="str">
        <x:v>FW02</x:v>
      </x:c>
      <x:c r="C1482" s="7" t="str">
        <x:v>T5</x:v>
      </x:c>
      <x:c r="D1482" s="7" t="str">
        <x:v>L11</x:v>
      </x:c>
      <x:c r="E1482" s="7" t="str">
        <x:v>Beam forms Y</x:v>
      </x:c>
      <x:c r="F1482" s="20" t="n">
        <x:v>1</x:v>
      </x:c>
      <x:c r="G1482" s="20" t="n">
        <x:f>6*4*('Controls'!$B$11/4-'Controls'!$B$15)</x:f>
        <x:v>132</x:v>
      </x:c>
      <x:c r="H1482" s="20" t="n">
        <x:f>'Controls'!$B$16+2*('Controls'!$B$17-'Controls'!$B$13)</x:f>
        <x:v>1.06</x:v>
      </x:c>
      <x:c r="I1482" s="20" t="n">
        <x:v>1</x:v>
      </x:c>
      <x:c r="J1482" s="20" t="n">
        <x:v>1</x:v>
      </x:c>
      <x:c r="K1482" s="20" t="n">
        <x:f>F1482*G1482*H1482*I1482*J1482</x:f>
        <x:v>139.92000000000002</x:v>
      </x:c>
      <x:c r="L1482" s="7" t="str">
        <x:v>Soffit plus two downstand sides</x:v>
      </x:c>
      <x:c r="M1482" s="2"/>
      <x:c r="N1482" s="2"/>
      <x:c r="O1482" s="2"/>
      <x:c r="P1482" s="2"/>
      <x:c r="Q1482" s="2"/>
    </x:row>
    <x:row r="1483" ht="22" customHeight="1">
      <x:c r="A1483" s="2" t="str">
        <x:v>M1476</x:v>
      </x:c>
      <x:c r="B1483" s="2" t="str">
        <x:v>RC05</x:v>
      </x:c>
      <x:c r="C1483" s="2" t="str">
        <x:v>T5</x:v>
      </x:c>
      <x:c r="D1483" s="2" t="str">
        <x:v>L11</x:v>
      </x:c>
      <x:c r="E1483" s="2" t="str">
        <x:v>Thirty columns, clear storey</x:v>
      </x:c>
      <x:c r="F1483" s="21" t="n">
        <x:v>30</x:v>
      </x:c>
      <x:c r="G1483" s="21" t="n">
        <x:f>'Controls'!$B$14</x:f>
        <x:v>0.5</x:v>
      </x:c>
      <x:c r="H1483" s="21" t="n">
        <x:f>'Controls'!$B$15</x:f>
        <x:v>0.5</x:v>
      </x:c>
      <x:c r="I1483" s="21" t="n">
        <x:f>'Controls'!$B$12-'Controls'!$B$13</x:f>
        <x:v>2.98</x:v>
      </x:c>
      <x:c r="J1483" s="21" t="n">
        <x:v>1</x:v>
      </x:c>
      <x:c r="K1483" s="21" t="n">
        <x:f>F1483*G1483*H1483*I1483*J1483</x:f>
        <x:v>22.35</x:v>
      </x:c>
      <x:c r="L1483" s="2" t="str">
        <x:v>Slab volume excluded from columns</x:v>
      </x:c>
      <x:c r="M1483" s="2"/>
      <x:c r="N1483" s="2"/>
      <x:c r="O1483" s="2"/>
      <x:c r="P1483" s="2"/>
      <x:c r="Q1483" s="2"/>
    </x:row>
    <x:row r="1484" ht="22" customHeight="1">
      <x:c r="A1484" s="7" t="str">
        <x:v>M1477</x:v>
      </x:c>
      <x:c r="B1484" s="7" t="str">
        <x:v>RC06</x:v>
      </x:c>
      <x:c r="C1484" s="7" t="str">
        <x:v>T5</x:v>
      </x:c>
      <x:c r="D1484" s="7" t="str">
        <x:v>L11</x:v>
      </x:c>
      <x:c r="E1484" s="7" t="str">
        <x:v>Core walls clear storey</x:v>
      </x:c>
      <x:c r="F1484" s="20" t="n">
        <x:v>1</x:v>
      </x:c>
      <x:c r="G1484" s="20" t="n">
        <x:f>'Controls'!$B$19</x:f>
        <x:v>24</x:v>
      </x:c>
      <x:c r="H1484" s="20" t="n">
        <x:f>'Controls'!$B$18</x:f>
        <x:v>0.25</x:v>
      </x:c>
      <x:c r="I1484" s="20" t="n">
        <x:f>'Controls'!$B$12-'Controls'!$B$13</x:f>
        <x:v>2.98</x:v>
      </x:c>
      <x:c r="J1484" s="20" t="n">
        <x:v>1</x:v>
      </x:c>
      <x:c r="K1484" s="20" t="n">
        <x:f>F1484*G1484*H1484*I1484*J1484</x:f>
        <x:v>17.88</x:v>
      </x:c>
      <x:c r="L1484" s="7" t="str">
        <x:v>Net clear wall length excludes corners</x:v>
      </x:c>
      <x:c r="M1484" s="2"/>
      <x:c r="N1484" s="2"/>
      <x:c r="O1484" s="2"/>
      <x:c r="P1484" s="2"/>
      <x:c r="Q1484" s="2"/>
    </x:row>
    <x:row r="1485" ht="22" customHeight="1">
      <x:c r="A1485" s="2" t="str">
        <x:v>M1478</x:v>
      </x:c>
      <x:c r="B1485" s="2" t="str">
        <x:v>RC07</x:v>
      </x:c>
      <x:c r="C1485" s="2" t="str">
        <x:v>T5</x:v>
      </x:c>
      <x:c r="D1485" s="2" t="str">
        <x:v>L11</x:v>
      </x:c>
      <x:c r="E1485" s="2" t="str">
        <x:v>Stair flights waist</x:v>
      </x:c>
      <x:c r="F1485" s="21" t="n">
        <x:v>2</x:v>
      </x:c>
      <x:c r="G1485" s="21" t="n">
        <x:v>4.1</x:v>
      </x:c>
      <x:c r="H1485" s="21" t="n">
        <x:v>1.2</x:v>
      </x:c>
      <x:c r="I1485" s="21" t="n">
        <x:v>0.18</x:v>
      </x:c>
      <x:c r="J1485" s="21" t="n">
        <x:v>1</x:v>
      </x:c>
      <x:c r="K1485" s="21" t="n">
        <x:f>F1485*G1485*H1485*I1485*J1485</x:f>
        <x:v>1.7711999999999997</x:v>
      </x:c>
      <x:c r="L1485" s="2" t="str">
        <x:v>Two flights; geometry separate from floor slab</x:v>
      </x:c>
      <x:c r="M1485" s="2"/>
      <x:c r="N1485" s="2"/>
      <x:c r="O1485" s="2"/>
      <x:c r="P1485" s="2"/>
      <x:c r="Q1485" s="2"/>
    </x:row>
    <x:row r="1486" ht="22" customHeight="1">
      <x:c r="A1486" s="7" t="str">
        <x:v>M1479</x:v>
      </x:c>
      <x:c r="B1486" s="7" t="str">
        <x:v>RC07</x:v>
      </x:c>
      <x:c r="C1486" s="7" t="str">
        <x:v>T5</x:v>
      </x:c>
      <x:c r="D1486" s="7" t="str">
        <x:v>L11</x:v>
      </x:c>
      <x:c r="E1486" s="7" t="str">
        <x:v>Stair landings</x:v>
      </x:c>
      <x:c r="F1486" s="20" t="n">
        <x:v>2</x:v>
      </x:c>
      <x:c r="G1486" s="20" t="n">
        <x:v>2</x:v>
      </x:c>
      <x:c r="H1486" s="20" t="n">
        <x:v>1.2</x:v>
      </x:c>
      <x:c r="I1486" s="20" t="n">
        <x:v>0.18</x:v>
      </x:c>
      <x:c r="J1486" s="20" t="n">
        <x:v>1</x:v>
      </x:c>
      <x:c r="K1486" s="20" t="n">
        <x:f>F1486*G1486*H1486*I1486*J1486</x:f>
        <x:v>0.864</x:v>
      </x:c>
      <x:c r="L1486" s="7" t="str">
        <x:v>Within stair opening</x:v>
      </x:c>
      <x:c r="M1486" s="2"/>
      <x:c r="N1486" s="2"/>
      <x:c r="O1486" s="2"/>
      <x:c r="P1486" s="2"/>
      <x:c r="Q1486" s="2"/>
    </x:row>
    <x:row r="1487" ht="22" customHeight="1">
      <x:c r="A1487" s="2" t="str">
        <x:v>M1480</x:v>
      </x:c>
      <x:c r="B1487" s="2" t="str">
        <x:v>FW01</x:v>
      </x:c>
      <x:c r="C1487" s="2" t="str">
        <x:v>T5</x:v>
      </x:c>
      <x:c r="D1487" s="2" t="str">
        <x:v>L11</x:v>
      </x:c>
      <x:c r="E1487" s="2" t="str">
        <x:v>Slab soffit gross</x:v>
      </x:c>
      <x:c r="F1487" s="21" t="n">
        <x:v>1</x:v>
      </x:c>
      <x:c r="G1487" s="21" t="n">
        <x:f>'Controls'!$B$10</x:f>
        <x:v>30</x:v>
      </x:c>
      <x:c r="H1487" s="21" t="n">
        <x:f>'Controls'!$B$11</x:f>
        <x:v>24</x:v>
      </x:c>
      <x:c r="I1487" s="21" t="n">
        <x:v>1</x:v>
      </x:c>
      <x:c r="J1487" s="21" t="n">
        <x:v>1</x:v>
      </x:c>
      <x:c r="K1487" s="21" t="n">
        <x:f>F1487*G1487*H1487*I1487*J1487</x:f>
        <x:v>720</x:v>
      </x:c>
      <x:c r="L1487" s="2" t="str">
        <x:v>Beam soffit deducted below</x:v>
      </x:c>
      <x:c r="M1487" s="2"/>
      <x:c r="N1487" s="2"/>
      <x:c r="O1487" s="2"/>
      <x:c r="P1487" s="2"/>
      <x:c r="Q1487" s="2"/>
    </x:row>
    <x:row r="1488" ht="22" customHeight="1">
      <x:c r="A1488" s="7" t="str">
        <x:v>M1481</x:v>
      </x:c>
      <x:c r="B1488" s="7" t="str">
        <x:v>FW01</x:v>
      </x:c>
      <x:c r="C1488" s="7" t="str">
        <x:v>T5</x:v>
      </x:c>
      <x:c r="D1488" s="7" t="str">
        <x:v>L11</x:v>
      </x:c>
      <x:c r="E1488" s="7" t="str">
        <x:v>Stair opening deduction</x:v>
      </x:c>
      <x:c r="F1488" s="20" t="n">
        <x:v>1</x:v>
      </x:c>
      <x:c r="G1488" s="20" t="n">
        <x:f>'Controls'!$B$20</x:f>
        <x:v>4</x:v>
      </x:c>
      <x:c r="H1488" s="20" t="n">
        <x:f>'Controls'!$B$21</x:f>
        <x:v>6</x:v>
      </x:c>
      <x:c r="I1488" s="20" t="n">
        <x:v>1</x:v>
      </x:c>
      <x:c r="J1488" s="20" t="n">
        <x:v>-1</x:v>
      </x:c>
      <x:c r="K1488" s="20" t="n">
        <x:f>F1488*G1488*H1488*I1488*J1488</x:f>
        <x:v>-24</x:v>
      </x:c>
      <x:c r="L1488" s="7" t="str">
        <x:v>OP-01</x:v>
      </x:c>
      <x:c r="M1488" s="2"/>
      <x:c r="N1488" s="2"/>
      <x:c r="O1488" s="2"/>
      <x:c r="P1488" s="2"/>
      <x:c r="Q1488" s="2"/>
    </x:row>
    <x:row r="1489" ht="22" customHeight="1">
      <x:c r="A1489" s="2" t="str">
        <x:v>M1482</x:v>
      </x:c>
      <x:c r="B1489" s="2" t="str">
        <x:v>FW01</x:v>
      </x:c>
      <x:c r="C1489" s="2" t="str">
        <x:v>T5</x:v>
      </x:c>
      <x:c r="D1489" s="2" t="str">
        <x:v>L11</x:v>
      </x:c>
      <x:c r="E1489" s="2" t="str">
        <x:v>Beam soffit deduction</x:v>
      </x:c>
      <x:c r="F1489" s="21" t="n">
        <x:v>1</x:v>
      </x:c>
      <x:c r="G1489" s="21" t="n">
        <x:f>5*5*('Controls'!$B$10/5-'Controls'!$B$14)+6*4*('Controls'!$B$11/4-'Controls'!$B$15)</x:f>
        <x:v>269.5</x:v>
      </x:c>
      <x:c r="H1489" s="21" t="n">
        <x:f>'Controls'!$B$16</x:f>
        <x:v>0.3</x:v>
      </x:c>
      <x:c r="I1489" s="21" t="n">
        <x:v>1</x:v>
      </x:c>
      <x:c r="J1489" s="21" t="n">
        <x:v>-1</x:v>
      </x:c>
      <x:c r="K1489" s="21" t="n">
        <x:f>F1489*G1489*H1489*I1489*J1489</x:f>
        <x:v>-80.85</x:v>
      </x:c>
      <x:c r="L1489" s="2" t="str">
        <x:v>Beam forms measured in FW02</x:v>
      </x:c>
      <x:c r="M1489" s="2"/>
      <x:c r="N1489" s="2"/>
      <x:c r="O1489" s="2"/>
      <x:c r="P1489" s="2"/>
      <x:c r="Q1489" s="2"/>
    </x:row>
    <x:row r="1490" ht="22" customHeight="1">
      <x:c r="A1490" s="7" t="str">
        <x:v>M1483</x:v>
      </x:c>
      <x:c r="B1490" s="7" t="str">
        <x:v>FW03</x:v>
      </x:c>
      <x:c r="C1490" s="7" t="str">
        <x:v>T5</x:v>
      </x:c>
      <x:c r="D1490" s="7" t="str">
        <x:v>L11</x:v>
      </x:c>
      <x:c r="E1490" s="7" t="str">
        <x:v>Column four faces</x:v>
      </x:c>
      <x:c r="F1490" s="20" t="n">
        <x:v>30</x:v>
      </x:c>
      <x:c r="G1490" s="20" t="n">
        <x:f>2*('Controls'!$B$14+'Controls'!$B$15)</x:f>
        <x:v>2</x:v>
      </x:c>
      <x:c r="H1490" s="20" t="n">
        <x:f>'Controls'!$B$12-'Controls'!$B$13</x:f>
        <x:v>2.98</x:v>
      </x:c>
      <x:c r="I1490" s="20" t="n">
        <x:v>1</x:v>
      </x:c>
      <x:c r="J1490" s="20" t="n">
        <x:v>1</x:v>
      </x:c>
      <x:c r="K1490" s="20" t="n">
        <x:f>F1490*G1490*H1490*I1490*J1490</x:f>
        <x:v>178.8</x:v>
      </x:c>
      <x:c r="L1490" s="7" t="str">
        <x:v>Clear floor-to-soffit</x:v>
      </x:c>
      <x:c r="M1490" s="2"/>
      <x:c r="N1490" s="2"/>
      <x:c r="O1490" s="2"/>
      <x:c r="P1490" s="2"/>
      <x:c r="Q1490" s="2"/>
    </x:row>
    <x:row r="1491" ht="22" customHeight="1">
      <x:c r="A1491" s="2" t="str">
        <x:v>M1484</x:v>
      </x:c>
      <x:c r="B1491" s="2" t="str">
        <x:v>FW04</x:v>
      </x:c>
      <x:c r="C1491" s="2" t="str">
        <x:v>T5</x:v>
      </x:c>
      <x:c r="D1491" s="2" t="str">
        <x:v>L11</x:v>
      </x:c>
      <x:c r="E1491" s="2" t="str">
        <x:v>Core wall two faces</x:v>
      </x:c>
      <x:c r="F1491" s="21" t="n">
        <x:v>2</x:v>
      </x:c>
      <x:c r="G1491" s="21" t="n">
        <x:f>'Controls'!$B$19</x:f>
        <x:v>24</x:v>
      </x:c>
      <x:c r="H1491" s="21" t="n">
        <x:f>'Controls'!$B$12-'Controls'!$B$13</x:f>
        <x:v>2.98</x:v>
      </x:c>
      <x:c r="I1491" s="21" t="n">
        <x:v>1</x:v>
      </x:c>
      <x:c r="J1491" s="21" t="n">
        <x:v>1</x:v>
      </x:c>
      <x:c r="K1491" s="21" t="n">
        <x:f>F1491*G1491*H1491*I1491*J1491</x:f>
        <x:v>143.04</x:v>
      </x:c>
      <x:c r="L1491" s="2" t="str">
        <x:v>Net perimeter, no repeated corners</x:v>
      </x:c>
      <x:c r="M1491" s="2"/>
      <x:c r="N1491" s="2"/>
      <x:c r="O1491" s="2"/>
      <x:c r="P1491" s="2"/>
      <x:c r="Q1491" s="2"/>
    </x:row>
    <x:row r="1492" ht="22" customHeight="1">
      <x:c r="A1492" s="7" t="str">
        <x:v>M1485</x:v>
      </x:c>
      <x:c r="B1492" s="7" t="str">
        <x:v>AR01</x:v>
      </x:c>
      <x:c r="C1492" s="7" t="str">
        <x:v>T5</x:v>
      </x:c>
      <x:c r="D1492" s="7" t="str">
        <x:v>L11</x:v>
      </x:c>
      <x:c r="E1492" s="7" t="str">
        <x:v>Partition walls gross</x:v>
      </x:c>
      <x:c r="F1492" s="20" t="n">
        <x:v>1</x:v>
      </x:c>
      <x:c r="G1492" s="20" t="n">
        <x:f>'Controls'!$B$45</x:f>
        <x:v>220</x:v>
      </x:c>
      <x:c r="H1492" s="20" t="n">
        <x:f>'Controls'!$B$12-'Controls'!$B$13</x:f>
        <x:v>2.98</x:v>
      </x:c>
      <x:c r="I1492" s="20" t="n">
        <x:f>'Controls'!$B$46</x:f>
        <x:v>0.15</x:v>
      </x:c>
      <x:c r="J1492" s="20" t="n">
        <x:v>1</x:v>
      </x:c>
      <x:c r="K1492" s="20" t="n">
        <x:f>F1492*G1492*H1492*I1492*J1492</x:f>
        <x:v>98.34</x:v>
      </x:c>
      <x:c r="L1492" s="7" t="str">
        <x:v>Net openings deducted below</x:v>
      </x:c>
      <x:c r="M1492" s="2"/>
      <x:c r="N1492" s="2"/>
      <x:c r="O1492" s="2"/>
      <x:c r="P1492" s="2"/>
      <x:c r="Q1492" s="2"/>
    </x:row>
    <x:row r="1493" ht="22" customHeight="1">
      <x:c r="A1493" s="2" t="str">
        <x:v>M1486</x:v>
      </x:c>
      <x:c r="B1493" s="2" t="str">
        <x:v>AR01</x:v>
      </x:c>
      <x:c r="C1493" s="2" t="str">
        <x:v>T5</x:v>
      </x:c>
      <x:c r="D1493" s="2" t="str">
        <x:v>L11</x:v>
      </x:c>
      <x:c r="E1493" s="2" t="str">
        <x:v>Internal doors deduction</x:v>
      </x:c>
      <x:c r="F1493" s="21" t="n">
        <x:f>'Controls'!$B$48</x:f>
        <x:v>28</x:v>
      </x:c>
      <x:c r="G1493" s="21" t="n">
        <x:f>'Controls'!$B$49</x:f>
        <x:v>0.9</x:v>
      </x:c>
      <x:c r="H1493" s="21" t="n">
        <x:f>'Controls'!$B$50</x:f>
        <x:v>2.1</x:v>
      </x:c>
      <x:c r="I1493" s="21" t="n">
        <x:f>'Controls'!$B$46</x:f>
        <x:v>0.15</x:v>
      </x:c>
      <x:c r="J1493" s="21" t="n">
        <x:v>-1</x:v>
      </x:c>
      <x:c r="K1493" s="21" t="n">
        <x:f>F1493*G1493*H1493*I1493*J1493</x:f>
        <x:v>-7.938</x:v>
      </x:c>
      <x:c r="L1493" s="2" t="str">
        <x:v>28 doors per floor, OP-02</x:v>
      </x:c>
      <x:c r="M1493" s="2"/>
      <x:c r="N1493" s="2"/>
      <x:c r="O1493" s="2"/>
      <x:c r="P1493" s="2"/>
      <x:c r="Q1493" s="2"/>
    </x:row>
    <x:row r="1494" ht="22" customHeight="1">
      <x:c r="A1494" s="7" t="str">
        <x:v>M1487</x:v>
      </x:c>
      <x:c r="B1494" s="7" t="str">
        <x:v>AR02</x:v>
      </x:c>
      <x:c r="C1494" s="7" t="str">
        <x:v>T5</x:v>
      </x:c>
      <x:c r="D1494" s="7" t="str">
        <x:v>L11</x:v>
      </x:c>
      <x:c r="E1494" s="7" t="str">
        <x:v>Internal plaster gross</x:v>
      </x:c>
      <x:c r="F1494" s="20" t="n">
        <x:v>2</x:v>
      </x:c>
      <x:c r="G1494" s="20" t="n">
        <x:f>'Controls'!$B$45</x:f>
        <x:v>220</x:v>
      </x:c>
      <x:c r="H1494" s="20" t="n">
        <x:f>'Controls'!$B$12-'Controls'!$B$13</x:f>
        <x:v>2.98</x:v>
      </x:c>
      <x:c r="I1494" s="20" t="n">
        <x:v>1</x:v>
      </x:c>
      <x:c r="J1494" s="20" t="n">
        <x:v>1</x:v>
      </x:c>
      <x:c r="K1494" s="20" t="n">
        <x:f>F1494*G1494*H1494*I1494*J1494</x:f>
        <x:v>1311.2</x:v>
      </x:c>
      <x:c r="L1494" s="7" t="str">
        <x:v>Both faces of partition walls</x:v>
      </x:c>
      <x:c r="M1494" s="2"/>
      <x:c r="N1494" s="2"/>
      <x:c r="O1494" s="2"/>
      <x:c r="P1494" s="2"/>
      <x:c r="Q1494" s="2"/>
    </x:row>
    <x:row r="1495" ht="22" customHeight="1">
      <x:c r="A1495" s="2" t="str">
        <x:v>M1488</x:v>
      </x:c>
      <x:c r="B1495" s="2" t="str">
        <x:v>AR02</x:v>
      </x:c>
      <x:c r="C1495" s="2" t="str">
        <x:v>T5</x:v>
      </x:c>
      <x:c r="D1495" s="2" t="str">
        <x:v>L11</x:v>
      </x:c>
      <x:c r="E1495" s="2" t="str">
        <x:v>Door area deduction both faces</x:v>
      </x:c>
      <x:c r="F1495" s="21" t="n">
        <x:f>2*'Controls'!$B$48</x:f>
        <x:v>56</x:v>
      </x:c>
      <x:c r="G1495" s="21" t="n">
        <x:f>'Controls'!$B$49</x:f>
        <x:v>0.9</x:v>
      </x:c>
      <x:c r="H1495" s="21" t="n">
        <x:f>'Controls'!$B$50</x:f>
        <x:v>2.1</x:v>
      </x:c>
      <x:c r="I1495" s="21" t="n">
        <x:v>1</x:v>
      </x:c>
      <x:c r="J1495" s="21" t="n">
        <x:v>-1</x:v>
      </x:c>
      <x:c r="K1495" s="21" t="n">
        <x:f>F1495*G1495*H1495*I1495*J1495</x:f>
        <x:v>-105.84</x:v>
      </x:c>
      <x:c r="L1495" s="2" t="str">
        <x:v>No plaster over openings</x:v>
      </x:c>
      <x:c r="M1495" s="2"/>
      <x:c r="N1495" s="2"/>
      <x:c r="O1495" s="2"/>
      <x:c r="P1495" s="2"/>
      <x:c r="Q1495" s="2"/>
    </x:row>
    <x:row r="1496" ht="22" customHeight="1">
      <x:c r="A1496" s="7" t="str">
        <x:v>M1489</x:v>
      </x:c>
      <x:c r="B1496" s="7" t="str">
        <x:v>AR03</x:v>
      </x:c>
      <x:c r="C1496" s="7" t="str">
        <x:v>T5</x:v>
      </x:c>
      <x:c r="D1496" s="7" t="str">
        <x:v>L11</x:v>
      </x:c>
      <x:c r="E1496" s="7" t="str">
        <x:v>Floor screed net</x:v>
      </x:c>
      <x:c r="F1496" s="20" t="n">
        <x:v>1</x:v>
      </x:c>
      <x:c r="G1496" s="20" t="n">
        <x:f>'Controls'!$B$10*'Controls'!$B$11-'Controls'!$B$20*'Controls'!$B$21</x:f>
        <x:v>696</x:v>
      </x:c>
      <x:c r="H1496" s="20" t="n">
        <x:v>1</x:v>
      </x:c>
      <x:c r="I1496" s="20" t="n">
        <x:v>1</x:v>
      </x:c>
      <x:c r="J1496" s="20" t="n">
        <x:v>1</x:v>
      </x:c>
      <x:c r="K1496" s="20" t="n">
        <x:f>F1496*G1496*H1496*I1496*J1496</x:f>
        <x:v>696</x:v>
      </x:c>
      <x:c r="L1496" s="7" t="str">
        <x:v>Net structural floor area</x:v>
      </x:c>
      <x:c r="M1496" s="2"/>
      <x:c r="N1496" s="2"/>
      <x:c r="O1496" s="2"/>
      <x:c r="P1496" s="2"/>
      <x:c r="Q1496" s="2"/>
    </x:row>
    <x:row r="1497" ht="22" customHeight="1">
      <x:c r="A1497" s="2" t="str">
        <x:v>M1490</x:v>
      </x:c>
      <x:c r="B1497" s="2" t="str">
        <x:v>AR04</x:v>
      </x:c>
      <x:c r="C1497" s="2" t="str">
        <x:v>T5</x:v>
      </x:c>
      <x:c r="D1497" s="2" t="str">
        <x:v>L11</x:v>
      </x:c>
      <x:c r="E1497" s="2" t="str">
        <x:v>Floor finish net</x:v>
      </x:c>
      <x:c r="F1497" s="21" t="n">
        <x:v>1</x:v>
      </x:c>
      <x:c r="G1497" s="21" t="n">
        <x:f>'Controls'!$B$10*'Controls'!$B$11-'Controls'!$B$20*'Controls'!$B$21</x:f>
        <x:v>696</x:v>
      </x:c>
      <x:c r="H1497" s="21" t="n">
        <x:v>1</x:v>
      </x:c>
      <x:c r="I1497" s="21" t="n">
        <x:v>1</x:v>
      </x:c>
      <x:c r="J1497" s="21" t="n">
        <x:v>1</x:v>
      </x:c>
      <x:c r="K1497" s="21" t="n">
        <x:f>F1497*G1497*H1497*I1497*J1497</x:f>
        <x:v>696</x:v>
      </x:c>
      <x:c r="L1497" s="2" t="str">
        <x:v>Waste excluded from BOQ</x:v>
      </x:c>
      <x:c r="M1497" s="2"/>
      <x:c r="N1497" s="2"/>
      <x:c r="O1497" s="2"/>
      <x:c r="P1497" s="2"/>
      <x:c r="Q1497" s="2"/>
    </x:row>
    <x:row r="1498" ht="22" customHeight="1">
      <x:c r="A1498" s="7" t="str">
        <x:v>M1491</x:v>
      </x:c>
      <x:c r="B1498" s="7" t="str">
        <x:v>AR05</x:v>
      </x:c>
      <x:c r="C1498" s="7" t="str">
        <x:v>T5</x:v>
      </x:c>
      <x:c r="D1498" s="7" t="str">
        <x:v>L11</x:v>
      </x:c>
      <x:c r="E1498" s="7" t="str">
        <x:v>Internal wall paint net</x:v>
      </x:c>
      <x:c r="F1498" s="20" t="n">
        <x:v>2</x:v>
      </x:c>
      <x:c r="G1498" s="20" t="n">
        <x:f>'Controls'!$B$45*('Controls'!$B$12-'Controls'!$B$13)-'Controls'!$B$48*'Controls'!$B$49*'Controls'!$B$50</x:f>
        <x:v>602.6800000000001</x:v>
      </x:c>
      <x:c r="H1498" s="20" t="n">
        <x:v>1</x:v>
      </x:c>
      <x:c r="I1498" s="20" t="n">
        <x:v>1</x:v>
      </x:c>
      <x:c r="J1498" s="20" t="n">
        <x:v>1</x:v>
      </x:c>
      <x:c r="K1498" s="20" t="n">
        <x:f>F1498*G1498*H1498*I1498*J1498</x:f>
        <x:v>1205.3600000000001</x:v>
      </x:c>
      <x:c r="L1498" s="7" t="str">
        <x:v>Finished area; two coats priced in rate</x:v>
      </x:c>
      <x:c r="M1498" s="2"/>
      <x:c r="N1498" s="2"/>
      <x:c r="O1498" s="2"/>
      <x:c r="P1498" s="2"/>
      <x:c r="Q1498" s="2"/>
    </x:row>
    <x:row r="1499" ht="22" customHeight="1">
      <x:c r="A1499" s="2" t="str">
        <x:v>M1492</x:v>
      </x:c>
      <x:c r="B1499" s="2" t="str">
        <x:v>AR06</x:v>
      </x:c>
      <x:c r="C1499" s="2" t="str">
        <x:v>T5</x:v>
      </x:c>
      <x:c r="D1499" s="2" t="str">
        <x:v>L11</x:v>
      </x:c>
      <x:c r="E1499" s="2" t="str">
        <x:v>Door sets</x:v>
      </x:c>
      <x:c r="F1499" s="21" t="n">
        <x:f>'Controls'!$B$48</x:f>
        <x:v>28</x:v>
      </x:c>
      <x:c r="G1499" s="21" t="n">
        <x:v>1</x:v>
      </x:c>
      <x:c r="H1499" s="21" t="n">
        <x:v>1</x:v>
      </x:c>
      <x:c r="I1499" s="21" t="n">
        <x:v>1</x:v>
      </x:c>
      <x:c r="J1499" s="21" t="n">
        <x:v>1</x:v>
      </x:c>
      <x:c r="K1499" s="21" t="n">
        <x:f>F1499*G1499*H1499*I1499*J1499</x:f>
        <x:v>28</x:v>
      </x:c>
      <x:c r="L1499" s="2" t="str">
        <x:v>Door count, not double face</x:v>
      </x:c>
      <x:c r="M1499" s="2"/>
      <x:c r="N1499" s="2"/>
      <x:c r="O1499" s="2"/>
      <x:c r="P1499" s="2"/>
      <x:c r="Q1499" s="2"/>
    </x:row>
    <x:row r="1500" ht="22" customHeight="1">
      <x:c r="A1500" s="7" t="str">
        <x:v>M1493</x:v>
      </x:c>
      <x:c r="B1500" s="7" t="str">
        <x:v>RC03</x:v>
      </x:c>
      <x:c r="C1500" s="7" t="str">
        <x:v>T5</x:v>
      </x:c>
      <x:c r="D1500" s="7" t="str">
        <x:v>L12</x:v>
      </x:c>
      <x:c r="E1500" s="7" t="str">
        <x:v>Floor slab gross</x:v>
      </x:c>
      <x:c r="F1500" s="20" t="n">
        <x:v>1</x:v>
      </x:c>
      <x:c r="G1500" s="20" t="n">
        <x:f>'Controls'!$B$10</x:f>
        <x:v>30</x:v>
      </x:c>
      <x:c r="H1500" s="20" t="n">
        <x:f>'Controls'!$B$11</x:f>
        <x:v>24</x:v>
      </x:c>
      <x:c r="I1500" s="20" t="n">
        <x:f>'Controls'!$B$13</x:f>
        <x:v>0.22</x:v>
      </x:c>
      <x:c r="J1500" s="20" t="n">
        <x:v>1</x:v>
      </x:c>
      <x:c r="K1500" s="20" t="n">
        <x:f>F1500*G1500*H1500*I1500*J1500</x:f>
        <x:v>158.4</x:v>
      </x:c>
      <x:c r="L1500" s="7" t="str">
        <x:v>Slab includes beam top flange; downstand separate</x:v>
      </x:c>
      <x:c r="M1500" s="2"/>
      <x:c r="N1500" s="2"/>
      <x:c r="O1500" s="2"/>
      <x:c r="P1500" s="2"/>
      <x:c r="Q1500" s="2"/>
    </x:row>
    <x:row r="1501" ht="22" customHeight="1">
      <x:c r="A1501" s="1" t="str">
        <x:v>M1494</x:v>
      </x:c>
      <x:c r="B1501" s="1" t="str">
        <x:v>RC03</x:v>
      </x:c>
      <x:c r="C1501" s="1" t="str">
        <x:v>T5</x:v>
      </x:c>
      <x:c r="D1501" s="1" t="str">
        <x:v>L12</x:v>
      </x:c>
      <x:c r="E1501" s="1" t="str">
        <x:v>Stair opening deduction</x:v>
      </x:c>
      <x:c r="F1501" s="35" t="n">
        <x:v>1</x:v>
      </x:c>
      <x:c r="G1501" s="35" t="n">
        <x:f>'Controls'!$B$20</x:f>
        <x:v>4</x:v>
      </x:c>
      <x:c r="H1501" s="35" t="n">
        <x:f>'Controls'!$B$21</x:f>
        <x:v>6</x:v>
      </x:c>
      <x:c r="I1501" s="35" t="n">
        <x:f>'Controls'!$B$13</x:f>
        <x:v>0.22</x:v>
      </x:c>
      <x:c r="J1501" s="35" t="n">
        <x:v>-1</x:v>
      </x:c>
      <x:c r="K1501" s="35" t="n">
        <x:f>F1501*G1501*H1501*I1501*J1501</x:f>
        <x:v>-5.28</x:v>
      </x:c>
      <x:c r="L1501" s="1" t="str">
        <x:v>Opening OP-01</x:v>
      </x:c>
      <x:c r="M1501" s="1"/>
      <x:c r="N1501" s="1"/>
      <x:c r="O1501" s="1"/>
      <x:c r="P1501" s="1"/>
      <x:c r="Q1501" s="1"/>
    </x:row>
    <x:row r="1502" ht="22" customHeight="1">
      <x:c r="A1502" s="36" t="str">
        <x:v>M1495</x:v>
      </x:c>
      <x:c r="B1502" s="36" t="str">
        <x:v>RC04</x:v>
      </x:c>
      <x:c r="C1502" s="36" t="str">
        <x:v>T5</x:v>
      </x:c>
      <x:c r="D1502" s="36" t="str">
        <x:v>L12</x:v>
      </x:c>
      <x:c r="E1502" s="36" t="str">
        <x:v>Beam downstands X</x:v>
      </x:c>
      <x:c r="F1502" s="37" t="n">
        <x:v>1</x:v>
      </x:c>
      <x:c r="G1502" s="37" t="n">
        <x:f>5*5*('Controls'!$B$10/5-'Controls'!$B$14)</x:f>
        <x:v>137.5</x:v>
      </x:c>
      <x:c r="H1502" s="37" t="n">
        <x:f>'Controls'!$B$16</x:f>
        <x:v>0.3</x:v>
      </x:c>
      <x:c r="I1502" s="37" t="n">
        <x:f>'Controls'!$B$17-'Controls'!$B$13</x:f>
        <x:v>0.38</x:v>
      </x:c>
      <x:c r="J1502" s="37" t="n">
        <x:v>1</x:v>
      </x:c>
      <x:c r="K1502" s="37" t="n">
        <x:f>F1502*G1502*H1502*I1502*J1502</x:f>
        <x:v>15.675</x:v>
      </x:c>
      <x:c r="L1502" s="36" t="str">
        <x:v>Clear spans between column faces; no joint overlap</x:v>
      </x:c>
      <x:c r="M1502" s="1"/>
      <x:c r="N1502" s="1"/>
      <x:c r="O1502" s="1"/>
      <x:c r="P1502" s="1"/>
      <x:c r="Q1502" s="1"/>
    </x:row>
    <x:row r="1503" ht="22" customHeight="1">
      <x:c r="A1503" s="1" t="str">
        <x:v>M1496</x:v>
      </x:c>
      <x:c r="B1503" s="1" t="str">
        <x:v>FW02</x:v>
      </x:c>
      <x:c r="C1503" s="1" t="str">
        <x:v>T5</x:v>
      </x:c>
      <x:c r="D1503" s="1" t="str">
        <x:v>L12</x:v>
      </x:c>
      <x:c r="E1503" s="1" t="str">
        <x:v>Beam forms X</x:v>
      </x:c>
      <x:c r="F1503" s="35" t="n">
        <x:v>1</x:v>
      </x:c>
      <x:c r="G1503" s="35" t="n">
        <x:f>5*5*('Controls'!$B$10/5-'Controls'!$B$14)</x:f>
        <x:v>137.5</x:v>
      </x:c>
      <x:c r="H1503" s="35" t="n">
        <x:f>'Controls'!$B$16+2*('Controls'!$B$17-'Controls'!$B$13)</x:f>
        <x:v>1.06</x:v>
      </x:c>
      <x:c r="I1503" s="35" t="n">
        <x:v>1</x:v>
      </x:c>
      <x:c r="J1503" s="35" t="n">
        <x:v>1</x:v>
      </x:c>
      <x:c r="K1503" s="35" t="n">
        <x:f>F1503*G1503*H1503*I1503*J1503</x:f>
        <x:v>145.75</x:v>
      </x:c>
      <x:c r="L1503" s="1" t="str">
        <x:v>Soffit plus two downstand sides</x:v>
      </x:c>
      <x:c r="M1503" s="1"/>
      <x:c r="N1503" s="1"/>
      <x:c r="O1503" s="1"/>
      <x:c r="P1503" s="1"/>
      <x:c r="Q1503" s="1"/>
    </x:row>
    <x:row r="1504" ht="22" customHeight="1">
      <x:c r="A1504" s="36" t="str">
        <x:v>M1497</x:v>
      </x:c>
      <x:c r="B1504" s="36" t="str">
        <x:v>RC04</x:v>
      </x:c>
      <x:c r="C1504" s="36" t="str">
        <x:v>T5</x:v>
      </x:c>
      <x:c r="D1504" s="36" t="str">
        <x:v>L12</x:v>
      </x:c>
      <x:c r="E1504" s="36" t="str">
        <x:v>Beam downstands Y</x:v>
      </x:c>
      <x:c r="F1504" s="37" t="n">
        <x:v>1</x:v>
      </x:c>
      <x:c r="G1504" s="37" t="n">
        <x:f>6*4*('Controls'!$B$11/4-'Controls'!$B$15)</x:f>
        <x:v>132</x:v>
      </x:c>
      <x:c r="H1504" s="37" t="n">
        <x:f>'Controls'!$B$16</x:f>
        <x:v>0.3</x:v>
      </x:c>
      <x:c r="I1504" s="37" t="n">
        <x:f>'Controls'!$B$17-'Controls'!$B$13</x:f>
        <x:v>0.38</x:v>
      </x:c>
      <x:c r="J1504" s="37" t="n">
        <x:v>1</x:v>
      </x:c>
      <x:c r="K1504" s="37" t="n">
        <x:f>F1504*G1504*H1504*I1504*J1504</x:f>
        <x:v>15.048</x:v>
      </x:c>
      <x:c r="L1504" s="36" t="str">
        <x:v>Clear spans between column faces; no joint overlap</x:v>
      </x:c>
      <x:c r="M1504" s="1"/>
      <x:c r="N1504" s="1"/>
      <x:c r="O1504" s="1"/>
      <x:c r="P1504" s="1"/>
      <x:c r="Q1504" s="1"/>
    </x:row>
    <x:row r="1505" ht="22" customHeight="1">
      <x:c r="A1505" s="1" t="str">
        <x:v>M1498</x:v>
      </x:c>
      <x:c r="B1505" s="1" t="str">
        <x:v>FW02</x:v>
      </x:c>
      <x:c r="C1505" s="1" t="str">
        <x:v>T5</x:v>
      </x:c>
      <x:c r="D1505" s="1" t="str">
        <x:v>L12</x:v>
      </x:c>
      <x:c r="E1505" s="1" t="str">
        <x:v>Beam forms Y</x:v>
      </x:c>
      <x:c r="F1505" s="35" t="n">
        <x:v>1</x:v>
      </x:c>
      <x:c r="G1505" s="35" t="n">
        <x:f>6*4*('Controls'!$B$11/4-'Controls'!$B$15)</x:f>
        <x:v>132</x:v>
      </x:c>
      <x:c r="H1505" s="35" t="n">
        <x:f>'Controls'!$B$16+2*('Controls'!$B$17-'Controls'!$B$13)</x:f>
        <x:v>1.06</x:v>
      </x:c>
      <x:c r="I1505" s="35" t="n">
        <x:v>1</x:v>
      </x:c>
      <x:c r="J1505" s="35" t="n">
        <x:v>1</x:v>
      </x:c>
      <x:c r="K1505" s="35" t="n">
        <x:f>F1505*G1505*H1505*I1505*J1505</x:f>
        <x:v>139.92000000000002</x:v>
      </x:c>
      <x:c r="L1505" s="1" t="str">
        <x:v>Soffit plus two downstand sides</x:v>
      </x:c>
      <x:c r="M1505" s="1"/>
      <x:c r="N1505" s="1"/>
      <x:c r="O1505" s="1"/>
      <x:c r="P1505" s="1"/>
      <x:c r="Q1505" s="1"/>
    </x:row>
    <x:row r="1506" ht="22" customHeight="1">
      <x:c r="A1506" s="36" t="str">
        <x:v>M1499</x:v>
      </x:c>
      <x:c r="B1506" s="36" t="str">
        <x:v>RC05</x:v>
      </x:c>
      <x:c r="C1506" s="36" t="str">
        <x:v>T5</x:v>
      </x:c>
      <x:c r="D1506" s="36" t="str">
        <x:v>L12</x:v>
      </x:c>
      <x:c r="E1506" s="36" t="str">
        <x:v>Thirty columns, clear storey</x:v>
      </x:c>
      <x:c r="F1506" s="37" t="n">
        <x:v>30</x:v>
      </x:c>
      <x:c r="G1506" s="37" t="n">
        <x:f>'Controls'!$B$14</x:f>
        <x:v>0.5</x:v>
      </x:c>
      <x:c r="H1506" s="37" t="n">
        <x:f>'Controls'!$B$15</x:f>
        <x:v>0.5</x:v>
      </x:c>
      <x:c r="I1506" s="37" t="n">
        <x:f>'Controls'!$B$12-'Controls'!$B$13</x:f>
        <x:v>2.98</x:v>
      </x:c>
      <x:c r="J1506" s="37" t="n">
        <x:v>1</x:v>
      </x:c>
      <x:c r="K1506" s="37" t="n">
        <x:f>F1506*G1506*H1506*I1506*J1506</x:f>
        <x:v>22.35</x:v>
      </x:c>
      <x:c r="L1506" s="36" t="str">
        <x:v>Slab volume excluded from columns</x:v>
      </x:c>
      <x:c r="M1506" s="1"/>
      <x:c r="N1506" s="1"/>
      <x:c r="O1506" s="1"/>
      <x:c r="P1506" s="1"/>
      <x:c r="Q1506" s="1"/>
    </x:row>
    <x:row r="1507" ht="22" customHeight="1">
      <x:c r="A1507" s="1" t="str">
        <x:v>M1500</x:v>
      </x:c>
      <x:c r="B1507" s="1" t="str">
        <x:v>RC06</x:v>
      </x:c>
      <x:c r="C1507" s="1" t="str">
        <x:v>T5</x:v>
      </x:c>
      <x:c r="D1507" s="1" t="str">
        <x:v>L12</x:v>
      </x:c>
      <x:c r="E1507" s="1" t="str">
        <x:v>Core walls clear storey</x:v>
      </x:c>
      <x:c r="F1507" s="35" t="n">
        <x:v>1</x:v>
      </x:c>
      <x:c r="G1507" s="35" t="n">
        <x:f>'Controls'!$B$19</x:f>
        <x:v>24</x:v>
      </x:c>
      <x:c r="H1507" s="35" t="n">
        <x:f>'Controls'!$B$18</x:f>
        <x:v>0.25</x:v>
      </x:c>
      <x:c r="I1507" s="35" t="n">
        <x:f>'Controls'!$B$12-'Controls'!$B$13</x:f>
        <x:v>2.98</x:v>
      </x:c>
      <x:c r="J1507" s="35" t="n">
        <x:v>1</x:v>
      </x:c>
      <x:c r="K1507" s="35" t="n">
        <x:f>F1507*G1507*H1507*I1507*J1507</x:f>
        <x:v>17.88</x:v>
      </x:c>
      <x:c r="L1507" s="1" t="str">
        <x:v>Net clear wall length excludes corners</x:v>
      </x:c>
      <x:c r="M1507" s="1"/>
      <x:c r="N1507" s="1"/>
      <x:c r="O1507" s="1"/>
      <x:c r="P1507" s="1"/>
      <x:c r="Q1507" s="1"/>
    </x:row>
    <x:row r="1508" ht="22" customHeight="1">
      <x:c r="A1508" s="36" t="str">
        <x:v>M1501</x:v>
      </x:c>
      <x:c r="B1508" s="36" t="str">
        <x:v>RC07</x:v>
      </x:c>
      <x:c r="C1508" s="36" t="str">
        <x:v>T5</x:v>
      </x:c>
      <x:c r="D1508" s="36" t="str">
        <x:v>L12</x:v>
      </x:c>
      <x:c r="E1508" s="36" t="str">
        <x:v>Stair flights waist</x:v>
      </x:c>
      <x:c r="F1508" s="37" t="n">
        <x:v>2</x:v>
      </x:c>
      <x:c r="G1508" s="37" t="n">
        <x:v>4.1</x:v>
      </x:c>
      <x:c r="H1508" s="37" t="n">
        <x:v>1.2</x:v>
      </x:c>
      <x:c r="I1508" s="37" t="n">
        <x:v>0.18</x:v>
      </x:c>
      <x:c r="J1508" s="37" t="n">
        <x:v>1</x:v>
      </x:c>
      <x:c r="K1508" s="37" t="n">
        <x:f>F1508*G1508*H1508*I1508*J1508</x:f>
        <x:v>1.7711999999999997</x:v>
      </x:c>
      <x:c r="L1508" s="36" t="str">
        <x:v>Two flights; geometry separate from floor slab</x:v>
      </x:c>
      <x:c r="M1508" s="1"/>
      <x:c r="N1508" s="1"/>
      <x:c r="O1508" s="1"/>
      <x:c r="P1508" s="1"/>
      <x:c r="Q1508" s="1"/>
    </x:row>
    <x:row r="1509" ht="22" customHeight="1">
      <x:c r="A1509" s="1" t="str">
        <x:v>M1502</x:v>
      </x:c>
      <x:c r="B1509" s="1" t="str">
        <x:v>RC07</x:v>
      </x:c>
      <x:c r="C1509" s="1" t="str">
        <x:v>T5</x:v>
      </x:c>
      <x:c r="D1509" s="1" t="str">
        <x:v>L12</x:v>
      </x:c>
      <x:c r="E1509" s="1" t="str">
        <x:v>Stair landings</x:v>
      </x:c>
      <x:c r="F1509" s="35" t="n">
        <x:v>2</x:v>
      </x:c>
      <x:c r="G1509" s="35" t="n">
        <x:v>2</x:v>
      </x:c>
      <x:c r="H1509" s="35" t="n">
        <x:v>1.2</x:v>
      </x:c>
      <x:c r="I1509" s="35" t="n">
        <x:v>0.18</x:v>
      </x:c>
      <x:c r="J1509" s="35" t="n">
        <x:v>1</x:v>
      </x:c>
      <x:c r="K1509" s="35" t="n">
        <x:f>F1509*G1509*H1509*I1509*J1509</x:f>
        <x:v>0.864</x:v>
      </x:c>
      <x:c r="L1509" s="1" t="str">
        <x:v>Within stair opening</x:v>
      </x:c>
      <x:c r="M1509" s="1"/>
      <x:c r="N1509" s="1"/>
      <x:c r="O1509" s="1"/>
      <x:c r="P1509" s="1"/>
      <x:c r="Q1509" s="1"/>
    </x:row>
    <x:row r="1510" ht="22" customHeight="1">
      <x:c r="A1510" s="36" t="str">
        <x:v>M1503</x:v>
      </x:c>
      <x:c r="B1510" s="36" t="str">
        <x:v>FW01</x:v>
      </x:c>
      <x:c r="C1510" s="36" t="str">
        <x:v>T5</x:v>
      </x:c>
      <x:c r="D1510" s="36" t="str">
        <x:v>L12</x:v>
      </x:c>
      <x:c r="E1510" s="36" t="str">
        <x:v>Slab soffit gross</x:v>
      </x:c>
      <x:c r="F1510" s="37" t="n">
        <x:v>1</x:v>
      </x:c>
      <x:c r="G1510" s="37" t="n">
        <x:f>'Controls'!$B$10</x:f>
        <x:v>30</x:v>
      </x:c>
      <x:c r="H1510" s="37" t="n">
        <x:f>'Controls'!$B$11</x:f>
        <x:v>24</x:v>
      </x:c>
      <x:c r="I1510" s="37" t="n">
        <x:v>1</x:v>
      </x:c>
      <x:c r="J1510" s="37" t="n">
        <x:v>1</x:v>
      </x:c>
      <x:c r="K1510" s="37" t="n">
        <x:f>F1510*G1510*H1510*I1510*J1510</x:f>
        <x:v>720</x:v>
      </x:c>
      <x:c r="L1510" s="36" t="str">
        <x:v>Beam soffit deducted below</x:v>
      </x:c>
      <x:c r="M1510" s="1"/>
      <x:c r="N1510" s="1"/>
      <x:c r="O1510" s="1"/>
      <x:c r="P1510" s="1"/>
      <x:c r="Q1510" s="1"/>
    </x:row>
    <x:row r="1511" ht="22" customHeight="1">
      <x:c r="A1511" s="1" t="str">
        <x:v>M1504</x:v>
      </x:c>
      <x:c r="B1511" s="1" t="str">
        <x:v>FW01</x:v>
      </x:c>
      <x:c r="C1511" s="1" t="str">
        <x:v>T5</x:v>
      </x:c>
      <x:c r="D1511" s="1" t="str">
        <x:v>L12</x:v>
      </x:c>
      <x:c r="E1511" s="1" t="str">
        <x:v>Stair opening deduction</x:v>
      </x:c>
      <x:c r="F1511" s="35" t="n">
        <x:v>1</x:v>
      </x:c>
      <x:c r="G1511" s="35" t="n">
        <x:f>'Controls'!$B$20</x:f>
        <x:v>4</x:v>
      </x:c>
      <x:c r="H1511" s="35" t="n">
        <x:f>'Controls'!$B$21</x:f>
        <x:v>6</x:v>
      </x:c>
      <x:c r="I1511" s="35" t="n">
        <x:v>1</x:v>
      </x:c>
      <x:c r="J1511" s="35" t="n">
        <x:v>-1</x:v>
      </x:c>
      <x:c r="K1511" s="35" t="n">
        <x:f>F1511*G1511*H1511*I1511*J1511</x:f>
        <x:v>-24</x:v>
      </x:c>
      <x:c r="L1511" s="1" t="str">
        <x:v>OP-01</x:v>
      </x:c>
      <x:c r="M1511" s="1"/>
      <x:c r="N1511" s="1"/>
      <x:c r="O1511" s="1"/>
      <x:c r="P1511" s="1"/>
      <x:c r="Q1511" s="1"/>
    </x:row>
    <x:row r="1512" ht="22" customHeight="1">
      <x:c r="A1512" s="36" t="str">
        <x:v>M1505</x:v>
      </x:c>
      <x:c r="B1512" s="36" t="str">
        <x:v>FW01</x:v>
      </x:c>
      <x:c r="C1512" s="36" t="str">
        <x:v>T5</x:v>
      </x:c>
      <x:c r="D1512" s="36" t="str">
        <x:v>L12</x:v>
      </x:c>
      <x:c r="E1512" s="36" t="str">
        <x:v>Beam soffit deduction</x:v>
      </x:c>
      <x:c r="F1512" s="37" t="n">
        <x:v>1</x:v>
      </x:c>
      <x:c r="G1512" s="37" t="n">
        <x:f>5*5*('Controls'!$B$10/5-'Controls'!$B$14)+6*4*('Controls'!$B$11/4-'Controls'!$B$15)</x:f>
        <x:v>269.5</x:v>
      </x:c>
      <x:c r="H1512" s="37" t="n">
        <x:f>'Controls'!$B$16</x:f>
        <x:v>0.3</x:v>
      </x:c>
      <x:c r="I1512" s="37" t="n">
        <x:v>1</x:v>
      </x:c>
      <x:c r="J1512" s="37" t="n">
        <x:v>-1</x:v>
      </x:c>
      <x:c r="K1512" s="37" t="n">
        <x:f>F1512*G1512*H1512*I1512*J1512</x:f>
        <x:v>-80.85</x:v>
      </x:c>
      <x:c r="L1512" s="36" t="str">
        <x:v>Beam forms measured in FW02</x:v>
      </x:c>
      <x:c r="M1512" s="1"/>
      <x:c r="N1512" s="1"/>
      <x:c r="O1512" s="1"/>
      <x:c r="P1512" s="1"/>
      <x:c r="Q1512" s="1"/>
    </x:row>
    <x:row r="1513" ht="22" customHeight="1">
      <x:c r="A1513" s="1" t="str">
        <x:v>M1506</x:v>
      </x:c>
      <x:c r="B1513" s="1" t="str">
        <x:v>FW03</x:v>
      </x:c>
      <x:c r="C1513" s="1" t="str">
        <x:v>T5</x:v>
      </x:c>
      <x:c r="D1513" s="1" t="str">
        <x:v>L12</x:v>
      </x:c>
      <x:c r="E1513" s="1" t="str">
        <x:v>Column four faces</x:v>
      </x:c>
      <x:c r="F1513" s="35" t="n">
        <x:v>30</x:v>
      </x:c>
      <x:c r="G1513" s="35" t="n">
        <x:f>2*('Controls'!$B$14+'Controls'!$B$15)</x:f>
        <x:v>2</x:v>
      </x:c>
      <x:c r="H1513" s="35" t="n">
        <x:f>'Controls'!$B$12-'Controls'!$B$13</x:f>
        <x:v>2.98</x:v>
      </x:c>
      <x:c r="I1513" s="35" t="n">
        <x:v>1</x:v>
      </x:c>
      <x:c r="J1513" s="35" t="n">
        <x:v>1</x:v>
      </x:c>
      <x:c r="K1513" s="35" t="n">
        <x:f>F1513*G1513*H1513*I1513*J1513</x:f>
        <x:v>178.8</x:v>
      </x:c>
      <x:c r="L1513" s="1" t="str">
        <x:v>Clear floor-to-soffit</x:v>
      </x:c>
      <x:c r="M1513" s="1"/>
      <x:c r="N1513" s="1"/>
      <x:c r="O1513" s="1"/>
      <x:c r="P1513" s="1"/>
      <x:c r="Q1513" s="1"/>
    </x:row>
    <x:row r="1514" ht="22" customHeight="1">
      <x:c r="A1514" s="36" t="str">
        <x:v>M1507</x:v>
      </x:c>
      <x:c r="B1514" s="36" t="str">
        <x:v>FW04</x:v>
      </x:c>
      <x:c r="C1514" s="36" t="str">
        <x:v>T5</x:v>
      </x:c>
      <x:c r="D1514" s="36" t="str">
        <x:v>L12</x:v>
      </x:c>
      <x:c r="E1514" s="36" t="str">
        <x:v>Core wall two faces</x:v>
      </x:c>
      <x:c r="F1514" s="37" t="n">
        <x:v>2</x:v>
      </x:c>
      <x:c r="G1514" s="37" t="n">
        <x:f>'Controls'!$B$19</x:f>
        <x:v>24</x:v>
      </x:c>
      <x:c r="H1514" s="37" t="n">
        <x:f>'Controls'!$B$12-'Controls'!$B$13</x:f>
        <x:v>2.98</x:v>
      </x:c>
      <x:c r="I1514" s="37" t="n">
        <x:v>1</x:v>
      </x:c>
      <x:c r="J1514" s="37" t="n">
        <x:v>1</x:v>
      </x:c>
      <x:c r="K1514" s="37" t="n">
        <x:f>F1514*G1514*H1514*I1514*J1514</x:f>
        <x:v>143.04</x:v>
      </x:c>
      <x:c r="L1514" s="36" t="str">
        <x:v>Net perimeter, no repeated corners</x:v>
      </x:c>
      <x:c r="M1514" s="1"/>
      <x:c r="N1514" s="1"/>
      <x:c r="O1514" s="1"/>
      <x:c r="P1514" s="1"/>
      <x:c r="Q1514" s="1"/>
    </x:row>
    <x:row r="1515" ht="22" customHeight="1">
      <x:c r="A1515" s="1" t="str">
        <x:v>M1508</x:v>
      </x:c>
      <x:c r="B1515" s="1" t="str">
        <x:v>AR01</x:v>
      </x:c>
      <x:c r="C1515" s="1" t="str">
        <x:v>T5</x:v>
      </x:c>
      <x:c r="D1515" s="1" t="str">
        <x:v>L12</x:v>
      </x:c>
      <x:c r="E1515" s="1" t="str">
        <x:v>Partition walls gross</x:v>
      </x:c>
      <x:c r="F1515" s="35" t="n">
        <x:v>1</x:v>
      </x:c>
      <x:c r="G1515" s="35" t="n">
        <x:f>'Controls'!$B$45</x:f>
        <x:v>220</x:v>
      </x:c>
      <x:c r="H1515" s="35" t="n">
        <x:f>'Controls'!$B$12-'Controls'!$B$13</x:f>
        <x:v>2.98</x:v>
      </x:c>
      <x:c r="I1515" s="35" t="n">
        <x:f>'Controls'!$B$46</x:f>
        <x:v>0.15</x:v>
      </x:c>
      <x:c r="J1515" s="35" t="n">
        <x:v>1</x:v>
      </x:c>
      <x:c r="K1515" s="35" t="n">
        <x:f>F1515*G1515*H1515*I1515*J1515</x:f>
        <x:v>98.34</x:v>
      </x:c>
      <x:c r="L1515" s="1" t="str">
        <x:v>Net openings deducted below</x:v>
      </x:c>
      <x:c r="M1515" s="1"/>
      <x:c r="N1515" s="1"/>
      <x:c r="O1515" s="1"/>
      <x:c r="P1515" s="1"/>
      <x:c r="Q1515" s="1"/>
    </x:row>
    <x:row r="1516" ht="22" customHeight="1">
      <x:c r="A1516" s="36" t="str">
        <x:v>M1509</x:v>
      </x:c>
      <x:c r="B1516" s="36" t="str">
        <x:v>AR01</x:v>
      </x:c>
      <x:c r="C1516" s="36" t="str">
        <x:v>T5</x:v>
      </x:c>
      <x:c r="D1516" s="36" t="str">
        <x:v>L12</x:v>
      </x:c>
      <x:c r="E1516" s="36" t="str">
        <x:v>Internal doors deduction</x:v>
      </x:c>
      <x:c r="F1516" s="37" t="n">
        <x:f>'Controls'!$B$48</x:f>
        <x:v>28</x:v>
      </x:c>
      <x:c r="G1516" s="37" t="n">
        <x:f>'Controls'!$B$49</x:f>
        <x:v>0.9</x:v>
      </x:c>
      <x:c r="H1516" s="37" t="n">
        <x:f>'Controls'!$B$50</x:f>
        <x:v>2.1</x:v>
      </x:c>
      <x:c r="I1516" s="37" t="n">
        <x:f>'Controls'!$B$46</x:f>
        <x:v>0.15</x:v>
      </x:c>
      <x:c r="J1516" s="37" t="n">
        <x:v>-1</x:v>
      </x:c>
      <x:c r="K1516" s="37" t="n">
        <x:f>F1516*G1516*H1516*I1516*J1516</x:f>
        <x:v>-7.938</x:v>
      </x:c>
      <x:c r="L1516" s="36" t="str">
        <x:v>28 doors per floor, OP-02</x:v>
      </x:c>
      <x:c r="M1516" s="1"/>
      <x:c r="N1516" s="1"/>
      <x:c r="O1516" s="1"/>
      <x:c r="P1516" s="1"/>
      <x:c r="Q1516" s="1"/>
    </x:row>
    <x:row r="1517" ht="22" customHeight="1">
      <x:c r="A1517" s="1" t="str">
        <x:v>M1510</x:v>
      </x:c>
      <x:c r="B1517" s="1" t="str">
        <x:v>AR02</x:v>
      </x:c>
      <x:c r="C1517" s="1" t="str">
        <x:v>T5</x:v>
      </x:c>
      <x:c r="D1517" s="1" t="str">
        <x:v>L12</x:v>
      </x:c>
      <x:c r="E1517" s="1" t="str">
        <x:v>Internal plaster gross</x:v>
      </x:c>
      <x:c r="F1517" s="35" t="n">
        <x:v>2</x:v>
      </x:c>
      <x:c r="G1517" s="35" t="n">
        <x:f>'Controls'!$B$45</x:f>
        <x:v>220</x:v>
      </x:c>
      <x:c r="H1517" s="35" t="n">
        <x:f>'Controls'!$B$12-'Controls'!$B$13</x:f>
        <x:v>2.98</x:v>
      </x:c>
      <x:c r="I1517" s="35" t="n">
        <x:v>1</x:v>
      </x:c>
      <x:c r="J1517" s="35" t="n">
        <x:v>1</x:v>
      </x:c>
      <x:c r="K1517" s="35" t="n">
        <x:f>F1517*G1517*H1517*I1517*J1517</x:f>
        <x:v>1311.2</x:v>
      </x:c>
      <x:c r="L1517" s="1" t="str">
        <x:v>Both faces of partition walls</x:v>
      </x:c>
      <x:c r="M1517" s="1"/>
      <x:c r="N1517" s="1"/>
      <x:c r="O1517" s="1"/>
      <x:c r="P1517" s="1"/>
      <x:c r="Q1517" s="1"/>
    </x:row>
    <x:row r="1518" ht="22" customHeight="1">
      <x:c r="A1518" s="36" t="str">
        <x:v>M1511</x:v>
      </x:c>
      <x:c r="B1518" s="36" t="str">
        <x:v>AR02</x:v>
      </x:c>
      <x:c r="C1518" s="36" t="str">
        <x:v>T5</x:v>
      </x:c>
      <x:c r="D1518" s="36" t="str">
        <x:v>L12</x:v>
      </x:c>
      <x:c r="E1518" s="36" t="str">
        <x:v>Door area deduction both faces</x:v>
      </x:c>
      <x:c r="F1518" s="37" t="n">
        <x:f>2*'Controls'!$B$48</x:f>
        <x:v>56</x:v>
      </x:c>
      <x:c r="G1518" s="37" t="n">
        <x:f>'Controls'!$B$49</x:f>
        <x:v>0.9</x:v>
      </x:c>
      <x:c r="H1518" s="37" t="n">
        <x:f>'Controls'!$B$50</x:f>
        <x:v>2.1</x:v>
      </x:c>
      <x:c r="I1518" s="37" t="n">
        <x:v>1</x:v>
      </x:c>
      <x:c r="J1518" s="37" t="n">
        <x:v>-1</x:v>
      </x:c>
      <x:c r="K1518" s="37" t="n">
        <x:f>F1518*G1518*H1518*I1518*J1518</x:f>
        <x:v>-105.84</x:v>
      </x:c>
      <x:c r="L1518" s="36" t="str">
        <x:v>No plaster over openings</x:v>
      </x:c>
      <x:c r="M1518" s="1"/>
      <x:c r="N1518" s="1"/>
      <x:c r="O1518" s="1"/>
      <x:c r="P1518" s="1"/>
      <x:c r="Q1518" s="1"/>
    </x:row>
    <x:row r="1519" ht="22" customHeight="1">
      <x:c r="A1519" s="1" t="str">
        <x:v>M1512</x:v>
      </x:c>
      <x:c r="B1519" s="1" t="str">
        <x:v>AR03</x:v>
      </x:c>
      <x:c r="C1519" s="1" t="str">
        <x:v>T5</x:v>
      </x:c>
      <x:c r="D1519" s="1" t="str">
        <x:v>L12</x:v>
      </x:c>
      <x:c r="E1519" s="1" t="str">
        <x:v>Floor screed net</x:v>
      </x:c>
      <x:c r="F1519" s="35" t="n">
        <x:v>1</x:v>
      </x:c>
      <x:c r="G1519" s="35" t="n">
        <x:f>'Controls'!$B$10*'Controls'!$B$11-'Controls'!$B$20*'Controls'!$B$21</x:f>
        <x:v>696</x:v>
      </x:c>
      <x:c r="H1519" s="35" t="n">
        <x:v>1</x:v>
      </x:c>
      <x:c r="I1519" s="35" t="n">
        <x:v>1</x:v>
      </x:c>
      <x:c r="J1519" s="35" t="n">
        <x:v>1</x:v>
      </x:c>
      <x:c r="K1519" s="35" t="n">
        <x:f>F1519*G1519*H1519*I1519*J1519</x:f>
        <x:v>696</x:v>
      </x:c>
      <x:c r="L1519" s="1" t="str">
        <x:v>Net structural floor area</x:v>
      </x:c>
      <x:c r="M1519" s="1"/>
      <x:c r="N1519" s="1"/>
      <x:c r="O1519" s="1"/>
      <x:c r="P1519" s="1"/>
      <x:c r="Q1519" s="1"/>
    </x:row>
    <x:row r="1520" ht="22" customHeight="1">
      <x:c r="A1520" s="36" t="str">
        <x:v>M1513</x:v>
      </x:c>
      <x:c r="B1520" s="36" t="str">
        <x:v>AR04</x:v>
      </x:c>
      <x:c r="C1520" s="36" t="str">
        <x:v>T5</x:v>
      </x:c>
      <x:c r="D1520" s="36" t="str">
        <x:v>L12</x:v>
      </x:c>
      <x:c r="E1520" s="36" t="str">
        <x:v>Floor finish net</x:v>
      </x:c>
      <x:c r="F1520" s="37" t="n">
        <x:v>1</x:v>
      </x:c>
      <x:c r="G1520" s="37" t="n">
        <x:f>'Controls'!$B$10*'Controls'!$B$11-'Controls'!$B$20*'Controls'!$B$21</x:f>
        <x:v>696</x:v>
      </x:c>
      <x:c r="H1520" s="37" t="n">
        <x:v>1</x:v>
      </x:c>
      <x:c r="I1520" s="37" t="n">
        <x:v>1</x:v>
      </x:c>
      <x:c r="J1520" s="37" t="n">
        <x:v>1</x:v>
      </x:c>
      <x:c r="K1520" s="37" t="n">
        <x:f>F1520*G1520*H1520*I1520*J1520</x:f>
        <x:v>696</x:v>
      </x:c>
      <x:c r="L1520" s="36" t="str">
        <x:v>Waste excluded from BOQ</x:v>
      </x:c>
      <x:c r="M1520" s="1"/>
      <x:c r="N1520" s="1"/>
      <x:c r="O1520" s="1"/>
      <x:c r="P1520" s="1"/>
      <x:c r="Q1520" s="1"/>
    </x:row>
    <x:row r="1521" ht="22" customHeight="1">
      <x:c r="A1521" s="1" t="str">
        <x:v>M1514</x:v>
      </x:c>
      <x:c r="B1521" s="1" t="str">
        <x:v>AR05</x:v>
      </x:c>
      <x:c r="C1521" s="1" t="str">
        <x:v>T5</x:v>
      </x:c>
      <x:c r="D1521" s="1" t="str">
        <x:v>L12</x:v>
      </x:c>
      <x:c r="E1521" s="1" t="str">
        <x:v>Internal wall paint net</x:v>
      </x:c>
      <x:c r="F1521" s="35" t="n">
        <x:v>2</x:v>
      </x:c>
      <x:c r="G1521" s="35" t="n">
        <x:f>'Controls'!$B$45*('Controls'!$B$12-'Controls'!$B$13)-'Controls'!$B$48*'Controls'!$B$49*'Controls'!$B$50</x:f>
        <x:v>602.6800000000001</x:v>
      </x:c>
      <x:c r="H1521" s="35" t="n">
        <x:v>1</x:v>
      </x:c>
      <x:c r="I1521" s="35" t="n">
        <x:v>1</x:v>
      </x:c>
      <x:c r="J1521" s="35" t="n">
        <x:v>1</x:v>
      </x:c>
      <x:c r="K1521" s="35" t="n">
        <x:f>F1521*G1521*H1521*I1521*J1521</x:f>
        <x:v>1205.3600000000001</x:v>
      </x:c>
      <x:c r="L1521" s="1" t="str">
        <x:v>Finished area; two coats priced in rate</x:v>
      </x:c>
      <x:c r="M1521" s="1"/>
      <x:c r="N1521" s="1"/>
      <x:c r="O1521" s="1"/>
      <x:c r="P1521" s="1"/>
      <x:c r="Q1521" s="1"/>
    </x:row>
    <x:row r="1522" ht="22" customHeight="1">
      <x:c r="A1522" s="36" t="str">
        <x:v>M1515</x:v>
      </x:c>
      <x:c r="B1522" s="36" t="str">
        <x:v>AR06</x:v>
      </x:c>
      <x:c r="C1522" s="36" t="str">
        <x:v>T5</x:v>
      </x:c>
      <x:c r="D1522" s="36" t="str">
        <x:v>L12</x:v>
      </x:c>
      <x:c r="E1522" s="36" t="str">
        <x:v>Door sets</x:v>
      </x:c>
      <x:c r="F1522" s="37" t="n">
        <x:f>'Controls'!$B$48</x:f>
        <x:v>28</x:v>
      </x:c>
      <x:c r="G1522" s="37" t="n">
        <x:v>1</x:v>
      </x:c>
      <x:c r="H1522" s="37" t="n">
        <x:v>1</x:v>
      </x:c>
      <x:c r="I1522" s="37" t="n">
        <x:v>1</x:v>
      </x:c>
      <x:c r="J1522" s="37" t="n">
        <x:v>1</x:v>
      </x:c>
      <x:c r="K1522" s="37" t="n">
        <x:f>F1522*G1522*H1522*I1522*J1522</x:f>
        <x:v>28</x:v>
      </x:c>
      <x:c r="L1522" s="36" t="str">
        <x:v>Door count, not double face</x:v>
      </x:c>
      <x:c r="M1522" s="1"/>
      <x:c r="N1522" s="1"/>
      <x:c r="O1522" s="1"/>
      <x:c r="P1522" s="1"/>
      <x:c r="Q1522" s="1"/>
    </x:row>
    <x:row r="1523" ht="22" customHeight="1">
      <x:c r="A1523" s="1" t="str">
        <x:v>M1516</x:v>
      </x:c>
      <x:c r="B1523" s="1" t="str">
        <x:v>RC03</x:v>
      </x:c>
      <x:c r="C1523" s="1" t="str">
        <x:v>T6</x:v>
      </x:c>
      <x:c r="D1523" s="1" t="str">
        <x:v>L00</x:v>
      </x:c>
      <x:c r="E1523" s="1" t="str">
        <x:v>Floor slab gross</x:v>
      </x:c>
      <x:c r="F1523" s="35" t="n">
        <x:v>1</x:v>
      </x:c>
      <x:c r="G1523" s="35" t="n">
        <x:f>'Controls'!$B$10</x:f>
        <x:v>30</x:v>
      </x:c>
      <x:c r="H1523" s="35" t="n">
        <x:f>'Controls'!$B$11</x:f>
        <x:v>24</x:v>
      </x:c>
      <x:c r="I1523" s="35" t="n">
        <x:f>'Controls'!$B$13</x:f>
        <x:v>0.22</x:v>
      </x:c>
      <x:c r="J1523" s="35" t="n">
        <x:v>1</x:v>
      </x:c>
      <x:c r="K1523" s="35" t="n">
        <x:f>F1523*G1523*H1523*I1523*J1523</x:f>
        <x:v>158.4</x:v>
      </x:c>
      <x:c r="L1523" s="1" t="str">
        <x:v>Slab includes beam top flange; downstand separate</x:v>
      </x:c>
      <x:c r="M1523" s="1"/>
      <x:c r="N1523" s="1"/>
      <x:c r="O1523" s="1"/>
      <x:c r="P1523" s="1"/>
      <x:c r="Q1523" s="1"/>
    </x:row>
    <x:row r="1524" ht="22" customHeight="1">
      <x:c r="A1524" s="36" t="str">
        <x:v>M1517</x:v>
      </x:c>
      <x:c r="B1524" s="36" t="str">
        <x:v>RC03</x:v>
      </x:c>
      <x:c r="C1524" s="36" t="str">
        <x:v>T6</x:v>
      </x:c>
      <x:c r="D1524" s="36" t="str">
        <x:v>L00</x:v>
      </x:c>
      <x:c r="E1524" s="36" t="str">
        <x:v>Stair opening deduction</x:v>
      </x:c>
      <x:c r="F1524" s="37" t="n">
        <x:v>1</x:v>
      </x:c>
      <x:c r="G1524" s="37" t="n">
        <x:f>'Controls'!$B$20</x:f>
        <x:v>4</x:v>
      </x:c>
      <x:c r="H1524" s="37" t="n">
        <x:f>'Controls'!$B$21</x:f>
        <x:v>6</x:v>
      </x:c>
      <x:c r="I1524" s="37" t="n">
        <x:f>'Controls'!$B$13</x:f>
        <x:v>0.22</x:v>
      </x:c>
      <x:c r="J1524" s="37" t="n">
        <x:v>-1</x:v>
      </x:c>
      <x:c r="K1524" s="37" t="n">
        <x:f>F1524*G1524*H1524*I1524*J1524</x:f>
        <x:v>-5.28</x:v>
      </x:c>
      <x:c r="L1524" s="36" t="str">
        <x:v>Opening OP-01</x:v>
      </x:c>
      <x:c r="M1524" s="1"/>
      <x:c r="N1524" s="1"/>
      <x:c r="O1524" s="1"/>
      <x:c r="P1524" s="1"/>
      <x:c r="Q1524" s="1"/>
    </x:row>
    <x:row r="1525" ht="22" customHeight="1">
      <x:c r="A1525" s="1" t="str">
        <x:v>M1518</x:v>
      </x:c>
      <x:c r="B1525" s="1" t="str">
        <x:v>RC04</x:v>
      </x:c>
      <x:c r="C1525" s="1" t="str">
        <x:v>T6</x:v>
      </x:c>
      <x:c r="D1525" s="1" t="str">
        <x:v>L00</x:v>
      </x:c>
      <x:c r="E1525" s="1" t="str">
        <x:v>Beam downstands X</x:v>
      </x:c>
      <x:c r="F1525" s="35" t="n">
        <x:v>1</x:v>
      </x:c>
      <x:c r="G1525" s="35" t="n">
        <x:f>5*5*('Controls'!$B$10/5-'Controls'!$B$14)</x:f>
        <x:v>137.5</x:v>
      </x:c>
      <x:c r="H1525" s="35" t="n">
        <x:f>'Controls'!$B$16</x:f>
        <x:v>0.3</x:v>
      </x:c>
      <x:c r="I1525" s="35" t="n">
        <x:f>'Controls'!$B$17-'Controls'!$B$13</x:f>
        <x:v>0.38</x:v>
      </x:c>
      <x:c r="J1525" s="35" t="n">
        <x:v>1</x:v>
      </x:c>
      <x:c r="K1525" s="35" t="n">
        <x:f>F1525*G1525*H1525*I1525*J1525</x:f>
        <x:v>15.675</x:v>
      </x:c>
      <x:c r="L1525" s="1" t="str">
        <x:v>Clear spans between column faces; no joint overlap</x:v>
      </x:c>
      <x:c r="M1525" s="1"/>
      <x:c r="N1525" s="1"/>
      <x:c r="O1525" s="1"/>
      <x:c r="P1525" s="1"/>
      <x:c r="Q1525" s="1"/>
    </x:row>
    <x:row r="1526" ht="22" customHeight="1">
      <x:c r="A1526" s="36" t="str">
        <x:v>M1519</x:v>
      </x:c>
      <x:c r="B1526" s="36" t="str">
        <x:v>FW02</x:v>
      </x:c>
      <x:c r="C1526" s="36" t="str">
        <x:v>T6</x:v>
      </x:c>
      <x:c r="D1526" s="36" t="str">
        <x:v>L00</x:v>
      </x:c>
      <x:c r="E1526" s="36" t="str">
        <x:v>Beam forms X</x:v>
      </x:c>
      <x:c r="F1526" s="37" t="n">
        <x:v>1</x:v>
      </x:c>
      <x:c r="G1526" s="37" t="n">
        <x:f>5*5*('Controls'!$B$10/5-'Controls'!$B$14)</x:f>
        <x:v>137.5</x:v>
      </x:c>
      <x:c r="H1526" s="37" t="n">
        <x:f>'Controls'!$B$16+2*('Controls'!$B$17-'Controls'!$B$13)</x:f>
        <x:v>1.06</x:v>
      </x:c>
      <x:c r="I1526" s="37" t="n">
        <x:v>1</x:v>
      </x:c>
      <x:c r="J1526" s="37" t="n">
        <x:v>1</x:v>
      </x:c>
      <x:c r="K1526" s="37" t="n">
        <x:f>F1526*G1526*H1526*I1526*J1526</x:f>
        <x:v>145.75</x:v>
      </x:c>
      <x:c r="L1526" s="36" t="str">
        <x:v>Soffit plus two downstand sides</x:v>
      </x:c>
      <x:c r="M1526" s="1"/>
      <x:c r="N1526" s="1"/>
      <x:c r="O1526" s="1"/>
      <x:c r="P1526" s="1"/>
      <x:c r="Q1526" s="1"/>
    </x:row>
    <x:row r="1527" ht="22" customHeight="1">
      <x:c r="A1527" s="1" t="str">
        <x:v>M1520</x:v>
      </x:c>
      <x:c r="B1527" s="1" t="str">
        <x:v>RC04</x:v>
      </x:c>
      <x:c r="C1527" s="1" t="str">
        <x:v>T6</x:v>
      </x:c>
      <x:c r="D1527" s="1" t="str">
        <x:v>L00</x:v>
      </x:c>
      <x:c r="E1527" s="1" t="str">
        <x:v>Beam downstands Y</x:v>
      </x:c>
      <x:c r="F1527" s="35" t="n">
        <x:v>1</x:v>
      </x:c>
      <x:c r="G1527" s="35" t="n">
        <x:f>6*4*('Controls'!$B$11/4-'Controls'!$B$15)</x:f>
        <x:v>132</x:v>
      </x:c>
      <x:c r="H1527" s="35" t="n">
        <x:f>'Controls'!$B$16</x:f>
        <x:v>0.3</x:v>
      </x:c>
      <x:c r="I1527" s="35" t="n">
        <x:f>'Controls'!$B$17-'Controls'!$B$13</x:f>
        <x:v>0.38</x:v>
      </x:c>
      <x:c r="J1527" s="35" t="n">
        <x:v>1</x:v>
      </x:c>
      <x:c r="K1527" s="35" t="n">
        <x:f>F1527*G1527*H1527*I1527*J1527</x:f>
        <x:v>15.048</x:v>
      </x:c>
      <x:c r="L1527" s="1" t="str">
        <x:v>Clear spans between column faces; no joint overlap</x:v>
      </x:c>
      <x:c r="M1527" s="1"/>
      <x:c r="N1527" s="1"/>
      <x:c r="O1527" s="1"/>
      <x:c r="P1527" s="1"/>
      <x:c r="Q1527" s="1"/>
    </x:row>
    <x:row r="1528" ht="22" customHeight="1">
      <x:c r="A1528" s="36" t="str">
        <x:v>M1521</x:v>
      </x:c>
      <x:c r="B1528" s="36" t="str">
        <x:v>FW02</x:v>
      </x:c>
      <x:c r="C1528" s="36" t="str">
        <x:v>T6</x:v>
      </x:c>
      <x:c r="D1528" s="36" t="str">
        <x:v>L00</x:v>
      </x:c>
      <x:c r="E1528" s="36" t="str">
        <x:v>Beam forms Y</x:v>
      </x:c>
      <x:c r="F1528" s="37" t="n">
        <x:v>1</x:v>
      </x:c>
      <x:c r="G1528" s="37" t="n">
        <x:f>6*4*('Controls'!$B$11/4-'Controls'!$B$15)</x:f>
        <x:v>132</x:v>
      </x:c>
      <x:c r="H1528" s="37" t="n">
        <x:f>'Controls'!$B$16+2*('Controls'!$B$17-'Controls'!$B$13)</x:f>
        <x:v>1.06</x:v>
      </x:c>
      <x:c r="I1528" s="37" t="n">
        <x:v>1</x:v>
      </x:c>
      <x:c r="J1528" s="37" t="n">
        <x:v>1</x:v>
      </x:c>
      <x:c r="K1528" s="37" t="n">
        <x:f>F1528*G1528*H1528*I1528*J1528</x:f>
        <x:v>139.92000000000002</x:v>
      </x:c>
      <x:c r="L1528" s="36" t="str">
        <x:v>Soffit plus two downstand sides</x:v>
      </x:c>
      <x:c r="M1528" s="1"/>
      <x:c r="N1528" s="1"/>
      <x:c r="O1528" s="1"/>
      <x:c r="P1528" s="1"/>
      <x:c r="Q1528" s="1"/>
    </x:row>
    <x:row r="1529" ht="22" customHeight="1">
      <x:c r="A1529" s="1" t="str">
        <x:v>M1522</x:v>
      </x:c>
      <x:c r="B1529" s="1" t="str">
        <x:v>RC05</x:v>
      </x:c>
      <x:c r="C1529" s="1" t="str">
        <x:v>T6</x:v>
      </x:c>
      <x:c r="D1529" s="1" t="str">
        <x:v>L00</x:v>
      </x:c>
      <x:c r="E1529" s="1" t="str">
        <x:v>Thirty columns, clear storey</x:v>
      </x:c>
      <x:c r="F1529" s="35" t="n">
        <x:v>30</x:v>
      </x:c>
      <x:c r="G1529" s="35" t="n">
        <x:f>'Controls'!$B$14</x:f>
        <x:v>0.5</x:v>
      </x:c>
      <x:c r="H1529" s="35" t="n">
        <x:f>'Controls'!$B$15</x:f>
        <x:v>0.5</x:v>
      </x:c>
      <x:c r="I1529" s="35" t="n">
        <x:f>'Controls'!$B$12-'Controls'!$B$13</x:f>
        <x:v>2.98</x:v>
      </x:c>
      <x:c r="J1529" s="35" t="n">
        <x:v>1</x:v>
      </x:c>
      <x:c r="K1529" s="35" t="n">
        <x:f>F1529*G1529*H1529*I1529*J1529</x:f>
        <x:v>22.35</x:v>
      </x:c>
      <x:c r="L1529" s="1" t="str">
        <x:v>Slab volume excluded from columns</x:v>
      </x:c>
      <x:c r="M1529" s="1"/>
      <x:c r="N1529" s="1"/>
      <x:c r="O1529" s="1"/>
      <x:c r="P1529" s="1"/>
      <x:c r="Q1529" s="1"/>
    </x:row>
    <x:row r="1530" ht="22" customHeight="1">
      <x:c r="A1530" s="36" t="str">
        <x:v>M1523</x:v>
      </x:c>
      <x:c r="B1530" s="36" t="str">
        <x:v>RC06</x:v>
      </x:c>
      <x:c r="C1530" s="36" t="str">
        <x:v>T6</x:v>
      </x:c>
      <x:c r="D1530" s="36" t="str">
        <x:v>L00</x:v>
      </x:c>
      <x:c r="E1530" s="36" t="str">
        <x:v>Core walls clear storey</x:v>
      </x:c>
      <x:c r="F1530" s="37" t="n">
        <x:v>1</x:v>
      </x:c>
      <x:c r="G1530" s="37" t="n">
        <x:f>'Controls'!$B$19</x:f>
        <x:v>24</x:v>
      </x:c>
      <x:c r="H1530" s="37" t="n">
        <x:f>'Controls'!$B$18</x:f>
        <x:v>0.25</x:v>
      </x:c>
      <x:c r="I1530" s="37" t="n">
        <x:f>'Controls'!$B$12-'Controls'!$B$13</x:f>
        <x:v>2.98</x:v>
      </x:c>
      <x:c r="J1530" s="37" t="n">
        <x:v>1</x:v>
      </x:c>
      <x:c r="K1530" s="37" t="n">
        <x:f>F1530*G1530*H1530*I1530*J1530</x:f>
        <x:v>17.88</x:v>
      </x:c>
      <x:c r="L1530" s="36" t="str">
        <x:v>Net clear wall length excludes corners</x:v>
      </x:c>
      <x:c r="M1530" s="1"/>
      <x:c r="N1530" s="1"/>
      <x:c r="O1530" s="1"/>
      <x:c r="P1530" s="1"/>
      <x:c r="Q1530" s="1"/>
    </x:row>
    <x:row r="1531" ht="22" customHeight="1">
      <x:c r="A1531" s="1" t="str">
        <x:v>M1524</x:v>
      </x:c>
      <x:c r="B1531" s="1" t="str">
        <x:v>RC07</x:v>
      </x:c>
      <x:c r="C1531" s="1" t="str">
        <x:v>T6</x:v>
      </x:c>
      <x:c r="D1531" s="1" t="str">
        <x:v>L00</x:v>
      </x:c>
      <x:c r="E1531" s="1" t="str">
        <x:v>Stair flights waist</x:v>
      </x:c>
      <x:c r="F1531" s="35" t="n">
        <x:v>2</x:v>
      </x:c>
      <x:c r="G1531" s="35" t="n">
        <x:v>4.1</x:v>
      </x:c>
      <x:c r="H1531" s="35" t="n">
        <x:v>1.2</x:v>
      </x:c>
      <x:c r="I1531" s="35" t="n">
        <x:v>0.18</x:v>
      </x:c>
      <x:c r="J1531" s="35" t="n">
        <x:v>1</x:v>
      </x:c>
      <x:c r="K1531" s="35" t="n">
        <x:f>F1531*G1531*H1531*I1531*J1531</x:f>
        <x:v>1.7711999999999997</x:v>
      </x:c>
      <x:c r="L1531" s="1" t="str">
        <x:v>Two flights; geometry separate from floor slab</x:v>
      </x:c>
      <x:c r="M1531" s="1"/>
      <x:c r="N1531" s="1"/>
      <x:c r="O1531" s="1"/>
      <x:c r="P1531" s="1"/>
      <x:c r="Q1531" s="1"/>
    </x:row>
    <x:row r="1532" ht="22" customHeight="1">
      <x:c r="A1532" s="36" t="str">
        <x:v>M1525</x:v>
      </x:c>
      <x:c r="B1532" s="36" t="str">
        <x:v>RC07</x:v>
      </x:c>
      <x:c r="C1532" s="36" t="str">
        <x:v>T6</x:v>
      </x:c>
      <x:c r="D1532" s="36" t="str">
        <x:v>L00</x:v>
      </x:c>
      <x:c r="E1532" s="36" t="str">
        <x:v>Stair landings</x:v>
      </x:c>
      <x:c r="F1532" s="37" t="n">
        <x:v>2</x:v>
      </x:c>
      <x:c r="G1532" s="37" t="n">
        <x:v>2</x:v>
      </x:c>
      <x:c r="H1532" s="37" t="n">
        <x:v>1.2</x:v>
      </x:c>
      <x:c r="I1532" s="37" t="n">
        <x:v>0.18</x:v>
      </x:c>
      <x:c r="J1532" s="37" t="n">
        <x:v>1</x:v>
      </x:c>
      <x:c r="K1532" s="37" t="n">
        <x:f>F1532*G1532*H1532*I1532*J1532</x:f>
        <x:v>0.864</x:v>
      </x:c>
      <x:c r="L1532" s="36" t="str">
        <x:v>Within stair opening</x:v>
      </x:c>
      <x:c r="M1532" s="1"/>
      <x:c r="N1532" s="1"/>
      <x:c r="O1532" s="1"/>
      <x:c r="P1532" s="1"/>
      <x:c r="Q1532" s="1"/>
    </x:row>
    <x:row r="1533" ht="22" customHeight="1">
      <x:c r="A1533" s="1" t="str">
        <x:v>M1526</x:v>
      </x:c>
      <x:c r="B1533" s="1" t="str">
        <x:v>FW01</x:v>
      </x:c>
      <x:c r="C1533" s="1" t="str">
        <x:v>T6</x:v>
      </x:c>
      <x:c r="D1533" s="1" t="str">
        <x:v>L00</x:v>
      </x:c>
      <x:c r="E1533" s="1" t="str">
        <x:v>Slab soffit gross</x:v>
      </x:c>
      <x:c r="F1533" s="35" t="n">
        <x:v>1</x:v>
      </x:c>
      <x:c r="G1533" s="35" t="n">
        <x:f>'Controls'!$B$10</x:f>
        <x:v>30</x:v>
      </x:c>
      <x:c r="H1533" s="35" t="n">
        <x:f>'Controls'!$B$11</x:f>
        <x:v>24</x:v>
      </x:c>
      <x:c r="I1533" s="35" t="n">
        <x:v>1</x:v>
      </x:c>
      <x:c r="J1533" s="35" t="n">
        <x:v>1</x:v>
      </x:c>
      <x:c r="K1533" s="35" t="n">
        <x:f>F1533*G1533*H1533*I1533*J1533</x:f>
        <x:v>720</x:v>
      </x:c>
      <x:c r="L1533" s="1" t="str">
        <x:v>Beam soffit deducted below</x:v>
      </x:c>
      <x:c r="M1533" s="1"/>
      <x:c r="N1533" s="1"/>
      <x:c r="O1533" s="1"/>
      <x:c r="P1533" s="1"/>
      <x:c r="Q1533" s="1"/>
    </x:row>
    <x:row r="1534" ht="22" customHeight="1">
      <x:c r="A1534" s="36" t="str">
        <x:v>M1527</x:v>
      </x:c>
      <x:c r="B1534" s="36" t="str">
        <x:v>FW01</x:v>
      </x:c>
      <x:c r="C1534" s="36" t="str">
        <x:v>T6</x:v>
      </x:c>
      <x:c r="D1534" s="36" t="str">
        <x:v>L00</x:v>
      </x:c>
      <x:c r="E1534" s="36" t="str">
        <x:v>Stair opening deduction</x:v>
      </x:c>
      <x:c r="F1534" s="37" t="n">
        <x:v>1</x:v>
      </x:c>
      <x:c r="G1534" s="37" t="n">
        <x:f>'Controls'!$B$20</x:f>
        <x:v>4</x:v>
      </x:c>
      <x:c r="H1534" s="37" t="n">
        <x:f>'Controls'!$B$21</x:f>
        <x:v>6</x:v>
      </x:c>
      <x:c r="I1534" s="37" t="n">
        <x:v>1</x:v>
      </x:c>
      <x:c r="J1534" s="37" t="n">
        <x:v>-1</x:v>
      </x:c>
      <x:c r="K1534" s="37" t="n">
        <x:f>F1534*G1534*H1534*I1534*J1534</x:f>
        <x:v>-24</x:v>
      </x:c>
      <x:c r="L1534" s="36" t="str">
        <x:v>OP-01</x:v>
      </x:c>
      <x:c r="M1534" s="1"/>
      <x:c r="N1534" s="1"/>
      <x:c r="O1534" s="1"/>
      <x:c r="P1534" s="1"/>
      <x:c r="Q1534" s="1"/>
    </x:row>
    <x:row r="1535" ht="22" customHeight="1">
      <x:c r="A1535" s="1" t="str">
        <x:v>M1528</x:v>
      </x:c>
      <x:c r="B1535" s="1" t="str">
        <x:v>FW01</x:v>
      </x:c>
      <x:c r="C1535" s="1" t="str">
        <x:v>T6</x:v>
      </x:c>
      <x:c r="D1535" s="1" t="str">
        <x:v>L00</x:v>
      </x:c>
      <x:c r="E1535" s="1" t="str">
        <x:v>Beam soffit deduction</x:v>
      </x:c>
      <x:c r="F1535" s="35" t="n">
        <x:v>1</x:v>
      </x:c>
      <x:c r="G1535" s="35" t="n">
        <x:f>5*5*('Controls'!$B$10/5-'Controls'!$B$14)+6*4*('Controls'!$B$11/4-'Controls'!$B$15)</x:f>
        <x:v>269.5</x:v>
      </x:c>
      <x:c r="H1535" s="35" t="n">
        <x:f>'Controls'!$B$16</x:f>
        <x:v>0.3</x:v>
      </x:c>
      <x:c r="I1535" s="35" t="n">
        <x:v>1</x:v>
      </x:c>
      <x:c r="J1535" s="35" t="n">
        <x:v>-1</x:v>
      </x:c>
      <x:c r="K1535" s="35" t="n">
        <x:f>F1535*G1535*H1535*I1535*J1535</x:f>
        <x:v>-80.85</x:v>
      </x:c>
      <x:c r="L1535" s="1" t="str">
        <x:v>Beam forms measured in FW02</x:v>
      </x:c>
      <x:c r="M1535" s="1"/>
      <x:c r="N1535" s="1"/>
      <x:c r="O1535" s="1"/>
      <x:c r="P1535" s="1"/>
      <x:c r="Q1535" s="1"/>
    </x:row>
    <x:row r="1536" ht="22" customHeight="1">
      <x:c r="A1536" s="36" t="str">
        <x:v>M1529</x:v>
      </x:c>
      <x:c r="B1536" s="36" t="str">
        <x:v>FW03</x:v>
      </x:c>
      <x:c r="C1536" s="36" t="str">
        <x:v>T6</x:v>
      </x:c>
      <x:c r="D1536" s="36" t="str">
        <x:v>L00</x:v>
      </x:c>
      <x:c r="E1536" s="36" t="str">
        <x:v>Column four faces</x:v>
      </x:c>
      <x:c r="F1536" s="37" t="n">
        <x:v>30</x:v>
      </x:c>
      <x:c r="G1536" s="37" t="n">
        <x:f>2*('Controls'!$B$14+'Controls'!$B$15)</x:f>
        <x:v>2</x:v>
      </x:c>
      <x:c r="H1536" s="37" t="n">
        <x:f>'Controls'!$B$12-'Controls'!$B$13</x:f>
        <x:v>2.98</x:v>
      </x:c>
      <x:c r="I1536" s="37" t="n">
        <x:v>1</x:v>
      </x:c>
      <x:c r="J1536" s="37" t="n">
        <x:v>1</x:v>
      </x:c>
      <x:c r="K1536" s="37" t="n">
        <x:f>F1536*G1536*H1536*I1536*J1536</x:f>
        <x:v>178.8</x:v>
      </x:c>
      <x:c r="L1536" s="36" t="str">
        <x:v>Clear floor-to-soffit</x:v>
      </x:c>
      <x:c r="M1536" s="1"/>
      <x:c r="N1536" s="1"/>
      <x:c r="O1536" s="1"/>
      <x:c r="P1536" s="1"/>
      <x:c r="Q1536" s="1"/>
    </x:row>
    <x:row r="1537" ht="22" customHeight="1">
      <x:c r="A1537" s="1" t="str">
        <x:v>M1530</x:v>
      </x:c>
      <x:c r="B1537" s="1" t="str">
        <x:v>FW04</x:v>
      </x:c>
      <x:c r="C1537" s="1" t="str">
        <x:v>T6</x:v>
      </x:c>
      <x:c r="D1537" s="1" t="str">
        <x:v>L00</x:v>
      </x:c>
      <x:c r="E1537" s="1" t="str">
        <x:v>Core wall two faces</x:v>
      </x:c>
      <x:c r="F1537" s="35" t="n">
        <x:v>2</x:v>
      </x:c>
      <x:c r="G1537" s="35" t="n">
        <x:f>'Controls'!$B$19</x:f>
        <x:v>24</x:v>
      </x:c>
      <x:c r="H1537" s="35" t="n">
        <x:f>'Controls'!$B$12-'Controls'!$B$13</x:f>
        <x:v>2.98</x:v>
      </x:c>
      <x:c r="I1537" s="35" t="n">
        <x:v>1</x:v>
      </x:c>
      <x:c r="J1537" s="35" t="n">
        <x:v>1</x:v>
      </x:c>
      <x:c r="K1537" s="35" t="n">
        <x:f>F1537*G1537*H1537*I1537*J1537</x:f>
        <x:v>143.04</x:v>
      </x:c>
      <x:c r="L1537" s="1" t="str">
        <x:v>Net perimeter, no repeated corners</x:v>
      </x:c>
      <x:c r="M1537" s="1"/>
      <x:c r="N1537" s="1"/>
      <x:c r="O1537" s="1"/>
      <x:c r="P1537" s="1"/>
      <x:c r="Q1537" s="1"/>
    </x:row>
    <x:row r="1538" ht="22" customHeight="1">
      <x:c r="A1538" s="36" t="str">
        <x:v>M1531</x:v>
      </x:c>
      <x:c r="B1538" s="36" t="str">
        <x:v>AR01</x:v>
      </x:c>
      <x:c r="C1538" s="36" t="str">
        <x:v>T6</x:v>
      </x:c>
      <x:c r="D1538" s="36" t="str">
        <x:v>L00</x:v>
      </x:c>
      <x:c r="E1538" s="36" t="str">
        <x:v>Partition walls gross</x:v>
      </x:c>
      <x:c r="F1538" s="37" t="n">
        <x:v>1</x:v>
      </x:c>
      <x:c r="G1538" s="37" t="n">
        <x:f>'Controls'!$B$45</x:f>
        <x:v>220</x:v>
      </x:c>
      <x:c r="H1538" s="37" t="n">
        <x:f>'Controls'!$B$12-'Controls'!$B$13</x:f>
        <x:v>2.98</x:v>
      </x:c>
      <x:c r="I1538" s="37" t="n">
        <x:f>'Controls'!$B$46</x:f>
        <x:v>0.15</x:v>
      </x:c>
      <x:c r="J1538" s="37" t="n">
        <x:v>1</x:v>
      </x:c>
      <x:c r="K1538" s="37" t="n">
        <x:f>F1538*G1538*H1538*I1538*J1538</x:f>
        <x:v>98.34</x:v>
      </x:c>
      <x:c r="L1538" s="36" t="str">
        <x:v>Net openings deducted below</x:v>
      </x:c>
      <x:c r="M1538" s="1"/>
      <x:c r="N1538" s="1"/>
      <x:c r="O1538" s="1"/>
      <x:c r="P1538" s="1"/>
      <x:c r="Q1538" s="1"/>
    </x:row>
    <x:row r="1539" ht="22" customHeight="1">
      <x:c r="A1539" s="1" t="str">
        <x:v>M1532</x:v>
      </x:c>
      <x:c r="B1539" s="1" t="str">
        <x:v>AR01</x:v>
      </x:c>
      <x:c r="C1539" s="1" t="str">
        <x:v>T6</x:v>
      </x:c>
      <x:c r="D1539" s="1" t="str">
        <x:v>L00</x:v>
      </x:c>
      <x:c r="E1539" s="1" t="str">
        <x:v>Internal doors deduction</x:v>
      </x:c>
      <x:c r="F1539" s="35" t="n">
        <x:f>'Controls'!$B$48</x:f>
        <x:v>28</x:v>
      </x:c>
      <x:c r="G1539" s="35" t="n">
        <x:f>'Controls'!$B$49</x:f>
        <x:v>0.9</x:v>
      </x:c>
      <x:c r="H1539" s="35" t="n">
        <x:f>'Controls'!$B$50</x:f>
        <x:v>2.1</x:v>
      </x:c>
      <x:c r="I1539" s="35" t="n">
        <x:f>'Controls'!$B$46</x:f>
        <x:v>0.15</x:v>
      </x:c>
      <x:c r="J1539" s="35" t="n">
        <x:v>-1</x:v>
      </x:c>
      <x:c r="K1539" s="35" t="n">
        <x:f>F1539*G1539*H1539*I1539*J1539</x:f>
        <x:v>-7.938</x:v>
      </x:c>
      <x:c r="L1539" s="1" t="str">
        <x:v>28 doors per floor, OP-02</x:v>
      </x:c>
      <x:c r="M1539" s="1"/>
      <x:c r="N1539" s="1"/>
      <x:c r="O1539" s="1"/>
      <x:c r="P1539" s="1"/>
      <x:c r="Q1539" s="1"/>
    </x:row>
    <x:row r="1540" ht="22" customHeight="1">
      <x:c r="A1540" s="36" t="str">
        <x:v>M1533</x:v>
      </x:c>
      <x:c r="B1540" s="36" t="str">
        <x:v>AR02</x:v>
      </x:c>
      <x:c r="C1540" s="36" t="str">
        <x:v>T6</x:v>
      </x:c>
      <x:c r="D1540" s="36" t="str">
        <x:v>L00</x:v>
      </x:c>
      <x:c r="E1540" s="36" t="str">
        <x:v>Internal plaster gross</x:v>
      </x:c>
      <x:c r="F1540" s="37" t="n">
        <x:v>2</x:v>
      </x:c>
      <x:c r="G1540" s="37" t="n">
        <x:f>'Controls'!$B$45</x:f>
        <x:v>220</x:v>
      </x:c>
      <x:c r="H1540" s="37" t="n">
        <x:f>'Controls'!$B$12-'Controls'!$B$13</x:f>
        <x:v>2.98</x:v>
      </x:c>
      <x:c r="I1540" s="37" t="n">
        <x:v>1</x:v>
      </x:c>
      <x:c r="J1540" s="37" t="n">
        <x:v>1</x:v>
      </x:c>
      <x:c r="K1540" s="37" t="n">
        <x:f>F1540*G1540*H1540*I1540*J1540</x:f>
        <x:v>1311.2</x:v>
      </x:c>
      <x:c r="L1540" s="36" t="str">
        <x:v>Both faces of partition walls</x:v>
      </x:c>
      <x:c r="M1540" s="1"/>
      <x:c r="N1540" s="1"/>
      <x:c r="O1540" s="1"/>
      <x:c r="P1540" s="1"/>
      <x:c r="Q1540" s="1"/>
    </x:row>
    <x:row r="1541" ht="22" customHeight="1">
      <x:c r="A1541" s="1" t="str">
        <x:v>M1534</x:v>
      </x:c>
      <x:c r="B1541" s="1" t="str">
        <x:v>AR02</x:v>
      </x:c>
      <x:c r="C1541" s="1" t="str">
        <x:v>T6</x:v>
      </x:c>
      <x:c r="D1541" s="1" t="str">
        <x:v>L00</x:v>
      </x:c>
      <x:c r="E1541" s="1" t="str">
        <x:v>Door area deduction both faces</x:v>
      </x:c>
      <x:c r="F1541" s="35" t="n">
        <x:f>2*'Controls'!$B$48</x:f>
        <x:v>56</x:v>
      </x:c>
      <x:c r="G1541" s="35" t="n">
        <x:f>'Controls'!$B$49</x:f>
        <x:v>0.9</x:v>
      </x:c>
      <x:c r="H1541" s="35" t="n">
        <x:f>'Controls'!$B$50</x:f>
        <x:v>2.1</x:v>
      </x:c>
      <x:c r="I1541" s="35" t="n">
        <x:v>1</x:v>
      </x:c>
      <x:c r="J1541" s="35" t="n">
        <x:v>-1</x:v>
      </x:c>
      <x:c r="K1541" s="35" t="n">
        <x:f>F1541*G1541*H1541*I1541*J1541</x:f>
        <x:v>-105.84</x:v>
      </x:c>
      <x:c r="L1541" s="1" t="str">
        <x:v>No plaster over openings</x:v>
      </x:c>
      <x:c r="M1541" s="1"/>
      <x:c r="N1541" s="1"/>
      <x:c r="O1541" s="1"/>
      <x:c r="P1541" s="1"/>
      <x:c r="Q1541" s="1"/>
    </x:row>
    <x:row r="1542" ht="22" customHeight="1">
      <x:c r="A1542" s="36" t="str">
        <x:v>M1535</x:v>
      </x:c>
      <x:c r="B1542" s="36" t="str">
        <x:v>AR03</x:v>
      </x:c>
      <x:c r="C1542" s="36" t="str">
        <x:v>T6</x:v>
      </x:c>
      <x:c r="D1542" s="36" t="str">
        <x:v>L00</x:v>
      </x:c>
      <x:c r="E1542" s="36" t="str">
        <x:v>Floor screed net</x:v>
      </x:c>
      <x:c r="F1542" s="37" t="n">
        <x:v>1</x:v>
      </x:c>
      <x:c r="G1542" s="37" t="n">
        <x:f>'Controls'!$B$10*'Controls'!$B$11-'Controls'!$B$20*'Controls'!$B$21</x:f>
        <x:v>696</x:v>
      </x:c>
      <x:c r="H1542" s="37" t="n">
        <x:v>1</x:v>
      </x:c>
      <x:c r="I1542" s="37" t="n">
        <x:v>1</x:v>
      </x:c>
      <x:c r="J1542" s="37" t="n">
        <x:v>1</x:v>
      </x:c>
      <x:c r="K1542" s="37" t="n">
        <x:f>F1542*G1542*H1542*I1542*J1542</x:f>
        <x:v>696</x:v>
      </x:c>
      <x:c r="L1542" s="36" t="str">
        <x:v>Net structural floor area</x:v>
      </x:c>
      <x:c r="M1542" s="1"/>
      <x:c r="N1542" s="1"/>
      <x:c r="O1542" s="1"/>
      <x:c r="P1542" s="1"/>
      <x:c r="Q1542" s="1"/>
    </x:row>
    <x:row r="1543" ht="22" customHeight="1">
      <x:c r="A1543" s="1" t="str">
        <x:v>M1536</x:v>
      </x:c>
      <x:c r="B1543" s="1" t="str">
        <x:v>AR04</x:v>
      </x:c>
      <x:c r="C1543" s="1" t="str">
        <x:v>T6</x:v>
      </x:c>
      <x:c r="D1543" s="1" t="str">
        <x:v>L00</x:v>
      </x:c>
      <x:c r="E1543" s="1" t="str">
        <x:v>Floor finish net</x:v>
      </x:c>
      <x:c r="F1543" s="35" t="n">
        <x:v>1</x:v>
      </x:c>
      <x:c r="G1543" s="35" t="n">
        <x:f>'Controls'!$B$10*'Controls'!$B$11-'Controls'!$B$20*'Controls'!$B$21</x:f>
        <x:v>696</x:v>
      </x:c>
      <x:c r="H1543" s="35" t="n">
        <x:v>1</x:v>
      </x:c>
      <x:c r="I1543" s="35" t="n">
        <x:v>1</x:v>
      </x:c>
      <x:c r="J1543" s="35" t="n">
        <x:v>1</x:v>
      </x:c>
      <x:c r="K1543" s="35" t="n">
        <x:f>F1543*G1543*H1543*I1543*J1543</x:f>
        <x:v>696</x:v>
      </x:c>
      <x:c r="L1543" s="1" t="str">
        <x:v>Waste excluded from BOQ</x:v>
      </x:c>
      <x:c r="M1543" s="1"/>
      <x:c r="N1543" s="1"/>
      <x:c r="O1543" s="1"/>
      <x:c r="P1543" s="1"/>
      <x:c r="Q1543" s="1"/>
    </x:row>
    <x:row r="1544" ht="22" customHeight="1">
      <x:c r="A1544" s="36" t="str">
        <x:v>M1537</x:v>
      </x:c>
      <x:c r="B1544" s="36" t="str">
        <x:v>AR05</x:v>
      </x:c>
      <x:c r="C1544" s="36" t="str">
        <x:v>T6</x:v>
      </x:c>
      <x:c r="D1544" s="36" t="str">
        <x:v>L00</x:v>
      </x:c>
      <x:c r="E1544" s="36" t="str">
        <x:v>Internal wall paint net</x:v>
      </x:c>
      <x:c r="F1544" s="37" t="n">
        <x:v>2</x:v>
      </x:c>
      <x:c r="G1544" s="37" t="n">
        <x:f>'Controls'!$B$45*('Controls'!$B$12-'Controls'!$B$13)-'Controls'!$B$48*'Controls'!$B$49*'Controls'!$B$50</x:f>
        <x:v>602.6800000000001</x:v>
      </x:c>
      <x:c r="H1544" s="37" t="n">
        <x:v>1</x:v>
      </x:c>
      <x:c r="I1544" s="37" t="n">
        <x:v>1</x:v>
      </x:c>
      <x:c r="J1544" s="37" t="n">
        <x:v>1</x:v>
      </x:c>
      <x:c r="K1544" s="37" t="n">
        <x:f>F1544*G1544*H1544*I1544*J1544</x:f>
        <x:v>1205.3600000000001</x:v>
      </x:c>
      <x:c r="L1544" s="36" t="str">
        <x:v>Finished area; two coats priced in rate</x:v>
      </x:c>
      <x:c r="M1544" s="1"/>
      <x:c r="N1544" s="1"/>
      <x:c r="O1544" s="1"/>
      <x:c r="P1544" s="1"/>
      <x:c r="Q1544" s="1"/>
    </x:row>
    <x:row r="1545" ht="22" customHeight="1">
      <x:c r="A1545" s="1" t="str">
        <x:v>M1538</x:v>
      </x:c>
      <x:c r="B1545" s="1" t="str">
        <x:v>AR06</x:v>
      </x:c>
      <x:c r="C1545" s="1" t="str">
        <x:v>T6</x:v>
      </x:c>
      <x:c r="D1545" s="1" t="str">
        <x:v>L00</x:v>
      </x:c>
      <x:c r="E1545" s="1" t="str">
        <x:v>Door sets</x:v>
      </x:c>
      <x:c r="F1545" s="35" t="n">
        <x:f>'Controls'!$B$48</x:f>
        <x:v>28</x:v>
      </x:c>
      <x:c r="G1545" s="35" t="n">
        <x:v>1</x:v>
      </x:c>
      <x:c r="H1545" s="35" t="n">
        <x:v>1</x:v>
      </x:c>
      <x:c r="I1545" s="35" t="n">
        <x:v>1</x:v>
      </x:c>
      <x:c r="J1545" s="35" t="n">
        <x:v>1</x:v>
      </x:c>
      <x:c r="K1545" s="35" t="n">
        <x:f>F1545*G1545*H1545*I1545*J1545</x:f>
        <x:v>28</x:v>
      </x:c>
      <x:c r="L1545" s="1" t="str">
        <x:v>Door count, not double face</x:v>
      </x:c>
      <x:c r="M1545" s="1"/>
      <x:c r="N1545" s="1"/>
      <x:c r="O1545" s="1"/>
      <x:c r="P1545" s="1"/>
      <x:c r="Q1545" s="1"/>
    </x:row>
    <x:row r="1546" ht="22" customHeight="1">
      <x:c r="A1546" s="36" t="str">
        <x:v>M1539</x:v>
      </x:c>
      <x:c r="B1546" s="36" t="str">
        <x:v>RC03</x:v>
      </x:c>
      <x:c r="C1546" s="36" t="str">
        <x:v>T6</x:v>
      </x:c>
      <x:c r="D1546" s="36" t="str">
        <x:v>L01</x:v>
      </x:c>
      <x:c r="E1546" s="36" t="str">
        <x:v>Floor slab gross</x:v>
      </x:c>
      <x:c r="F1546" s="37" t="n">
        <x:v>1</x:v>
      </x:c>
      <x:c r="G1546" s="37" t="n">
        <x:f>'Controls'!$B$10</x:f>
        <x:v>30</x:v>
      </x:c>
      <x:c r="H1546" s="37" t="n">
        <x:f>'Controls'!$B$11</x:f>
        <x:v>24</x:v>
      </x:c>
      <x:c r="I1546" s="37" t="n">
        <x:f>'Controls'!$B$13</x:f>
        <x:v>0.22</x:v>
      </x:c>
      <x:c r="J1546" s="37" t="n">
        <x:v>1</x:v>
      </x:c>
      <x:c r="K1546" s="37" t="n">
        <x:f>F1546*G1546*H1546*I1546*J1546</x:f>
        <x:v>158.4</x:v>
      </x:c>
      <x:c r="L1546" s="36" t="str">
        <x:v>Slab includes beam top flange; downstand separate</x:v>
      </x:c>
      <x:c r="M1546" s="1"/>
      <x:c r="N1546" s="1"/>
      <x:c r="O1546" s="1"/>
      <x:c r="P1546" s="1"/>
      <x:c r="Q1546" s="1"/>
    </x:row>
    <x:row r="1547" ht="22" customHeight="1">
      <x:c r="A1547" s="1" t="str">
        <x:v>M1540</x:v>
      </x:c>
      <x:c r="B1547" s="1" t="str">
        <x:v>RC03</x:v>
      </x:c>
      <x:c r="C1547" s="1" t="str">
        <x:v>T6</x:v>
      </x:c>
      <x:c r="D1547" s="1" t="str">
        <x:v>L01</x:v>
      </x:c>
      <x:c r="E1547" s="1" t="str">
        <x:v>Stair opening deduction</x:v>
      </x:c>
      <x:c r="F1547" s="35" t="n">
        <x:v>1</x:v>
      </x:c>
      <x:c r="G1547" s="35" t="n">
        <x:f>'Controls'!$B$20</x:f>
        <x:v>4</x:v>
      </x:c>
      <x:c r="H1547" s="35" t="n">
        <x:f>'Controls'!$B$21</x:f>
        <x:v>6</x:v>
      </x:c>
      <x:c r="I1547" s="35" t="n">
        <x:f>'Controls'!$B$13</x:f>
        <x:v>0.22</x:v>
      </x:c>
      <x:c r="J1547" s="35" t="n">
        <x:v>-1</x:v>
      </x:c>
      <x:c r="K1547" s="35" t="n">
        <x:f>F1547*G1547*H1547*I1547*J1547</x:f>
        <x:v>-5.28</x:v>
      </x:c>
      <x:c r="L1547" s="1" t="str">
        <x:v>Opening OP-01</x:v>
      </x:c>
      <x:c r="M1547" s="1"/>
      <x:c r="N1547" s="1"/>
      <x:c r="O1547" s="1"/>
      <x:c r="P1547" s="1"/>
      <x:c r="Q1547" s="1"/>
    </x:row>
    <x:row r="1548" ht="22" customHeight="1">
      <x:c r="A1548" s="36" t="str">
        <x:v>M1541</x:v>
      </x:c>
      <x:c r="B1548" s="36" t="str">
        <x:v>RC04</x:v>
      </x:c>
      <x:c r="C1548" s="36" t="str">
        <x:v>T6</x:v>
      </x:c>
      <x:c r="D1548" s="36" t="str">
        <x:v>L01</x:v>
      </x:c>
      <x:c r="E1548" s="36" t="str">
        <x:v>Beam downstands X</x:v>
      </x:c>
      <x:c r="F1548" s="37" t="n">
        <x:v>1</x:v>
      </x:c>
      <x:c r="G1548" s="37" t="n">
        <x:f>5*5*('Controls'!$B$10/5-'Controls'!$B$14)</x:f>
        <x:v>137.5</x:v>
      </x:c>
      <x:c r="H1548" s="37" t="n">
        <x:f>'Controls'!$B$16</x:f>
        <x:v>0.3</x:v>
      </x:c>
      <x:c r="I1548" s="37" t="n">
        <x:f>'Controls'!$B$17-'Controls'!$B$13</x:f>
        <x:v>0.38</x:v>
      </x:c>
      <x:c r="J1548" s="37" t="n">
        <x:v>1</x:v>
      </x:c>
      <x:c r="K1548" s="37" t="n">
        <x:f>F1548*G1548*H1548*I1548*J1548</x:f>
        <x:v>15.675</x:v>
      </x:c>
      <x:c r="L1548" s="36" t="str">
        <x:v>Clear spans between column faces; no joint overlap</x:v>
      </x:c>
      <x:c r="M1548" s="1"/>
      <x:c r="N1548" s="1"/>
      <x:c r="O1548" s="1"/>
      <x:c r="P1548" s="1"/>
      <x:c r="Q1548" s="1"/>
    </x:row>
    <x:row r="1549" ht="22" customHeight="1">
      <x:c r="A1549" s="1" t="str">
        <x:v>M1542</x:v>
      </x:c>
      <x:c r="B1549" s="1" t="str">
        <x:v>FW02</x:v>
      </x:c>
      <x:c r="C1549" s="1" t="str">
        <x:v>T6</x:v>
      </x:c>
      <x:c r="D1549" s="1" t="str">
        <x:v>L01</x:v>
      </x:c>
      <x:c r="E1549" s="1" t="str">
        <x:v>Beam forms X</x:v>
      </x:c>
      <x:c r="F1549" s="35" t="n">
        <x:v>1</x:v>
      </x:c>
      <x:c r="G1549" s="35" t="n">
        <x:f>5*5*('Controls'!$B$10/5-'Controls'!$B$14)</x:f>
        <x:v>137.5</x:v>
      </x:c>
      <x:c r="H1549" s="35" t="n">
        <x:f>'Controls'!$B$16+2*('Controls'!$B$17-'Controls'!$B$13)</x:f>
        <x:v>1.06</x:v>
      </x:c>
      <x:c r="I1549" s="35" t="n">
        <x:v>1</x:v>
      </x:c>
      <x:c r="J1549" s="35" t="n">
        <x:v>1</x:v>
      </x:c>
      <x:c r="K1549" s="35" t="n">
        <x:f>F1549*G1549*H1549*I1549*J1549</x:f>
        <x:v>145.75</x:v>
      </x:c>
      <x:c r="L1549" s="1" t="str">
        <x:v>Soffit plus two downstand sides</x:v>
      </x:c>
      <x:c r="M1549" s="1"/>
      <x:c r="N1549" s="1"/>
      <x:c r="O1549" s="1"/>
      <x:c r="P1549" s="1"/>
      <x:c r="Q1549" s="1"/>
    </x:row>
    <x:row r="1550" ht="22" customHeight="1">
      <x:c r="A1550" s="36" t="str">
        <x:v>M1543</x:v>
      </x:c>
      <x:c r="B1550" s="36" t="str">
        <x:v>RC04</x:v>
      </x:c>
      <x:c r="C1550" s="36" t="str">
        <x:v>T6</x:v>
      </x:c>
      <x:c r="D1550" s="36" t="str">
        <x:v>L01</x:v>
      </x:c>
      <x:c r="E1550" s="36" t="str">
        <x:v>Beam downstands Y</x:v>
      </x:c>
      <x:c r="F1550" s="37" t="n">
        <x:v>1</x:v>
      </x:c>
      <x:c r="G1550" s="37" t="n">
        <x:f>6*4*('Controls'!$B$11/4-'Controls'!$B$15)</x:f>
        <x:v>132</x:v>
      </x:c>
      <x:c r="H1550" s="37" t="n">
        <x:f>'Controls'!$B$16</x:f>
        <x:v>0.3</x:v>
      </x:c>
      <x:c r="I1550" s="37" t="n">
        <x:f>'Controls'!$B$17-'Controls'!$B$13</x:f>
        <x:v>0.38</x:v>
      </x:c>
      <x:c r="J1550" s="37" t="n">
        <x:v>1</x:v>
      </x:c>
      <x:c r="K1550" s="37" t="n">
        <x:f>F1550*G1550*H1550*I1550*J1550</x:f>
        <x:v>15.048</x:v>
      </x:c>
      <x:c r="L1550" s="36" t="str">
        <x:v>Clear spans between column faces; no joint overlap</x:v>
      </x:c>
      <x:c r="M1550" s="1"/>
      <x:c r="N1550" s="1"/>
      <x:c r="O1550" s="1"/>
      <x:c r="P1550" s="1"/>
      <x:c r="Q1550" s="1"/>
    </x:row>
    <x:row r="1551" ht="22" customHeight="1">
      <x:c r="A1551" s="1" t="str">
        <x:v>M1544</x:v>
      </x:c>
      <x:c r="B1551" s="1" t="str">
        <x:v>FW02</x:v>
      </x:c>
      <x:c r="C1551" s="1" t="str">
        <x:v>T6</x:v>
      </x:c>
      <x:c r="D1551" s="1" t="str">
        <x:v>L01</x:v>
      </x:c>
      <x:c r="E1551" s="1" t="str">
        <x:v>Beam forms Y</x:v>
      </x:c>
      <x:c r="F1551" s="35" t="n">
        <x:v>1</x:v>
      </x:c>
      <x:c r="G1551" s="35" t="n">
        <x:f>6*4*('Controls'!$B$11/4-'Controls'!$B$15)</x:f>
        <x:v>132</x:v>
      </x:c>
      <x:c r="H1551" s="35" t="n">
        <x:f>'Controls'!$B$16+2*('Controls'!$B$17-'Controls'!$B$13)</x:f>
        <x:v>1.06</x:v>
      </x:c>
      <x:c r="I1551" s="35" t="n">
        <x:v>1</x:v>
      </x:c>
      <x:c r="J1551" s="35" t="n">
        <x:v>1</x:v>
      </x:c>
      <x:c r="K1551" s="35" t="n">
        <x:f>F1551*G1551*H1551*I1551*J1551</x:f>
        <x:v>139.92000000000002</x:v>
      </x:c>
      <x:c r="L1551" s="1" t="str">
        <x:v>Soffit plus two downstand sides</x:v>
      </x:c>
      <x:c r="M1551" s="1"/>
      <x:c r="N1551" s="1"/>
      <x:c r="O1551" s="1"/>
      <x:c r="P1551" s="1"/>
      <x:c r="Q1551" s="1"/>
    </x:row>
    <x:row r="1552" ht="22" customHeight="1">
      <x:c r="A1552" s="36" t="str">
        <x:v>M1545</x:v>
      </x:c>
      <x:c r="B1552" s="36" t="str">
        <x:v>RC05</x:v>
      </x:c>
      <x:c r="C1552" s="36" t="str">
        <x:v>T6</x:v>
      </x:c>
      <x:c r="D1552" s="36" t="str">
        <x:v>L01</x:v>
      </x:c>
      <x:c r="E1552" s="36" t="str">
        <x:v>Thirty columns, clear storey</x:v>
      </x:c>
      <x:c r="F1552" s="37" t="n">
        <x:v>30</x:v>
      </x:c>
      <x:c r="G1552" s="37" t="n">
        <x:f>'Controls'!$B$14</x:f>
        <x:v>0.5</x:v>
      </x:c>
      <x:c r="H1552" s="37" t="n">
        <x:f>'Controls'!$B$15</x:f>
        <x:v>0.5</x:v>
      </x:c>
      <x:c r="I1552" s="37" t="n">
        <x:f>'Controls'!$B$12-'Controls'!$B$13</x:f>
        <x:v>2.98</x:v>
      </x:c>
      <x:c r="J1552" s="37" t="n">
        <x:v>1</x:v>
      </x:c>
      <x:c r="K1552" s="37" t="n">
        <x:f>F1552*G1552*H1552*I1552*J1552</x:f>
        <x:v>22.35</x:v>
      </x:c>
      <x:c r="L1552" s="36" t="str">
        <x:v>Slab volume excluded from columns</x:v>
      </x:c>
      <x:c r="M1552" s="1"/>
      <x:c r="N1552" s="1"/>
      <x:c r="O1552" s="1"/>
      <x:c r="P1552" s="1"/>
      <x:c r="Q1552" s="1"/>
    </x:row>
    <x:row r="1553" ht="22" customHeight="1">
      <x:c r="A1553" s="1" t="str">
        <x:v>M1546</x:v>
      </x:c>
      <x:c r="B1553" s="1" t="str">
        <x:v>RC06</x:v>
      </x:c>
      <x:c r="C1553" s="1" t="str">
        <x:v>T6</x:v>
      </x:c>
      <x:c r="D1553" s="1" t="str">
        <x:v>L01</x:v>
      </x:c>
      <x:c r="E1553" s="1" t="str">
        <x:v>Core walls clear storey</x:v>
      </x:c>
      <x:c r="F1553" s="35" t="n">
        <x:v>1</x:v>
      </x:c>
      <x:c r="G1553" s="35" t="n">
        <x:f>'Controls'!$B$19</x:f>
        <x:v>24</x:v>
      </x:c>
      <x:c r="H1553" s="35" t="n">
        <x:f>'Controls'!$B$18</x:f>
        <x:v>0.25</x:v>
      </x:c>
      <x:c r="I1553" s="35" t="n">
        <x:f>'Controls'!$B$12-'Controls'!$B$13</x:f>
        <x:v>2.98</x:v>
      </x:c>
      <x:c r="J1553" s="35" t="n">
        <x:v>1</x:v>
      </x:c>
      <x:c r="K1553" s="35" t="n">
        <x:f>F1553*G1553*H1553*I1553*J1553</x:f>
        <x:v>17.88</x:v>
      </x:c>
      <x:c r="L1553" s="1" t="str">
        <x:v>Net clear wall length excludes corners</x:v>
      </x:c>
      <x:c r="M1553" s="1"/>
      <x:c r="N1553" s="1"/>
      <x:c r="O1553" s="1"/>
      <x:c r="P1553" s="1"/>
      <x:c r="Q1553" s="1"/>
    </x:row>
    <x:row r="1554" ht="22" customHeight="1">
      <x:c r="A1554" s="36" t="str">
        <x:v>M1547</x:v>
      </x:c>
      <x:c r="B1554" s="36" t="str">
        <x:v>RC07</x:v>
      </x:c>
      <x:c r="C1554" s="36" t="str">
        <x:v>T6</x:v>
      </x:c>
      <x:c r="D1554" s="36" t="str">
        <x:v>L01</x:v>
      </x:c>
      <x:c r="E1554" s="36" t="str">
        <x:v>Stair flights waist</x:v>
      </x:c>
      <x:c r="F1554" s="37" t="n">
        <x:v>2</x:v>
      </x:c>
      <x:c r="G1554" s="37" t="n">
        <x:v>4.1</x:v>
      </x:c>
      <x:c r="H1554" s="37" t="n">
        <x:v>1.2</x:v>
      </x:c>
      <x:c r="I1554" s="37" t="n">
        <x:v>0.18</x:v>
      </x:c>
      <x:c r="J1554" s="37" t="n">
        <x:v>1</x:v>
      </x:c>
      <x:c r="K1554" s="37" t="n">
        <x:f>F1554*G1554*H1554*I1554*J1554</x:f>
        <x:v>1.7711999999999997</x:v>
      </x:c>
      <x:c r="L1554" s="36" t="str">
        <x:v>Two flights; geometry separate from floor slab</x:v>
      </x:c>
      <x:c r="M1554" s="1"/>
      <x:c r="N1554" s="1"/>
      <x:c r="O1554" s="1"/>
      <x:c r="P1554" s="1"/>
      <x:c r="Q1554" s="1"/>
    </x:row>
    <x:row r="1555" ht="22" customHeight="1">
      <x:c r="A1555" s="1" t="str">
        <x:v>M1548</x:v>
      </x:c>
      <x:c r="B1555" s="1" t="str">
        <x:v>RC07</x:v>
      </x:c>
      <x:c r="C1555" s="1" t="str">
        <x:v>T6</x:v>
      </x:c>
      <x:c r="D1555" s="1" t="str">
        <x:v>L01</x:v>
      </x:c>
      <x:c r="E1555" s="1" t="str">
        <x:v>Stair landings</x:v>
      </x:c>
      <x:c r="F1555" s="35" t="n">
        <x:v>2</x:v>
      </x:c>
      <x:c r="G1555" s="35" t="n">
        <x:v>2</x:v>
      </x:c>
      <x:c r="H1555" s="35" t="n">
        <x:v>1.2</x:v>
      </x:c>
      <x:c r="I1555" s="35" t="n">
        <x:v>0.18</x:v>
      </x:c>
      <x:c r="J1555" s="35" t="n">
        <x:v>1</x:v>
      </x:c>
      <x:c r="K1555" s="35" t="n">
        <x:f>F1555*G1555*H1555*I1555*J1555</x:f>
        <x:v>0.864</x:v>
      </x:c>
      <x:c r="L1555" s="1" t="str">
        <x:v>Within stair opening</x:v>
      </x:c>
      <x:c r="M1555" s="1"/>
      <x:c r="N1555" s="1"/>
      <x:c r="O1555" s="1"/>
      <x:c r="P1555" s="1"/>
      <x:c r="Q1555" s="1"/>
    </x:row>
    <x:row r="1556" ht="22" customHeight="1">
      <x:c r="A1556" s="36" t="str">
        <x:v>M1549</x:v>
      </x:c>
      <x:c r="B1556" s="36" t="str">
        <x:v>FW01</x:v>
      </x:c>
      <x:c r="C1556" s="36" t="str">
        <x:v>T6</x:v>
      </x:c>
      <x:c r="D1556" s="36" t="str">
        <x:v>L01</x:v>
      </x:c>
      <x:c r="E1556" s="36" t="str">
        <x:v>Slab soffit gross</x:v>
      </x:c>
      <x:c r="F1556" s="37" t="n">
        <x:v>1</x:v>
      </x:c>
      <x:c r="G1556" s="37" t="n">
        <x:f>'Controls'!$B$10</x:f>
        <x:v>30</x:v>
      </x:c>
      <x:c r="H1556" s="37" t="n">
        <x:f>'Controls'!$B$11</x:f>
        <x:v>24</x:v>
      </x:c>
      <x:c r="I1556" s="37" t="n">
        <x:v>1</x:v>
      </x:c>
      <x:c r="J1556" s="37" t="n">
        <x:v>1</x:v>
      </x:c>
      <x:c r="K1556" s="37" t="n">
        <x:f>F1556*G1556*H1556*I1556*J1556</x:f>
        <x:v>720</x:v>
      </x:c>
      <x:c r="L1556" s="36" t="str">
        <x:v>Beam soffit deducted below</x:v>
      </x:c>
      <x:c r="M1556" s="1"/>
      <x:c r="N1556" s="1"/>
      <x:c r="O1556" s="1"/>
      <x:c r="P1556" s="1"/>
      <x:c r="Q1556" s="1"/>
    </x:row>
    <x:row r="1557" ht="22" customHeight="1">
      <x:c r="A1557" s="1" t="str">
        <x:v>M1550</x:v>
      </x:c>
      <x:c r="B1557" s="1" t="str">
        <x:v>FW01</x:v>
      </x:c>
      <x:c r="C1557" s="1" t="str">
        <x:v>T6</x:v>
      </x:c>
      <x:c r="D1557" s="1" t="str">
        <x:v>L01</x:v>
      </x:c>
      <x:c r="E1557" s="1" t="str">
        <x:v>Stair opening deduction</x:v>
      </x:c>
      <x:c r="F1557" s="35" t="n">
        <x:v>1</x:v>
      </x:c>
      <x:c r="G1557" s="35" t="n">
        <x:f>'Controls'!$B$20</x:f>
        <x:v>4</x:v>
      </x:c>
      <x:c r="H1557" s="35" t="n">
        <x:f>'Controls'!$B$21</x:f>
        <x:v>6</x:v>
      </x:c>
      <x:c r="I1557" s="35" t="n">
        <x:v>1</x:v>
      </x:c>
      <x:c r="J1557" s="35" t="n">
        <x:v>-1</x:v>
      </x:c>
      <x:c r="K1557" s="35" t="n">
        <x:f>F1557*G1557*H1557*I1557*J1557</x:f>
        <x:v>-24</x:v>
      </x:c>
      <x:c r="L1557" s="1" t="str">
        <x:v>OP-01</x:v>
      </x:c>
      <x:c r="M1557" s="1"/>
      <x:c r="N1557" s="1"/>
      <x:c r="O1557" s="1"/>
      <x:c r="P1557" s="1"/>
      <x:c r="Q1557" s="1"/>
    </x:row>
    <x:row r="1558" ht="22" customHeight="1">
      <x:c r="A1558" s="36" t="str">
        <x:v>M1551</x:v>
      </x:c>
      <x:c r="B1558" s="36" t="str">
        <x:v>FW01</x:v>
      </x:c>
      <x:c r="C1558" s="36" t="str">
        <x:v>T6</x:v>
      </x:c>
      <x:c r="D1558" s="36" t="str">
        <x:v>L01</x:v>
      </x:c>
      <x:c r="E1558" s="36" t="str">
        <x:v>Beam soffit deduction</x:v>
      </x:c>
      <x:c r="F1558" s="37" t="n">
        <x:v>1</x:v>
      </x:c>
      <x:c r="G1558" s="37" t="n">
        <x:f>5*5*('Controls'!$B$10/5-'Controls'!$B$14)+6*4*('Controls'!$B$11/4-'Controls'!$B$15)</x:f>
        <x:v>269.5</x:v>
      </x:c>
      <x:c r="H1558" s="37" t="n">
        <x:f>'Controls'!$B$16</x:f>
        <x:v>0.3</x:v>
      </x:c>
      <x:c r="I1558" s="37" t="n">
        <x:v>1</x:v>
      </x:c>
      <x:c r="J1558" s="37" t="n">
        <x:v>-1</x:v>
      </x:c>
      <x:c r="K1558" s="37" t="n">
        <x:f>F1558*G1558*H1558*I1558*J1558</x:f>
        <x:v>-80.85</x:v>
      </x:c>
      <x:c r="L1558" s="36" t="str">
        <x:v>Beam forms measured in FW02</x:v>
      </x:c>
      <x:c r="M1558" s="1"/>
      <x:c r="N1558" s="1"/>
      <x:c r="O1558" s="1"/>
      <x:c r="P1558" s="1"/>
      <x:c r="Q1558" s="1"/>
    </x:row>
    <x:row r="1559" ht="22" customHeight="1">
      <x:c r="A1559" s="1" t="str">
        <x:v>M1552</x:v>
      </x:c>
      <x:c r="B1559" s="1" t="str">
        <x:v>FW03</x:v>
      </x:c>
      <x:c r="C1559" s="1" t="str">
        <x:v>T6</x:v>
      </x:c>
      <x:c r="D1559" s="1" t="str">
        <x:v>L01</x:v>
      </x:c>
      <x:c r="E1559" s="1" t="str">
        <x:v>Column four faces</x:v>
      </x:c>
      <x:c r="F1559" s="35" t="n">
        <x:v>30</x:v>
      </x:c>
      <x:c r="G1559" s="35" t="n">
        <x:f>2*('Controls'!$B$14+'Controls'!$B$15)</x:f>
        <x:v>2</x:v>
      </x:c>
      <x:c r="H1559" s="35" t="n">
        <x:f>'Controls'!$B$12-'Controls'!$B$13</x:f>
        <x:v>2.98</x:v>
      </x:c>
      <x:c r="I1559" s="35" t="n">
        <x:v>1</x:v>
      </x:c>
      <x:c r="J1559" s="35" t="n">
        <x:v>1</x:v>
      </x:c>
      <x:c r="K1559" s="35" t="n">
        <x:f>F1559*G1559*H1559*I1559*J1559</x:f>
        <x:v>178.8</x:v>
      </x:c>
      <x:c r="L1559" s="1" t="str">
        <x:v>Clear floor-to-soffit</x:v>
      </x:c>
      <x:c r="M1559" s="1"/>
      <x:c r="N1559" s="1"/>
      <x:c r="O1559" s="1"/>
      <x:c r="P1559" s="1"/>
      <x:c r="Q1559" s="1"/>
    </x:row>
    <x:row r="1560" ht="22" customHeight="1">
      <x:c r="A1560" s="36" t="str">
        <x:v>M1553</x:v>
      </x:c>
      <x:c r="B1560" s="36" t="str">
        <x:v>FW04</x:v>
      </x:c>
      <x:c r="C1560" s="36" t="str">
        <x:v>T6</x:v>
      </x:c>
      <x:c r="D1560" s="36" t="str">
        <x:v>L01</x:v>
      </x:c>
      <x:c r="E1560" s="36" t="str">
        <x:v>Core wall two faces</x:v>
      </x:c>
      <x:c r="F1560" s="37" t="n">
        <x:v>2</x:v>
      </x:c>
      <x:c r="G1560" s="37" t="n">
        <x:f>'Controls'!$B$19</x:f>
        <x:v>24</x:v>
      </x:c>
      <x:c r="H1560" s="37" t="n">
        <x:f>'Controls'!$B$12-'Controls'!$B$13</x:f>
        <x:v>2.98</x:v>
      </x:c>
      <x:c r="I1560" s="37" t="n">
        <x:v>1</x:v>
      </x:c>
      <x:c r="J1560" s="37" t="n">
        <x:v>1</x:v>
      </x:c>
      <x:c r="K1560" s="37" t="n">
        <x:f>F1560*G1560*H1560*I1560*J1560</x:f>
        <x:v>143.04</x:v>
      </x:c>
      <x:c r="L1560" s="36" t="str">
        <x:v>Net perimeter, no repeated corners</x:v>
      </x:c>
      <x:c r="M1560" s="1"/>
      <x:c r="N1560" s="1"/>
      <x:c r="O1560" s="1"/>
      <x:c r="P1560" s="1"/>
      <x:c r="Q1560" s="1"/>
    </x:row>
    <x:row r="1561" ht="22" customHeight="1">
      <x:c r="A1561" s="1" t="str">
        <x:v>M1554</x:v>
      </x:c>
      <x:c r="B1561" s="1" t="str">
        <x:v>AR01</x:v>
      </x:c>
      <x:c r="C1561" s="1" t="str">
        <x:v>T6</x:v>
      </x:c>
      <x:c r="D1561" s="1" t="str">
        <x:v>L01</x:v>
      </x:c>
      <x:c r="E1561" s="1" t="str">
        <x:v>Partition walls gross</x:v>
      </x:c>
      <x:c r="F1561" s="35" t="n">
        <x:v>1</x:v>
      </x:c>
      <x:c r="G1561" s="35" t="n">
        <x:f>'Controls'!$B$45</x:f>
        <x:v>220</x:v>
      </x:c>
      <x:c r="H1561" s="35" t="n">
        <x:f>'Controls'!$B$12-'Controls'!$B$13</x:f>
        <x:v>2.98</x:v>
      </x:c>
      <x:c r="I1561" s="35" t="n">
        <x:f>'Controls'!$B$46</x:f>
        <x:v>0.15</x:v>
      </x:c>
      <x:c r="J1561" s="35" t="n">
        <x:v>1</x:v>
      </x:c>
      <x:c r="K1561" s="35" t="n">
        <x:f>F1561*G1561*H1561*I1561*J1561</x:f>
        <x:v>98.34</x:v>
      </x:c>
      <x:c r="L1561" s="1" t="str">
        <x:v>Net openings deducted below</x:v>
      </x:c>
      <x:c r="M1561" s="1"/>
      <x:c r="N1561" s="1"/>
      <x:c r="O1561" s="1"/>
      <x:c r="P1561" s="1"/>
      <x:c r="Q1561" s="1"/>
    </x:row>
    <x:row r="1562" ht="22" customHeight="1">
      <x:c r="A1562" s="36" t="str">
        <x:v>M1555</x:v>
      </x:c>
      <x:c r="B1562" s="36" t="str">
        <x:v>AR01</x:v>
      </x:c>
      <x:c r="C1562" s="36" t="str">
        <x:v>T6</x:v>
      </x:c>
      <x:c r="D1562" s="36" t="str">
        <x:v>L01</x:v>
      </x:c>
      <x:c r="E1562" s="36" t="str">
        <x:v>Internal doors deduction</x:v>
      </x:c>
      <x:c r="F1562" s="37" t="n">
        <x:f>'Controls'!$B$48</x:f>
        <x:v>28</x:v>
      </x:c>
      <x:c r="G1562" s="37" t="n">
        <x:f>'Controls'!$B$49</x:f>
        <x:v>0.9</x:v>
      </x:c>
      <x:c r="H1562" s="37" t="n">
        <x:f>'Controls'!$B$50</x:f>
        <x:v>2.1</x:v>
      </x:c>
      <x:c r="I1562" s="37" t="n">
        <x:f>'Controls'!$B$46</x:f>
        <x:v>0.15</x:v>
      </x:c>
      <x:c r="J1562" s="37" t="n">
        <x:v>-1</x:v>
      </x:c>
      <x:c r="K1562" s="37" t="n">
        <x:f>F1562*G1562*H1562*I1562*J1562</x:f>
        <x:v>-7.938</x:v>
      </x:c>
      <x:c r="L1562" s="36" t="str">
        <x:v>28 doors per floor, OP-02</x:v>
      </x:c>
      <x:c r="M1562" s="1"/>
      <x:c r="N1562" s="1"/>
      <x:c r="O1562" s="1"/>
      <x:c r="P1562" s="1"/>
      <x:c r="Q1562" s="1"/>
    </x:row>
    <x:row r="1563" ht="22" customHeight="1">
      <x:c r="A1563" s="1" t="str">
        <x:v>M1556</x:v>
      </x:c>
      <x:c r="B1563" s="1" t="str">
        <x:v>AR02</x:v>
      </x:c>
      <x:c r="C1563" s="1" t="str">
        <x:v>T6</x:v>
      </x:c>
      <x:c r="D1563" s="1" t="str">
        <x:v>L01</x:v>
      </x:c>
      <x:c r="E1563" s="1" t="str">
        <x:v>Internal plaster gross</x:v>
      </x:c>
      <x:c r="F1563" s="35" t="n">
        <x:v>2</x:v>
      </x:c>
      <x:c r="G1563" s="35" t="n">
        <x:f>'Controls'!$B$45</x:f>
        <x:v>220</x:v>
      </x:c>
      <x:c r="H1563" s="35" t="n">
        <x:f>'Controls'!$B$12-'Controls'!$B$13</x:f>
        <x:v>2.98</x:v>
      </x:c>
      <x:c r="I1563" s="35" t="n">
        <x:v>1</x:v>
      </x:c>
      <x:c r="J1563" s="35" t="n">
        <x:v>1</x:v>
      </x:c>
      <x:c r="K1563" s="35" t="n">
        <x:f>F1563*G1563*H1563*I1563*J1563</x:f>
        <x:v>1311.2</x:v>
      </x:c>
      <x:c r="L1563" s="1" t="str">
        <x:v>Both faces of partition walls</x:v>
      </x:c>
      <x:c r="M1563" s="1"/>
      <x:c r="N1563" s="1"/>
      <x:c r="O1563" s="1"/>
      <x:c r="P1563" s="1"/>
      <x:c r="Q1563" s="1"/>
    </x:row>
    <x:row r="1564" ht="22" customHeight="1">
      <x:c r="A1564" s="36" t="str">
        <x:v>M1557</x:v>
      </x:c>
      <x:c r="B1564" s="36" t="str">
        <x:v>AR02</x:v>
      </x:c>
      <x:c r="C1564" s="36" t="str">
        <x:v>T6</x:v>
      </x:c>
      <x:c r="D1564" s="36" t="str">
        <x:v>L01</x:v>
      </x:c>
      <x:c r="E1564" s="36" t="str">
        <x:v>Door area deduction both faces</x:v>
      </x:c>
      <x:c r="F1564" s="37" t="n">
        <x:f>2*'Controls'!$B$48</x:f>
        <x:v>56</x:v>
      </x:c>
      <x:c r="G1564" s="37" t="n">
        <x:f>'Controls'!$B$49</x:f>
        <x:v>0.9</x:v>
      </x:c>
      <x:c r="H1564" s="37" t="n">
        <x:f>'Controls'!$B$50</x:f>
        <x:v>2.1</x:v>
      </x:c>
      <x:c r="I1564" s="37" t="n">
        <x:v>1</x:v>
      </x:c>
      <x:c r="J1564" s="37" t="n">
        <x:v>-1</x:v>
      </x:c>
      <x:c r="K1564" s="37" t="n">
        <x:f>F1564*G1564*H1564*I1564*J1564</x:f>
        <x:v>-105.84</x:v>
      </x:c>
      <x:c r="L1564" s="36" t="str">
        <x:v>No plaster over openings</x:v>
      </x:c>
      <x:c r="M1564" s="1"/>
      <x:c r="N1564" s="1"/>
      <x:c r="O1564" s="1"/>
      <x:c r="P1564" s="1"/>
      <x:c r="Q1564" s="1"/>
    </x:row>
    <x:row r="1565" ht="22" customHeight="1">
      <x:c r="A1565" s="1" t="str">
        <x:v>M1558</x:v>
      </x:c>
      <x:c r="B1565" s="1" t="str">
        <x:v>AR03</x:v>
      </x:c>
      <x:c r="C1565" s="1" t="str">
        <x:v>T6</x:v>
      </x:c>
      <x:c r="D1565" s="1" t="str">
        <x:v>L01</x:v>
      </x:c>
      <x:c r="E1565" s="1" t="str">
        <x:v>Floor screed net</x:v>
      </x:c>
      <x:c r="F1565" s="35" t="n">
        <x:v>1</x:v>
      </x:c>
      <x:c r="G1565" s="35" t="n">
        <x:f>'Controls'!$B$10*'Controls'!$B$11-'Controls'!$B$20*'Controls'!$B$21</x:f>
        <x:v>696</x:v>
      </x:c>
      <x:c r="H1565" s="35" t="n">
        <x:v>1</x:v>
      </x:c>
      <x:c r="I1565" s="35" t="n">
        <x:v>1</x:v>
      </x:c>
      <x:c r="J1565" s="35" t="n">
        <x:v>1</x:v>
      </x:c>
      <x:c r="K1565" s="35" t="n">
        <x:f>F1565*G1565*H1565*I1565*J1565</x:f>
        <x:v>696</x:v>
      </x:c>
      <x:c r="L1565" s="1" t="str">
        <x:v>Net structural floor area</x:v>
      </x:c>
      <x:c r="M1565" s="1"/>
      <x:c r="N1565" s="1"/>
      <x:c r="O1565" s="1"/>
      <x:c r="P1565" s="1"/>
      <x:c r="Q1565" s="1"/>
    </x:row>
    <x:row r="1566" ht="22" customHeight="1">
      <x:c r="A1566" s="36" t="str">
        <x:v>M1559</x:v>
      </x:c>
      <x:c r="B1566" s="36" t="str">
        <x:v>AR04</x:v>
      </x:c>
      <x:c r="C1566" s="36" t="str">
        <x:v>T6</x:v>
      </x:c>
      <x:c r="D1566" s="36" t="str">
        <x:v>L01</x:v>
      </x:c>
      <x:c r="E1566" s="36" t="str">
        <x:v>Floor finish net</x:v>
      </x:c>
      <x:c r="F1566" s="37" t="n">
        <x:v>1</x:v>
      </x:c>
      <x:c r="G1566" s="37" t="n">
        <x:f>'Controls'!$B$10*'Controls'!$B$11-'Controls'!$B$20*'Controls'!$B$21</x:f>
        <x:v>696</x:v>
      </x:c>
      <x:c r="H1566" s="37" t="n">
        <x:v>1</x:v>
      </x:c>
      <x:c r="I1566" s="37" t="n">
        <x:v>1</x:v>
      </x:c>
      <x:c r="J1566" s="37" t="n">
        <x:v>1</x:v>
      </x:c>
      <x:c r="K1566" s="37" t="n">
        <x:f>F1566*G1566*H1566*I1566*J1566</x:f>
        <x:v>696</x:v>
      </x:c>
      <x:c r="L1566" s="36" t="str">
        <x:v>Waste excluded from BOQ</x:v>
      </x:c>
      <x:c r="M1566" s="1"/>
      <x:c r="N1566" s="1"/>
      <x:c r="O1566" s="1"/>
      <x:c r="P1566" s="1"/>
      <x:c r="Q1566" s="1"/>
    </x:row>
    <x:row r="1567" ht="22" customHeight="1">
      <x:c r="A1567" s="1" t="str">
        <x:v>M1560</x:v>
      </x:c>
      <x:c r="B1567" s="1" t="str">
        <x:v>AR05</x:v>
      </x:c>
      <x:c r="C1567" s="1" t="str">
        <x:v>T6</x:v>
      </x:c>
      <x:c r="D1567" s="1" t="str">
        <x:v>L01</x:v>
      </x:c>
      <x:c r="E1567" s="1" t="str">
        <x:v>Internal wall paint net</x:v>
      </x:c>
      <x:c r="F1567" s="35" t="n">
        <x:v>2</x:v>
      </x:c>
      <x:c r="G1567" s="35" t="n">
        <x:f>'Controls'!$B$45*('Controls'!$B$12-'Controls'!$B$13)-'Controls'!$B$48*'Controls'!$B$49*'Controls'!$B$50</x:f>
        <x:v>602.6800000000001</x:v>
      </x:c>
      <x:c r="H1567" s="35" t="n">
        <x:v>1</x:v>
      </x:c>
      <x:c r="I1567" s="35" t="n">
        <x:v>1</x:v>
      </x:c>
      <x:c r="J1567" s="35" t="n">
        <x:v>1</x:v>
      </x:c>
      <x:c r="K1567" s="35" t="n">
        <x:f>F1567*G1567*H1567*I1567*J1567</x:f>
        <x:v>1205.3600000000001</x:v>
      </x:c>
      <x:c r="L1567" s="1" t="str">
        <x:v>Finished area; two coats priced in rate</x:v>
      </x:c>
      <x:c r="M1567" s="1"/>
      <x:c r="N1567" s="1"/>
      <x:c r="O1567" s="1"/>
      <x:c r="P1567" s="1"/>
      <x:c r="Q1567" s="1"/>
    </x:row>
    <x:row r="1568" ht="22" customHeight="1">
      <x:c r="A1568" s="36" t="str">
        <x:v>M1561</x:v>
      </x:c>
      <x:c r="B1568" s="36" t="str">
        <x:v>AR06</x:v>
      </x:c>
      <x:c r="C1568" s="36" t="str">
        <x:v>T6</x:v>
      </x:c>
      <x:c r="D1568" s="36" t="str">
        <x:v>L01</x:v>
      </x:c>
      <x:c r="E1568" s="36" t="str">
        <x:v>Door sets</x:v>
      </x:c>
      <x:c r="F1568" s="37" t="n">
        <x:f>'Controls'!$B$48</x:f>
        <x:v>28</x:v>
      </x:c>
      <x:c r="G1568" s="37" t="n">
        <x:v>1</x:v>
      </x:c>
      <x:c r="H1568" s="37" t="n">
        <x:v>1</x:v>
      </x:c>
      <x:c r="I1568" s="37" t="n">
        <x:v>1</x:v>
      </x:c>
      <x:c r="J1568" s="37" t="n">
        <x:v>1</x:v>
      </x:c>
      <x:c r="K1568" s="37" t="n">
        <x:f>F1568*G1568*H1568*I1568*J1568</x:f>
        <x:v>28</x:v>
      </x:c>
      <x:c r="L1568" s="36" t="str">
        <x:v>Door count, not double face</x:v>
      </x:c>
      <x:c r="M1568" s="1"/>
      <x:c r="N1568" s="1"/>
      <x:c r="O1568" s="1"/>
      <x:c r="P1568" s="1"/>
      <x:c r="Q1568" s="1"/>
    </x:row>
    <x:row r="1569" ht="22" customHeight="1">
      <x:c r="A1569" s="1" t="str">
        <x:v>M1562</x:v>
      </x:c>
      <x:c r="B1569" s="1" t="str">
        <x:v>RC03</x:v>
      </x:c>
      <x:c r="C1569" s="1" t="str">
        <x:v>T6</x:v>
      </x:c>
      <x:c r="D1569" s="1" t="str">
        <x:v>L02</x:v>
      </x:c>
      <x:c r="E1569" s="1" t="str">
        <x:v>Floor slab gross</x:v>
      </x:c>
      <x:c r="F1569" s="35" t="n">
        <x:v>1</x:v>
      </x:c>
      <x:c r="G1569" s="35" t="n">
        <x:f>'Controls'!$B$10</x:f>
        <x:v>30</x:v>
      </x:c>
      <x:c r="H1569" s="35" t="n">
        <x:f>'Controls'!$B$11</x:f>
        <x:v>24</x:v>
      </x:c>
      <x:c r="I1569" s="35" t="n">
        <x:f>'Controls'!$B$13</x:f>
        <x:v>0.22</x:v>
      </x:c>
      <x:c r="J1569" s="35" t="n">
        <x:v>1</x:v>
      </x:c>
      <x:c r="K1569" s="35" t="n">
        <x:f>F1569*G1569*H1569*I1569*J1569</x:f>
        <x:v>158.4</x:v>
      </x:c>
      <x:c r="L1569" s="1" t="str">
        <x:v>Slab includes beam top flange; downstand separate</x:v>
      </x:c>
      <x:c r="M1569" s="1"/>
      <x:c r="N1569" s="1"/>
      <x:c r="O1569" s="1"/>
      <x:c r="P1569" s="1"/>
      <x:c r="Q1569" s="1"/>
    </x:row>
    <x:row r="1570" ht="22" customHeight="1">
      <x:c r="A1570" s="36" t="str">
        <x:v>M1563</x:v>
      </x:c>
      <x:c r="B1570" s="36" t="str">
        <x:v>RC03</x:v>
      </x:c>
      <x:c r="C1570" s="36" t="str">
        <x:v>T6</x:v>
      </x:c>
      <x:c r="D1570" s="36" t="str">
        <x:v>L02</x:v>
      </x:c>
      <x:c r="E1570" s="36" t="str">
        <x:v>Stair opening deduction</x:v>
      </x:c>
      <x:c r="F1570" s="37" t="n">
        <x:v>1</x:v>
      </x:c>
      <x:c r="G1570" s="37" t="n">
        <x:f>'Controls'!$B$20</x:f>
        <x:v>4</x:v>
      </x:c>
      <x:c r="H1570" s="37" t="n">
        <x:f>'Controls'!$B$21</x:f>
        <x:v>6</x:v>
      </x:c>
      <x:c r="I1570" s="37" t="n">
        <x:f>'Controls'!$B$13</x:f>
        <x:v>0.22</x:v>
      </x:c>
      <x:c r="J1570" s="37" t="n">
        <x:v>-1</x:v>
      </x:c>
      <x:c r="K1570" s="37" t="n">
        <x:f>F1570*G1570*H1570*I1570*J1570</x:f>
        <x:v>-5.28</x:v>
      </x:c>
      <x:c r="L1570" s="36" t="str">
        <x:v>Opening OP-01</x:v>
      </x:c>
      <x:c r="M1570" s="1"/>
      <x:c r="N1570" s="1"/>
      <x:c r="O1570" s="1"/>
      <x:c r="P1570" s="1"/>
      <x:c r="Q1570" s="1"/>
    </x:row>
    <x:row r="1571" ht="22" customHeight="1">
      <x:c r="A1571" s="1" t="str">
        <x:v>M1564</x:v>
      </x:c>
      <x:c r="B1571" s="1" t="str">
        <x:v>RC04</x:v>
      </x:c>
      <x:c r="C1571" s="1" t="str">
        <x:v>T6</x:v>
      </x:c>
      <x:c r="D1571" s="1" t="str">
        <x:v>L02</x:v>
      </x:c>
      <x:c r="E1571" s="1" t="str">
        <x:v>Beam downstands X</x:v>
      </x:c>
      <x:c r="F1571" s="35" t="n">
        <x:v>1</x:v>
      </x:c>
      <x:c r="G1571" s="35" t="n">
        <x:f>5*5*('Controls'!$B$10/5-'Controls'!$B$14)</x:f>
        <x:v>137.5</x:v>
      </x:c>
      <x:c r="H1571" s="35" t="n">
        <x:f>'Controls'!$B$16</x:f>
        <x:v>0.3</x:v>
      </x:c>
      <x:c r="I1571" s="35" t="n">
        <x:f>'Controls'!$B$17-'Controls'!$B$13</x:f>
        <x:v>0.38</x:v>
      </x:c>
      <x:c r="J1571" s="35" t="n">
        <x:v>1</x:v>
      </x:c>
      <x:c r="K1571" s="35" t="n">
        <x:f>F1571*G1571*H1571*I1571*J1571</x:f>
        <x:v>15.675</x:v>
      </x:c>
      <x:c r="L1571" s="1" t="str">
        <x:v>Clear spans between column faces; no joint overlap</x:v>
      </x:c>
      <x:c r="M1571" s="1"/>
      <x:c r="N1571" s="1"/>
      <x:c r="O1571" s="1"/>
      <x:c r="P1571" s="1"/>
      <x:c r="Q1571" s="1"/>
    </x:row>
    <x:row r="1572" ht="22" customHeight="1">
      <x:c r="A1572" s="36" t="str">
        <x:v>M1565</x:v>
      </x:c>
      <x:c r="B1572" s="36" t="str">
        <x:v>FW02</x:v>
      </x:c>
      <x:c r="C1572" s="36" t="str">
        <x:v>T6</x:v>
      </x:c>
      <x:c r="D1572" s="36" t="str">
        <x:v>L02</x:v>
      </x:c>
      <x:c r="E1572" s="36" t="str">
        <x:v>Beam forms X</x:v>
      </x:c>
      <x:c r="F1572" s="37" t="n">
        <x:v>1</x:v>
      </x:c>
      <x:c r="G1572" s="37" t="n">
        <x:f>5*5*('Controls'!$B$10/5-'Controls'!$B$14)</x:f>
        <x:v>137.5</x:v>
      </x:c>
      <x:c r="H1572" s="37" t="n">
        <x:f>'Controls'!$B$16+2*('Controls'!$B$17-'Controls'!$B$13)</x:f>
        <x:v>1.06</x:v>
      </x:c>
      <x:c r="I1572" s="37" t="n">
        <x:v>1</x:v>
      </x:c>
      <x:c r="J1572" s="37" t="n">
        <x:v>1</x:v>
      </x:c>
      <x:c r="K1572" s="37" t="n">
        <x:f>F1572*G1572*H1572*I1572*J1572</x:f>
        <x:v>145.75</x:v>
      </x:c>
      <x:c r="L1572" s="36" t="str">
        <x:v>Soffit plus two downstand sides</x:v>
      </x:c>
      <x:c r="M1572" s="1"/>
      <x:c r="N1572" s="1"/>
      <x:c r="O1572" s="1"/>
      <x:c r="P1572" s="1"/>
      <x:c r="Q1572" s="1"/>
    </x:row>
    <x:row r="1573" ht="22" customHeight="1">
      <x:c r="A1573" s="1" t="str">
        <x:v>M1566</x:v>
      </x:c>
      <x:c r="B1573" s="1" t="str">
        <x:v>RC04</x:v>
      </x:c>
      <x:c r="C1573" s="1" t="str">
        <x:v>T6</x:v>
      </x:c>
      <x:c r="D1573" s="1" t="str">
        <x:v>L02</x:v>
      </x:c>
      <x:c r="E1573" s="1" t="str">
        <x:v>Beam downstands Y</x:v>
      </x:c>
      <x:c r="F1573" s="35" t="n">
        <x:v>1</x:v>
      </x:c>
      <x:c r="G1573" s="35" t="n">
        <x:f>6*4*('Controls'!$B$11/4-'Controls'!$B$15)</x:f>
        <x:v>132</x:v>
      </x:c>
      <x:c r="H1573" s="35" t="n">
        <x:f>'Controls'!$B$16</x:f>
        <x:v>0.3</x:v>
      </x:c>
      <x:c r="I1573" s="35" t="n">
        <x:f>'Controls'!$B$17-'Controls'!$B$13</x:f>
        <x:v>0.38</x:v>
      </x:c>
      <x:c r="J1573" s="35" t="n">
        <x:v>1</x:v>
      </x:c>
      <x:c r="K1573" s="35" t="n">
        <x:f>F1573*G1573*H1573*I1573*J1573</x:f>
        <x:v>15.048</x:v>
      </x:c>
      <x:c r="L1573" s="1" t="str">
        <x:v>Clear spans between column faces; no joint overlap</x:v>
      </x:c>
      <x:c r="M1573" s="1"/>
      <x:c r="N1573" s="1"/>
      <x:c r="O1573" s="1"/>
      <x:c r="P1573" s="1"/>
      <x:c r="Q1573" s="1"/>
    </x:row>
    <x:row r="1574" ht="22" customHeight="1">
      <x:c r="A1574" s="36" t="str">
        <x:v>M1567</x:v>
      </x:c>
      <x:c r="B1574" s="36" t="str">
        <x:v>FW02</x:v>
      </x:c>
      <x:c r="C1574" s="36" t="str">
        <x:v>T6</x:v>
      </x:c>
      <x:c r="D1574" s="36" t="str">
        <x:v>L02</x:v>
      </x:c>
      <x:c r="E1574" s="36" t="str">
        <x:v>Beam forms Y</x:v>
      </x:c>
      <x:c r="F1574" s="37" t="n">
        <x:v>1</x:v>
      </x:c>
      <x:c r="G1574" s="37" t="n">
        <x:f>6*4*('Controls'!$B$11/4-'Controls'!$B$15)</x:f>
        <x:v>132</x:v>
      </x:c>
      <x:c r="H1574" s="37" t="n">
        <x:f>'Controls'!$B$16+2*('Controls'!$B$17-'Controls'!$B$13)</x:f>
        <x:v>1.06</x:v>
      </x:c>
      <x:c r="I1574" s="37" t="n">
        <x:v>1</x:v>
      </x:c>
      <x:c r="J1574" s="37" t="n">
        <x:v>1</x:v>
      </x:c>
      <x:c r="K1574" s="37" t="n">
        <x:f>F1574*G1574*H1574*I1574*J1574</x:f>
        <x:v>139.92000000000002</x:v>
      </x:c>
      <x:c r="L1574" s="36" t="str">
        <x:v>Soffit plus two downstand sides</x:v>
      </x:c>
      <x:c r="M1574" s="1"/>
      <x:c r="N1574" s="1"/>
      <x:c r="O1574" s="1"/>
      <x:c r="P1574" s="1"/>
      <x:c r="Q1574" s="1"/>
    </x:row>
    <x:row r="1575" ht="22" customHeight="1">
      <x:c r="A1575" s="1" t="str">
        <x:v>M1568</x:v>
      </x:c>
      <x:c r="B1575" s="1" t="str">
        <x:v>RC05</x:v>
      </x:c>
      <x:c r="C1575" s="1" t="str">
        <x:v>T6</x:v>
      </x:c>
      <x:c r="D1575" s="1" t="str">
        <x:v>L02</x:v>
      </x:c>
      <x:c r="E1575" s="1" t="str">
        <x:v>Thirty columns, clear storey</x:v>
      </x:c>
      <x:c r="F1575" s="35" t="n">
        <x:v>30</x:v>
      </x:c>
      <x:c r="G1575" s="35" t="n">
        <x:f>'Controls'!$B$14</x:f>
        <x:v>0.5</x:v>
      </x:c>
      <x:c r="H1575" s="35" t="n">
        <x:f>'Controls'!$B$15</x:f>
        <x:v>0.5</x:v>
      </x:c>
      <x:c r="I1575" s="35" t="n">
        <x:f>'Controls'!$B$12-'Controls'!$B$13</x:f>
        <x:v>2.98</x:v>
      </x:c>
      <x:c r="J1575" s="35" t="n">
        <x:v>1</x:v>
      </x:c>
      <x:c r="K1575" s="35" t="n">
        <x:f>F1575*G1575*H1575*I1575*J1575</x:f>
        <x:v>22.35</x:v>
      </x:c>
      <x:c r="L1575" s="1" t="str">
        <x:v>Slab volume excluded from columns</x:v>
      </x:c>
      <x:c r="M1575" s="1"/>
      <x:c r="N1575" s="1"/>
      <x:c r="O1575" s="1"/>
      <x:c r="P1575" s="1"/>
      <x:c r="Q1575" s="1"/>
    </x:row>
    <x:row r="1576" ht="22" customHeight="1">
      <x:c r="A1576" s="36" t="str">
        <x:v>M1569</x:v>
      </x:c>
      <x:c r="B1576" s="36" t="str">
        <x:v>RC06</x:v>
      </x:c>
      <x:c r="C1576" s="36" t="str">
        <x:v>T6</x:v>
      </x:c>
      <x:c r="D1576" s="36" t="str">
        <x:v>L02</x:v>
      </x:c>
      <x:c r="E1576" s="36" t="str">
        <x:v>Core walls clear storey</x:v>
      </x:c>
      <x:c r="F1576" s="37" t="n">
        <x:v>1</x:v>
      </x:c>
      <x:c r="G1576" s="37" t="n">
        <x:f>'Controls'!$B$19</x:f>
        <x:v>24</x:v>
      </x:c>
      <x:c r="H1576" s="37" t="n">
        <x:f>'Controls'!$B$18</x:f>
        <x:v>0.25</x:v>
      </x:c>
      <x:c r="I1576" s="37" t="n">
        <x:f>'Controls'!$B$12-'Controls'!$B$13</x:f>
        <x:v>2.98</x:v>
      </x:c>
      <x:c r="J1576" s="37" t="n">
        <x:v>1</x:v>
      </x:c>
      <x:c r="K1576" s="37" t="n">
        <x:f>F1576*G1576*H1576*I1576*J1576</x:f>
        <x:v>17.88</x:v>
      </x:c>
      <x:c r="L1576" s="36" t="str">
        <x:v>Net clear wall length excludes corners</x:v>
      </x:c>
      <x:c r="M1576" s="1"/>
      <x:c r="N1576" s="1"/>
      <x:c r="O1576" s="1"/>
      <x:c r="P1576" s="1"/>
      <x:c r="Q1576" s="1"/>
    </x:row>
    <x:row r="1577" ht="22" customHeight="1">
      <x:c r="A1577" s="1" t="str">
        <x:v>M1570</x:v>
      </x:c>
      <x:c r="B1577" s="1" t="str">
        <x:v>RC07</x:v>
      </x:c>
      <x:c r="C1577" s="1" t="str">
        <x:v>T6</x:v>
      </x:c>
      <x:c r="D1577" s="1" t="str">
        <x:v>L02</x:v>
      </x:c>
      <x:c r="E1577" s="1" t="str">
        <x:v>Stair flights waist</x:v>
      </x:c>
      <x:c r="F1577" s="35" t="n">
        <x:v>2</x:v>
      </x:c>
      <x:c r="G1577" s="35" t="n">
        <x:v>4.1</x:v>
      </x:c>
      <x:c r="H1577" s="35" t="n">
        <x:v>1.2</x:v>
      </x:c>
      <x:c r="I1577" s="35" t="n">
        <x:v>0.18</x:v>
      </x:c>
      <x:c r="J1577" s="35" t="n">
        <x:v>1</x:v>
      </x:c>
      <x:c r="K1577" s="35" t="n">
        <x:f>F1577*G1577*H1577*I1577*J1577</x:f>
        <x:v>1.7711999999999997</x:v>
      </x:c>
      <x:c r="L1577" s="1" t="str">
        <x:v>Two flights; geometry separate from floor slab</x:v>
      </x:c>
      <x:c r="M1577" s="1"/>
      <x:c r="N1577" s="1"/>
      <x:c r="O1577" s="1"/>
      <x:c r="P1577" s="1"/>
      <x:c r="Q1577" s="1"/>
    </x:row>
    <x:row r="1578" ht="22" customHeight="1">
      <x:c r="A1578" s="36" t="str">
        <x:v>M1571</x:v>
      </x:c>
      <x:c r="B1578" s="36" t="str">
        <x:v>RC07</x:v>
      </x:c>
      <x:c r="C1578" s="36" t="str">
        <x:v>T6</x:v>
      </x:c>
      <x:c r="D1578" s="36" t="str">
        <x:v>L02</x:v>
      </x:c>
      <x:c r="E1578" s="36" t="str">
        <x:v>Stair landings</x:v>
      </x:c>
      <x:c r="F1578" s="37" t="n">
        <x:v>2</x:v>
      </x:c>
      <x:c r="G1578" s="37" t="n">
        <x:v>2</x:v>
      </x:c>
      <x:c r="H1578" s="37" t="n">
        <x:v>1.2</x:v>
      </x:c>
      <x:c r="I1578" s="37" t="n">
        <x:v>0.18</x:v>
      </x:c>
      <x:c r="J1578" s="37" t="n">
        <x:v>1</x:v>
      </x:c>
      <x:c r="K1578" s="37" t="n">
        <x:f>F1578*G1578*H1578*I1578*J1578</x:f>
        <x:v>0.864</x:v>
      </x:c>
      <x:c r="L1578" s="36" t="str">
        <x:v>Within stair opening</x:v>
      </x:c>
      <x:c r="M1578" s="1"/>
      <x:c r="N1578" s="1"/>
      <x:c r="O1578" s="1"/>
      <x:c r="P1578" s="1"/>
      <x:c r="Q1578" s="1"/>
    </x:row>
    <x:row r="1579" ht="22" customHeight="1">
      <x:c r="A1579" s="1" t="str">
        <x:v>M1572</x:v>
      </x:c>
      <x:c r="B1579" s="1" t="str">
        <x:v>FW01</x:v>
      </x:c>
      <x:c r="C1579" s="1" t="str">
        <x:v>T6</x:v>
      </x:c>
      <x:c r="D1579" s="1" t="str">
        <x:v>L02</x:v>
      </x:c>
      <x:c r="E1579" s="1" t="str">
        <x:v>Slab soffit gross</x:v>
      </x:c>
      <x:c r="F1579" s="35" t="n">
        <x:v>1</x:v>
      </x:c>
      <x:c r="G1579" s="35" t="n">
        <x:f>'Controls'!$B$10</x:f>
        <x:v>30</x:v>
      </x:c>
      <x:c r="H1579" s="35" t="n">
        <x:f>'Controls'!$B$11</x:f>
        <x:v>24</x:v>
      </x:c>
      <x:c r="I1579" s="35" t="n">
        <x:v>1</x:v>
      </x:c>
      <x:c r="J1579" s="35" t="n">
        <x:v>1</x:v>
      </x:c>
      <x:c r="K1579" s="35" t="n">
        <x:f>F1579*G1579*H1579*I1579*J1579</x:f>
        <x:v>720</x:v>
      </x:c>
      <x:c r="L1579" s="1" t="str">
        <x:v>Beam soffit deducted below</x:v>
      </x:c>
      <x:c r="M1579" s="1"/>
      <x:c r="N1579" s="1"/>
      <x:c r="O1579" s="1"/>
      <x:c r="P1579" s="1"/>
      <x:c r="Q1579" s="1"/>
    </x:row>
    <x:row r="1580" ht="22" customHeight="1">
      <x:c r="A1580" s="36" t="str">
        <x:v>M1573</x:v>
      </x:c>
      <x:c r="B1580" s="36" t="str">
        <x:v>FW01</x:v>
      </x:c>
      <x:c r="C1580" s="36" t="str">
        <x:v>T6</x:v>
      </x:c>
      <x:c r="D1580" s="36" t="str">
        <x:v>L02</x:v>
      </x:c>
      <x:c r="E1580" s="36" t="str">
        <x:v>Stair opening deduction</x:v>
      </x:c>
      <x:c r="F1580" s="37" t="n">
        <x:v>1</x:v>
      </x:c>
      <x:c r="G1580" s="37" t="n">
        <x:f>'Controls'!$B$20</x:f>
        <x:v>4</x:v>
      </x:c>
      <x:c r="H1580" s="37" t="n">
        <x:f>'Controls'!$B$21</x:f>
        <x:v>6</x:v>
      </x:c>
      <x:c r="I1580" s="37" t="n">
        <x:v>1</x:v>
      </x:c>
      <x:c r="J1580" s="37" t="n">
        <x:v>-1</x:v>
      </x:c>
      <x:c r="K1580" s="37" t="n">
        <x:f>F1580*G1580*H1580*I1580*J1580</x:f>
        <x:v>-24</x:v>
      </x:c>
      <x:c r="L1580" s="36" t="str">
        <x:v>OP-01</x:v>
      </x:c>
      <x:c r="M1580" s="1"/>
      <x:c r="N1580" s="1"/>
      <x:c r="O1580" s="1"/>
      <x:c r="P1580" s="1"/>
      <x:c r="Q1580" s="1"/>
    </x:row>
    <x:row r="1581" ht="22" customHeight="1">
      <x:c r="A1581" s="1" t="str">
        <x:v>M1574</x:v>
      </x:c>
      <x:c r="B1581" s="1" t="str">
        <x:v>FW01</x:v>
      </x:c>
      <x:c r="C1581" s="1" t="str">
        <x:v>T6</x:v>
      </x:c>
      <x:c r="D1581" s="1" t="str">
        <x:v>L02</x:v>
      </x:c>
      <x:c r="E1581" s="1" t="str">
        <x:v>Beam soffit deduction</x:v>
      </x:c>
      <x:c r="F1581" s="35" t="n">
        <x:v>1</x:v>
      </x:c>
      <x:c r="G1581" s="35" t="n">
        <x:f>5*5*('Controls'!$B$10/5-'Controls'!$B$14)+6*4*('Controls'!$B$11/4-'Controls'!$B$15)</x:f>
        <x:v>269.5</x:v>
      </x:c>
      <x:c r="H1581" s="35" t="n">
        <x:f>'Controls'!$B$16</x:f>
        <x:v>0.3</x:v>
      </x:c>
      <x:c r="I1581" s="35" t="n">
        <x:v>1</x:v>
      </x:c>
      <x:c r="J1581" s="35" t="n">
        <x:v>-1</x:v>
      </x:c>
      <x:c r="K1581" s="35" t="n">
        <x:f>F1581*G1581*H1581*I1581*J1581</x:f>
        <x:v>-80.85</x:v>
      </x:c>
      <x:c r="L1581" s="1" t="str">
        <x:v>Beam forms measured in FW02</x:v>
      </x:c>
      <x:c r="M1581" s="1"/>
      <x:c r="N1581" s="1"/>
      <x:c r="O1581" s="1"/>
      <x:c r="P1581" s="1"/>
      <x:c r="Q1581" s="1"/>
    </x:row>
    <x:row r="1582" ht="22" customHeight="1">
      <x:c r="A1582" s="36" t="str">
        <x:v>M1575</x:v>
      </x:c>
      <x:c r="B1582" s="36" t="str">
        <x:v>FW03</x:v>
      </x:c>
      <x:c r="C1582" s="36" t="str">
        <x:v>T6</x:v>
      </x:c>
      <x:c r="D1582" s="36" t="str">
        <x:v>L02</x:v>
      </x:c>
      <x:c r="E1582" s="36" t="str">
        <x:v>Column four faces</x:v>
      </x:c>
      <x:c r="F1582" s="37" t="n">
        <x:v>30</x:v>
      </x:c>
      <x:c r="G1582" s="37" t="n">
        <x:f>2*('Controls'!$B$14+'Controls'!$B$15)</x:f>
        <x:v>2</x:v>
      </x:c>
      <x:c r="H1582" s="37" t="n">
        <x:f>'Controls'!$B$12-'Controls'!$B$13</x:f>
        <x:v>2.98</x:v>
      </x:c>
      <x:c r="I1582" s="37" t="n">
        <x:v>1</x:v>
      </x:c>
      <x:c r="J1582" s="37" t="n">
        <x:v>1</x:v>
      </x:c>
      <x:c r="K1582" s="37" t="n">
        <x:f>F1582*G1582*H1582*I1582*J1582</x:f>
        <x:v>178.8</x:v>
      </x:c>
      <x:c r="L1582" s="36" t="str">
        <x:v>Clear floor-to-soffit</x:v>
      </x:c>
      <x:c r="M1582" s="1"/>
      <x:c r="N1582" s="1"/>
      <x:c r="O1582" s="1"/>
      <x:c r="P1582" s="1"/>
      <x:c r="Q1582" s="1"/>
    </x:row>
    <x:row r="1583" ht="22" customHeight="1">
      <x:c r="A1583" s="1" t="str">
        <x:v>M1576</x:v>
      </x:c>
      <x:c r="B1583" s="1" t="str">
        <x:v>FW04</x:v>
      </x:c>
      <x:c r="C1583" s="1" t="str">
        <x:v>T6</x:v>
      </x:c>
      <x:c r="D1583" s="1" t="str">
        <x:v>L02</x:v>
      </x:c>
      <x:c r="E1583" s="1" t="str">
        <x:v>Core wall two faces</x:v>
      </x:c>
      <x:c r="F1583" s="35" t="n">
        <x:v>2</x:v>
      </x:c>
      <x:c r="G1583" s="35" t="n">
        <x:f>'Controls'!$B$19</x:f>
        <x:v>24</x:v>
      </x:c>
      <x:c r="H1583" s="35" t="n">
        <x:f>'Controls'!$B$12-'Controls'!$B$13</x:f>
        <x:v>2.98</x:v>
      </x:c>
      <x:c r="I1583" s="35" t="n">
        <x:v>1</x:v>
      </x:c>
      <x:c r="J1583" s="35" t="n">
        <x:v>1</x:v>
      </x:c>
      <x:c r="K1583" s="35" t="n">
        <x:f>F1583*G1583*H1583*I1583*J1583</x:f>
        <x:v>143.04</x:v>
      </x:c>
      <x:c r="L1583" s="1" t="str">
        <x:v>Net perimeter, no repeated corners</x:v>
      </x:c>
      <x:c r="M1583" s="1"/>
      <x:c r="N1583" s="1"/>
      <x:c r="O1583" s="1"/>
      <x:c r="P1583" s="1"/>
      <x:c r="Q1583" s="1"/>
    </x:row>
    <x:row r="1584" ht="22" customHeight="1">
      <x:c r="A1584" s="36" t="str">
        <x:v>M1577</x:v>
      </x:c>
      <x:c r="B1584" s="36" t="str">
        <x:v>AR01</x:v>
      </x:c>
      <x:c r="C1584" s="36" t="str">
        <x:v>T6</x:v>
      </x:c>
      <x:c r="D1584" s="36" t="str">
        <x:v>L02</x:v>
      </x:c>
      <x:c r="E1584" s="36" t="str">
        <x:v>Partition walls gross</x:v>
      </x:c>
      <x:c r="F1584" s="37" t="n">
        <x:v>1</x:v>
      </x:c>
      <x:c r="G1584" s="37" t="n">
        <x:f>'Controls'!$B$45</x:f>
        <x:v>220</x:v>
      </x:c>
      <x:c r="H1584" s="37" t="n">
        <x:f>'Controls'!$B$12-'Controls'!$B$13</x:f>
        <x:v>2.98</x:v>
      </x:c>
      <x:c r="I1584" s="37" t="n">
        <x:f>'Controls'!$B$46</x:f>
        <x:v>0.15</x:v>
      </x:c>
      <x:c r="J1584" s="37" t="n">
        <x:v>1</x:v>
      </x:c>
      <x:c r="K1584" s="37" t="n">
        <x:f>F1584*G1584*H1584*I1584*J1584</x:f>
        <x:v>98.34</x:v>
      </x:c>
      <x:c r="L1584" s="36" t="str">
        <x:v>Net openings deducted below</x:v>
      </x:c>
      <x:c r="M1584" s="1"/>
      <x:c r="N1584" s="1"/>
      <x:c r="O1584" s="1"/>
      <x:c r="P1584" s="1"/>
      <x:c r="Q1584" s="1"/>
    </x:row>
    <x:row r="1585" ht="22" customHeight="1">
      <x:c r="A1585" s="1" t="str">
        <x:v>M1578</x:v>
      </x:c>
      <x:c r="B1585" s="1" t="str">
        <x:v>AR01</x:v>
      </x:c>
      <x:c r="C1585" s="1" t="str">
        <x:v>T6</x:v>
      </x:c>
      <x:c r="D1585" s="1" t="str">
        <x:v>L02</x:v>
      </x:c>
      <x:c r="E1585" s="1" t="str">
        <x:v>Internal doors deduction</x:v>
      </x:c>
      <x:c r="F1585" s="35" t="n">
        <x:f>'Controls'!$B$48</x:f>
        <x:v>28</x:v>
      </x:c>
      <x:c r="G1585" s="35" t="n">
        <x:f>'Controls'!$B$49</x:f>
        <x:v>0.9</x:v>
      </x:c>
      <x:c r="H1585" s="35" t="n">
        <x:f>'Controls'!$B$50</x:f>
        <x:v>2.1</x:v>
      </x:c>
      <x:c r="I1585" s="35" t="n">
        <x:f>'Controls'!$B$46</x:f>
        <x:v>0.15</x:v>
      </x:c>
      <x:c r="J1585" s="35" t="n">
        <x:v>-1</x:v>
      </x:c>
      <x:c r="K1585" s="35" t="n">
        <x:f>F1585*G1585*H1585*I1585*J1585</x:f>
        <x:v>-7.938</x:v>
      </x:c>
      <x:c r="L1585" s="1" t="str">
        <x:v>28 doors per floor, OP-02</x:v>
      </x:c>
      <x:c r="M1585" s="1"/>
      <x:c r="N1585" s="1"/>
      <x:c r="O1585" s="1"/>
      <x:c r="P1585" s="1"/>
      <x:c r="Q1585" s="1"/>
    </x:row>
    <x:row r="1586" ht="22" customHeight="1">
      <x:c r="A1586" s="36" t="str">
        <x:v>M1579</x:v>
      </x:c>
      <x:c r="B1586" s="36" t="str">
        <x:v>AR02</x:v>
      </x:c>
      <x:c r="C1586" s="36" t="str">
        <x:v>T6</x:v>
      </x:c>
      <x:c r="D1586" s="36" t="str">
        <x:v>L02</x:v>
      </x:c>
      <x:c r="E1586" s="36" t="str">
        <x:v>Internal plaster gross</x:v>
      </x:c>
      <x:c r="F1586" s="37" t="n">
        <x:v>2</x:v>
      </x:c>
      <x:c r="G1586" s="37" t="n">
        <x:f>'Controls'!$B$45</x:f>
        <x:v>220</x:v>
      </x:c>
      <x:c r="H1586" s="37" t="n">
        <x:f>'Controls'!$B$12-'Controls'!$B$13</x:f>
        <x:v>2.98</x:v>
      </x:c>
      <x:c r="I1586" s="37" t="n">
        <x:v>1</x:v>
      </x:c>
      <x:c r="J1586" s="37" t="n">
        <x:v>1</x:v>
      </x:c>
      <x:c r="K1586" s="37" t="n">
        <x:f>F1586*G1586*H1586*I1586*J1586</x:f>
        <x:v>1311.2</x:v>
      </x:c>
      <x:c r="L1586" s="36" t="str">
        <x:v>Both faces of partition walls</x:v>
      </x:c>
      <x:c r="M1586" s="1"/>
      <x:c r="N1586" s="1"/>
      <x:c r="O1586" s="1"/>
      <x:c r="P1586" s="1"/>
      <x:c r="Q1586" s="1"/>
    </x:row>
    <x:row r="1587" ht="22" customHeight="1">
      <x:c r="A1587" s="1" t="str">
        <x:v>M1580</x:v>
      </x:c>
      <x:c r="B1587" s="1" t="str">
        <x:v>AR02</x:v>
      </x:c>
      <x:c r="C1587" s="1" t="str">
        <x:v>T6</x:v>
      </x:c>
      <x:c r="D1587" s="1" t="str">
        <x:v>L02</x:v>
      </x:c>
      <x:c r="E1587" s="1" t="str">
        <x:v>Door area deduction both faces</x:v>
      </x:c>
      <x:c r="F1587" s="35" t="n">
        <x:f>2*'Controls'!$B$48</x:f>
        <x:v>56</x:v>
      </x:c>
      <x:c r="G1587" s="35" t="n">
        <x:f>'Controls'!$B$49</x:f>
        <x:v>0.9</x:v>
      </x:c>
      <x:c r="H1587" s="35" t="n">
        <x:f>'Controls'!$B$50</x:f>
        <x:v>2.1</x:v>
      </x:c>
      <x:c r="I1587" s="35" t="n">
        <x:v>1</x:v>
      </x:c>
      <x:c r="J1587" s="35" t="n">
        <x:v>-1</x:v>
      </x:c>
      <x:c r="K1587" s="35" t="n">
        <x:f>F1587*G1587*H1587*I1587*J1587</x:f>
        <x:v>-105.84</x:v>
      </x:c>
      <x:c r="L1587" s="1" t="str">
        <x:v>No plaster over openings</x:v>
      </x:c>
      <x:c r="M1587" s="1"/>
      <x:c r="N1587" s="1"/>
      <x:c r="O1587" s="1"/>
      <x:c r="P1587" s="1"/>
      <x:c r="Q1587" s="1"/>
    </x:row>
    <x:row r="1588" ht="22" customHeight="1">
      <x:c r="A1588" s="36" t="str">
        <x:v>M1581</x:v>
      </x:c>
      <x:c r="B1588" s="36" t="str">
        <x:v>AR03</x:v>
      </x:c>
      <x:c r="C1588" s="36" t="str">
        <x:v>T6</x:v>
      </x:c>
      <x:c r="D1588" s="36" t="str">
        <x:v>L02</x:v>
      </x:c>
      <x:c r="E1588" s="36" t="str">
        <x:v>Floor screed net</x:v>
      </x:c>
      <x:c r="F1588" s="37" t="n">
        <x:v>1</x:v>
      </x:c>
      <x:c r="G1588" s="37" t="n">
        <x:f>'Controls'!$B$10*'Controls'!$B$11-'Controls'!$B$20*'Controls'!$B$21</x:f>
        <x:v>696</x:v>
      </x:c>
      <x:c r="H1588" s="37" t="n">
        <x:v>1</x:v>
      </x:c>
      <x:c r="I1588" s="37" t="n">
        <x:v>1</x:v>
      </x:c>
      <x:c r="J1588" s="37" t="n">
        <x:v>1</x:v>
      </x:c>
      <x:c r="K1588" s="37" t="n">
        <x:f>F1588*G1588*H1588*I1588*J1588</x:f>
        <x:v>696</x:v>
      </x:c>
      <x:c r="L1588" s="36" t="str">
        <x:v>Net structural floor area</x:v>
      </x:c>
      <x:c r="M1588" s="1"/>
      <x:c r="N1588" s="1"/>
      <x:c r="O1588" s="1"/>
      <x:c r="P1588" s="1"/>
      <x:c r="Q1588" s="1"/>
    </x:row>
    <x:row r="1589" ht="22" customHeight="1">
      <x:c r="A1589" s="1" t="str">
        <x:v>M1582</x:v>
      </x:c>
      <x:c r="B1589" s="1" t="str">
        <x:v>AR04</x:v>
      </x:c>
      <x:c r="C1589" s="1" t="str">
        <x:v>T6</x:v>
      </x:c>
      <x:c r="D1589" s="1" t="str">
        <x:v>L02</x:v>
      </x:c>
      <x:c r="E1589" s="1" t="str">
        <x:v>Floor finish net</x:v>
      </x:c>
      <x:c r="F1589" s="35" t="n">
        <x:v>1</x:v>
      </x:c>
      <x:c r="G1589" s="35" t="n">
        <x:f>'Controls'!$B$10*'Controls'!$B$11-'Controls'!$B$20*'Controls'!$B$21</x:f>
        <x:v>696</x:v>
      </x:c>
      <x:c r="H1589" s="35" t="n">
        <x:v>1</x:v>
      </x:c>
      <x:c r="I1589" s="35" t="n">
        <x:v>1</x:v>
      </x:c>
      <x:c r="J1589" s="35" t="n">
        <x:v>1</x:v>
      </x:c>
      <x:c r="K1589" s="35" t="n">
        <x:f>F1589*G1589*H1589*I1589*J1589</x:f>
        <x:v>696</x:v>
      </x:c>
      <x:c r="L1589" s="1" t="str">
        <x:v>Waste excluded from BOQ</x:v>
      </x:c>
      <x:c r="M1589" s="1"/>
      <x:c r="N1589" s="1"/>
      <x:c r="O1589" s="1"/>
      <x:c r="P1589" s="1"/>
      <x:c r="Q1589" s="1"/>
    </x:row>
    <x:row r="1590" ht="22" customHeight="1">
      <x:c r="A1590" s="36" t="str">
        <x:v>M1583</x:v>
      </x:c>
      <x:c r="B1590" s="36" t="str">
        <x:v>AR05</x:v>
      </x:c>
      <x:c r="C1590" s="36" t="str">
        <x:v>T6</x:v>
      </x:c>
      <x:c r="D1590" s="36" t="str">
        <x:v>L02</x:v>
      </x:c>
      <x:c r="E1590" s="36" t="str">
        <x:v>Internal wall paint net</x:v>
      </x:c>
      <x:c r="F1590" s="37" t="n">
        <x:v>2</x:v>
      </x:c>
      <x:c r="G1590" s="37" t="n">
        <x:f>'Controls'!$B$45*('Controls'!$B$12-'Controls'!$B$13)-'Controls'!$B$48*'Controls'!$B$49*'Controls'!$B$50</x:f>
        <x:v>602.6800000000001</x:v>
      </x:c>
      <x:c r="H1590" s="37" t="n">
        <x:v>1</x:v>
      </x:c>
      <x:c r="I1590" s="37" t="n">
        <x:v>1</x:v>
      </x:c>
      <x:c r="J1590" s="37" t="n">
        <x:v>1</x:v>
      </x:c>
      <x:c r="K1590" s="37" t="n">
        <x:f>F1590*G1590*H1590*I1590*J1590</x:f>
        <x:v>1205.3600000000001</x:v>
      </x:c>
      <x:c r="L1590" s="36" t="str">
        <x:v>Finished area; two coats priced in rate</x:v>
      </x:c>
      <x:c r="M1590" s="1"/>
      <x:c r="N1590" s="1"/>
      <x:c r="O1590" s="1"/>
      <x:c r="P1590" s="1"/>
      <x:c r="Q1590" s="1"/>
    </x:row>
    <x:row r="1591" ht="22" customHeight="1">
      <x:c r="A1591" s="1" t="str">
        <x:v>M1584</x:v>
      </x:c>
      <x:c r="B1591" s="1" t="str">
        <x:v>AR06</x:v>
      </x:c>
      <x:c r="C1591" s="1" t="str">
        <x:v>T6</x:v>
      </x:c>
      <x:c r="D1591" s="1" t="str">
        <x:v>L02</x:v>
      </x:c>
      <x:c r="E1591" s="1" t="str">
        <x:v>Door sets</x:v>
      </x:c>
      <x:c r="F1591" s="35" t="n">
        <x:f>'Controls'!$B$48</x:f>
        <x:v>28</x:v>
      </x:c>
      <x:c r="G1591" s="35" t="n">
        <x:v>1</x:v>
      </x:c>
      <x:c r="H1591" s="35" t="n">
        <x:v>1</x:v>
      </x:c>
      <x:c r="I1591" s="35" t="n">
        <x:v>1</x:v>
      </x:c>
      <x:c r="J1591" s="35" t="n">
        <x:v>1</x:v>
      </x:c>
      <x:c r="K1591" s="35" t="n">
        <x:f>F1591*G1591*H1591*I1591*J1591</x:f>
        <x:v>28</x:v>
      </x:c>
      <x:c r="L1591" s="1" t="str">
        <x:v>Door count, not double face</x:v>
      </x:c>
      <x:c r="M1591" s="1"/>
      <x:c r="N1591" s="1"/>
      <x:c r="O1591" s="1"/>
      <x:c r="P1591" s="1"/>
      <x:c r="Q1591" s="1"/>
    </x:row>
    <x:row r="1592" ht="22" customHeight="1">
      <x:c r="A1592" s="36" t="str">
        <x:v>M1585</x:v>
      </x:c>
      <x:c r="B1592" s="36" t="str">
        <x:v>RC03</x:v>
      </x:c>
      <x:c r="C1592" s="36" t="str">
        <x:v>T6</x:v>
      </x:c>
      <x:c r="D1592" s="36" t="str">
        <x:v>L03</x:v>
      </x:c>
      <x:c r="E1592" s="36" t="str">
        <x:v>Floor slab gross</x:v>
      </x:c>
      <x:c r="F1592" s="37" t="n">
        <x:v>1</x:v>
      </x:c>
      <x:c r="G1592" s="37" t="n">
        <x:f>'Controls'!$B$10</x:f>
        <x:v>30</x:v>
      </x:c>
      <x:c r="H1592" s="37" t="n">
        <x:f>'Controls'!$B$11</x:f>
        <x:v>24</x:v>
      </x:c>
      <x:c r="I1592" s="37" t="n">
        <x:f>'Controls'!$B$13</x:f>
        <x:v>0.22</x:v>
      </x:c>
      <x:c r="J1592" s="37" t="n">
        <x:v>1</x:v>
      </x:c>
      <x:c r="K1592" s="37" t="n">
        <x:f>F1592*G1592*H1592*I1592*J1592</x:f>
        <x:v>158.4</x:v>
      </x:c>
      <x:c r="L1592" s="36" t="str">
        <x:v>Slab includes beam top flange; downstand separate</x:v>
      </x:c>
      <x:c r="M1592" s="1"/>
      <x:c r="N1592" s="1"/>
      <x:c r="O1592" s="1"/>
      <x:c r="P1592" s="1"/>
      <x:c r="Q1592" s="1"/>
    </x:row>
    <x:row r="1593" ht="22" customHeight="1">
      <x:c r="A1593" s="1" t="str">
        <x:v>M1586</x:v>
      </x:c>
      <x:c r="B1593" s="1" t="str">
        <x:v>RC03</x:v>
      </x:c>
      <x:c r="C1593" s="1" t="str">
        <x:v>T6</x:v>
      </x:c>
      <x:c r="D1593" s="1" t="str">
        <x:v>L03</x:v>
      </x:c>
      <x:c r="E1593" s="1" t="str">
        <x:v>Stair opening deduction</x:v>
      </x:c>
      <x:c r="F1593" s="35" t="n">
        <x:v>1</x:v>
      </x:c>
      <x:c r="G1593" s="35" t="n">
        <x:f>'Controls'!$B$20</x:f>
        <x:v>4</x:v>
      </x:c>
      <x:c r="H1593" s="35" t="n">
        <x:f>'Controls'!$B$21</x:f>
        <x:v>6</x:v>
      </x:c>
      <x:c r="I1593" s="35" t="n">
        <x:f>'Controls'!$B$13</x:f>
        <x:v>0.22</x:v>
      </x:c>
      <x:c r="J1593" s="35" t="n">
        <x:v>-1</x:v>
      </x:c>
      <x:c r="K1593" s="35" t="n">
        <x:f>F1593*G1593*H1593*I1593*J1593</x:f>
        <x:v>-5.28</x:v>
      </x:c>
      <x:c r="L1593" s="1" t="str">
        <x:v>Opening OP-01</x:v>
      </x:c>
      <x:c r="M1593" s="1"/>
      <x:c r="N1593" s="1"/>
      <x:c r="O1593" s="1"/>
      <x:c r="P1593" s="1"/>
      <x:c r="Q1593" s="1"/>
    </x:row>
    <x:row r="1594" ht="22" customHeight="1">
      <x:c r="A1594" s="36" t="str">
        <x:v>M1587</x:v>
      </x:c>
      <x:c r="B1594" s="36" t="str">
        <x:v>RC04</x:v>
      </x:c>
      <x:c r="C1594" s="36" t="str">
        <x:v>T6</x:v>
      </x:c>
      <x:c r="D1594" s="36" t="str">
        <x:v>L03</x:v>
      </x:c>
      <x:c r="E1594" s="36" t="str">
        <x:v>Beam downstands X</x:v>
      </x:c>
      <x:c r="F1594" s="37" t="n">
        <x:v>1</x:v>
      </x:c>
      <x:c r="G1594" s="37" t="n">
        <x:f>5*5*('Controls'!$B$10/5-'Controls'!$B$14)</x:f>
        <x:v>137.5</x:v>
      </x:c>
      <x:c r="H1594" s="37" t="n">
        <x:f>'Controls'!$B$16</x:f>
        <x:v>0.3</x:v>
      </x:c>
      <x:c r="I1594" s="37" t="n">
        <x:f>'Controls'!$B$17-'Controls'!$B$13</x:f>
        <x:v>0.38</x:v>
      </x:c>
      <x:c r="J1594" s="37" t="n">
        <x:v>1</x:v>
      </x:c>
      <x:c r="K1594" s="37" t="n">
        <x:f>F1594*G1594*H1594*I1594*J1594</x:f>
        <x:v>15.675</x:v>
      </x:c>
      <x:c r="L1594" s="36" t="str">
        <x:v>Clear spans between column faces; no joint overlap</x:v>
      </x:c>
      <x:c r="M1594" s="1"/>
      <x:c r="N1594" s="1"/>
      <x:c r="O1594" s="1"/>
      <x:c r="P1594" s="1"/>
      <x:c r="Q1594" s="1"/>
    </x:row>
    <x:row r="1595" ht="22" customHeight="1">
      <x:c r="A1595" s="1" t="str">
        <x:v>M1588</x:v>
      </x:c>
      <x:c r="B1595" s="1" t="str">
        <x:v>FW02</x:v>
      </x:c>
      <x:c r="C1595" s="1" t="str">
        <x:v>T6</x:v>
      </x:c>
      <x:c r="D1595" s="1" t="str">
        <x:v>L03</x:v>
      </x:c>
      <x:c r="E1595" s="1" t="str">
        <x:v>Beam forms X</x:v>
      </x:c>
      <x:c r="F1595" s="35" t="n">
        <x:v>1</x:v>
      </x:c>
      <x:c r="G1595" s="35" t="n">
        <x:f>5*5*('Controls'!$B$10/5-'Controls'!$B$14)</x:f>
        <x:v>137.5</x:v>
      </x:c>
      <x:c r="H1595" s="35" t="n">
        <x:f>'Controls'!$B$16+2*('Controls'!$B$17-'Controls'!$B$13)</x:f>
        <x:v>1.06</x:v>
      </x:c>
      <x:c r="I1595" s="35" t="n">
        <x:v>1</x:v>
      </x:c>
      <x:c r="J1595" s="35" t="n">
        <x:v>1</x:v>
      </x:c>
      <x:c r="K1595" s="35" t="n">
        <x:f>F1595*G1595*H1595*I1595*J1595</x:f>
        <x:v>145.75</x:v>
      </x:c>
      <x:c r="L1595" s="1" t="str">
        <x:v>Soffit plus two downstand sides</x:v>
      </x:c>
      <x:c r="M1595" s="1"/>
      <x:c r="N1595" s="1"/>
      <x:c r="O1595" s="1"/>
      <x:c r="P1595" s="1"/>
      <x:c r="Q1595" s="1"/>
    </x:row>
    <x:row r="1596" ht="22" customHeight="1">
      <x:c r="A1596" s="36" t="str">
        <x:v>M1589</x:v>
      </x:c>
      <x:c r="B1596" s="36" t="str">
        <x:v>RC04</x:v>
      </x:c>
      <x:c r="C1596" s="36" t="str">
        <x:v>T6</x:v>
      </x:c>
      <x:c r="D1596" s="36" t="str">
        <x:v>L03</x:v>
      </x:c>
      <x:c r="E1596" s="36" t="str">
        <x:v>Beam downstands Y</x:v>
      </x:c>
      <x:c r="F1596" s="37" t="n">
        <x:v>1</x:v>
      </x:c>
      <x:c r="G1596" s="37" t="n">
        <x:f>6*4*('Controls'!$B$11/4-'Controls'!$B$15)</x:f>
        <x:v>132</x:v>
      </x:c>
      <x:c r="H1596" s="37" t="n">
        <x:f>'Controls'!$B$16</x:f>
        <x:v>0.3</x:v>
      </x:c>
      <x:c r="I1596" s="37" t="n">
        <x:f>'Controls'!$B$17-'Controls'!$B$13</x:f>
        <x:v>0.38</x:v>
      </x:c>
      <x:c r="J1596" s="37" t="n">
        <x:v>1</x:v>
      </x:c>
      <x:c r="K1596" s="37" t="n">
        <x:f>F1596*G1596*H1596*I1596*J1596</x:f>
        <x:v>15.048</x:v>
      </x:c>
      <x:c r="L1596" s="36" t="str">
        <x:v>Clear spans between column faces; no joint overlap</x:v>
      </x:c>
      <x:c r="M1596" s="1"/>
      <x:c r="N1596" s="1"/>
      <x:c r="O1596" s="1"/>
      <x:c r="P1596" s="1"/>
      <x:c r="Q1596" s="1"/>
    </x:row>
    <x:row r="1597" ht="22" customHeight="1">
      <x:c r="A1597" s="1" t="str">
        <x:v>M1590</x:v>
      </x:c>
      <x:c r="B1597" s="1" t="str">
        <x:v>FW02</x:v>
      </x:c>
      <x:c r="C1597" s="1" t="str">
        <x:v>T6</x:v>
      </x:c>
      <x:c r="D1597" s="1" t="str">
        <x:v>L03</x:v>
      </x:c>
      <x:c r="E1597" s="1" t="str">
        <x:v>Beam forms Y</x:v>
      </x:c>
      <x:c r="F1597" s="35" t="n">
        <x:v>1</x:v>
      </x:c>
      <x:c r="G1597" s="35" t="n">
        <x:f>6*4*('Controls'!$B$11/4-'Controls'!$B$15)</x:f>
        <x:v>132</x:v>
      </x:c>
      <x:c r="H1597" s="35" t="n">
        <x:f>'Controls'!$B$16+2*('Controls'!$B$17-'Controls'!$B$13)</x:f>
        <x:v>1.06</x:v>
      </x:c>
      <x:c r="I1597" s="35" t="n">
        <x:v>1</x:v>
      </x:c>
      <x:c r="J1597" s="35" t="n">
        <x:v>1</x:v>
      </x:c>
      <x:c r="K1597" s="35" t="n">
        <x:f>F1597*G1597*H1597*I1597*J1597</x:f>
        <x:v>139.92000000000002</x:v>
      </x:c>
      <x:c r="L1597" s="1" t="str">
        <x:v>Soffit plus two downstand sides</x:v>
      </x:c>
      <x:c r="M1597" s="1"/>
      <x:c r="N1597" s="1"/>
      <x:c r="O1597" s="1"/>
      <x:c r="P1597" s="1"/>
      <x:c r="Q1597" s="1"/>
    </x:row>
    <x:row r="1598" ht="22" customHeight="1">
      <x:c r="A1598" s="36" t="str">
        <x:v>M1591</x:v>
      </x:c>
      <x:c r="B1598" s="36" t="str">
        <x:v>RC05</x:v>
      </x:c>
      <x:c r="C1598" s="36" t="str">
        <x:v>T6</x:v>
      </x:c>
      <x:c r="D1598" s="36" t="str">
        <x:v>L03</x:v>
      </x:c>
      <x:c r="E1598" s="36" t="str">
        <x:v>Thirty columns, clear storey</x:v>
      </x:c>
      <x:c r="F1598" s="37" t="n">
        <x:v>30</x:v>
      </x:c>
      <x:c r="G1598" s="37" t="n">
        <x:f>'Controls'!$B$14</x:f>
        <x:v>0.5</x:v>
      </x:c>
      <x:c r="H1598" s="37" t="n">
        <x:f>'Controls'!$B$15</x:f>
        <x:v>0.5</x:v>
      </x:c>
      <x:c r="I1598" s="37" t="n">
        <x:f>'Controls'!$B$12-'Controls'!$B$13</x:f>
        <x:v>2.98</x:v>
      </x:c>
      <x:c r="J1598" s="37" t="n">
        <x:v>1</x:v>
      </x:c>
      <x:c r="K1598" s="37" t="n">
        <x:f>F1598*G1598*H1598*I1598*J1598</x:f>
        <x:v>22.35</x:v>
      </x:c>
      <x:c r="L1598" s="36" t="str">
        <x:v>Slab volume excluded from columns</x:v>
      </x:c>
      <x:c r="M1598" s="1"/>
      <x:c r="N1598" s="1"/>
      <x:c r="O1598" s="1"/>
      <x:c r="P1598" s="1"/>
      <x:c r="Q1598" s="1"/>
    </x:row>
    <x:row r="1599" ht="22" customHeight="1">
      <x:c r="A1599" s="1" t="str">
        <x:v>M1592</x:v>
      </x:c>
      <x:c r="B1599" s="1" t="str">
        <x:v>RC06</x:v>
      </x:c>
      <x:c r="C1599" s="1" t="str">
        <x:v>T6</x:v>
      </x:c>
      <x:c r="D1599" s="1" t="str">
        <x:v>L03</x:v>
      </x:c>
      <x:c r="E1599" s="1" t="str">
        <x:v>Core walls clear storey</x:v>
      </x:c>
      <x:c r="F1599" s="35" t="n">
        <x:v>1</x:v>
      </x:c>
      <x:c r="G1599" s="35" t="n">
        <x:f>'Controls'!$B$19</x:f>
        <x:v>24</x:v>
      </x:c>
      <x:c r="H1599" s="35" t="n">
        <x:f>'Controls'!$B$18</x:f>
        <x:v>0.25</x:v>
      </x:c>
      <x:c r="I1599" s="35" t="n">
        <x:f>'Controls'!$B$12-'Controls'!$B$13</x:f>
        <x:v>2.98</x:v>
      </x:c>
      <x:c r="J1599" s="35" t="n">
        <x:v>1</x:v>
      </x:c>
      <x:c r="K1599" s="35" t="n">
        <x:f>F1599*G1599*H1599*I1599*J1599</x:f>
        <x:v>17.88</x:v>
      </x:c>
      <x:c r="L1599" s="1" t="str">
        <x:v>Net clear wall length excludes corners</x:v>
      </x:c>
      <x:c r="M1599" s="1"/>
      <x:c r="N1599" s="1"/>
      <x:c r="O1599" s="1"/>
      <x:c r="P1599" s="1"/>
      <x:c r="Q1599" s="1"/>
    </x:row>
    <x:row r="1600" ht="22" customHeight="1">
      <x:c r="A1600" s="36" t="str">
        <x:v>M1593</x:v>
      </x:c>
      <x:c r="B1600" s="36" t="str">
        <x:v>RC07</x:v>
      </x:c>
      <x:c r="C1600" s="36" t="str">
        <x:v>T6</x:v>
      </x:c>
      <x:c r="D1600" s="36" t="str">
        <x:v>L03</x:v>
      </x:c>
      <x:c r="E1600" s="36" t="str">
        <x:v>Stair flights waist</x:v>
      </x:c>
      <x:c r="F1600" s="37" t="n">
        <x:v>2</x:v>
      </x:c>
      <x:c r="G1600" s="37" t="n">
        <x:v>4.1</x:v>
      </x:c>
      <x:c r="H1600" s="37" t="n">
        <x:v>1.2</x:v>
      </x:c>
      <x:c r="I1600" s="37" t="n">
        <x:v>0.18</x:v>
      </x:c>
      <x:c r="J1600" s="37" t="n">
        <x:v>1</x:v>
      </x:c>
      <x:c r="K1600" s="37" t="n">
        <x:f>F1600*G1600*H1600*I1600*J1600</x:f>
        <x:v>1.7711999999999997</x:v>
      </x:c>
      <x:c r="L1600" s="36" t="str">
        <x:v>Two flights; geometry separate from floor slab</x:v>
      </x:c>
      <x:c r="M1600" s="1"/>
      <x:c r="N1600" s="1"/>
      <x:c r="O1600" s="1"/>
      <x:c r="P1600" s="1"/>
      <x:c r="Q1600" s="1"/>
    </x:row>
    <x:row r="1601" ht="22" customHeight="1">
      <x:c r="A1601" s="1" t="str">
        <x:v>M1594</x:v>
      </x:c>
      <x:c r="B1601" s="1" t="str">
        <x:v>RC07</x:v>
      </x:c>
      <x:c r="C1601" s="1" t="str">
        <x:v>T6</x:v>
      </x:c>
      <x:c r="D1601" s="1" t="str">
        <x:v>L03</x:v>
      </x:c>
      <x:c r="E1601" s="1" t="str">
        <x:v>Stair landings</x:v>
      </x:c>
      <x:c r="F1601" s="35" t="n">
        <x:v>2</x:v>
      </x:c>
      <x:c r="G1601" s="35" t="n">
        <x:v>2</x:v>
      </x:c>
      <x:c r="H1601" s="35" t="n">
        <x:v>1.2</x:v>
      </x:c>
      <x:c r="I1601" s="35" t="n">
        <x:v>0.18</x:v>
      </x:c>
      <x:c r="J1601" s="35" t="n">
        <x:v>1</x:v>
      </x:c>
      <x:c r="K1601" s="35" t="n">
        <x:f>F1601*G1601*H1601*I1601*J1601</x:f>
        <x:v>0.864</x:v>
      </x:c>
      <x:c r="L1601" s="1" t="str">
        <x:v>Within stair opening</x:v>
      </x:c>
      <x:c r="M1601" s="1"/>
      <x:c r="N1601" s="1"/>
      <x:c r="O1601" s="1"/>
      <x:c r="P1601" s="1"/>
      <x:c r="Q1601" s="1"/>
    </x:row>
    <x:row r="1602" ht="22" customHeight="1">
      <x:c r="A1602" s="36" t="str">
        <x:v>M1595</x:v>
      </x:c>
      <x:c r="B1602" s="36" t="str">
        <x:v>FW01</x:v>
      </x:c>
      <x:c r="C1602" s="36" t="str">
        <x:v>T6</x:v>
      </x:c>
      <x:c r="D1602" s="36" t="str">
        <x:v>L03</x:v>
      </x:c>
      <x:c r="E1602" s="36" t="str">
        <x:v>Slab soffit gross</x:v>
      </x:c>
      <x:c r="F1602" s="37" t="n">
        <x:v>1</x:v>
      </x:c>
      <x:c r="G1602" s="37" t="n">
        <x:f>'Controls'!$B$10</x:f>
        <x:v>30</x:v>
      </x:c>
      <x:c r="H1602" s="37" t="n">
        <x:f>'Controls'!$B$11</x:f>
        <x:v>24</x:v>
      </x:c>
      <x:c r="I1602" s="37" t="n">
        <x:v>1</x:v>
      </x:c>
      <x:c r="J1602" s="37" t="n">
        <x:v>1</x:v>
      </x:c>
      <x:c r="K1602" s="37" t="n">
        <x:f>F1602*G1602*H1602*I1602*J1602</x:f>
        <x:v>720</x:v>
      </x:c>
      <x:c r="L1602" s="36" t="str">
        <x:v>Beam soffit deducted below</x:v>
      </x:c>
      <x:c r="M1602" s="1"/>
      <x:c r="N1602" s="1"/>
      <x:c r="O1602" s="1"/>
      <x:c r="P1602" s="1"/>
      <x:c r="Q1602" s="1"/>
    </x:row>
    <x:row r="1603" ht="22" customHeight="1">
      <x:c r="A1603" s="1" t="str">
        <x:v>M1596</x:v>
      </x:c>
      <x:c r="B1603" s="1" t="str">
        <x:v>FW01</x:v>
      </x:c>
      <x:c r="C1603" s="1" t="str">
        <x:v>T6</x:v>
      </x:c>
      <x:c r="D1603" s="1" t="str">
        <x:v>L03</x:v>
      </x:c>
      <x:c r="E1603" s="1" t="str">
        <x:v>Stair opening deduction</x:v>
      </x:c>
      <x:c r="F1603" s="35" t="n">
        <x:v>1</x:v>
      </x:c>
      <x:c r="G1603" s="35" t="n">
        <x:f>'Controls'!$B$20</x:f>
        <x:v>4</x:v>
      </x:c>
      <x:c r="H1603" s="35" t="n">
        <x:f>'Controls'!$B$21</x:f>
        <x:v>6</x:v>
      </x:c>
      <x:c r="I1603" s="35" t="n">
        <x:v>1</x:v>
      </x:c>
      <x:c r="J1603" s="35" t="n">
        <x:v>-1</x:v>
      </x:c>
      <x:c r="K1603" s="35" t="n">
        <x:f>F1603*G1603*H1603*I1603*J1603</x:f>
        <x:v>-24</x:v>
      </x:c>
      <x:c r="L1603" s="1" t="str">
        <x:v>OP-01</x:v>
      </x:c>
      <x:c r="M1603" s="1"/>
      <x:c r="N1603" s="1"/>
      <x:c r="O1603" s="1"/>
      <x:c r="P1603" s="1"/>
      <x:c r="Q1603" s="1"/>
    </x:row>
    <x:row r="1604" ht="22" customHeight="1">
      <x:c r="A1604" s="36" t="str">
        <x:v>M1597</x:v>
      </x:c>
      <x:c r="B1604" s="36" t="str">
        <x:v>FW01</x:v>
      </x:c>
      <x:c r="C1604" s="36" t="str">
        <x:v>T6</x:v>
      </x:c>
      <x:c r="D1604" s="36" t="str">
        <x:v>L03</x:v>
      </x:c>
      <x:c r="E1604" s="36" t="str">
        <x:v>Beam soffit deduction</x:v>
      </x:c>
      <x:c r="F1604" s="37" t="n">
        <x:v>1</x:v>
      </x:c>
      <x:c r="G1604" s="37" t="n">
        <x:f>5*5*('Controls'!$B$10/5-'Controls'!$B$14)+6*4*('Controls'!$B$11/4-'Controls'!$B$15)</x:f>
        <x:v>269.5</x:v>
      </x:c>
      <x:c r="H1604" s="37" t="n">
        <x:f>'Controls'!$B$16</x:f>
        <x:v>0.3</x:v>
      </x:c>
      <x:c r="I1604" s="37" t="n">
        <x:v>1</x:v>
      </x:c>
      <x:c r="J1604" s="37" t="n">
        <x:v>-1</x:v>
      </x:c>
      <x:c r="K1604" s="37" t="n">
        <x:f>F1604*G1604*H1604*I1604*J1604</x:f>
        <x:v>-80.85</x:v>
      </x:c>
      <x:c r="L1604" s="36" t="str">
        <x:v>Beam forms measured in FW02</x:v>
      </x:c>
      <x:c r="M1604" s="1"/>
      <x:c r="N1604" s="1"/>
      <x:c r="O1604" s="1"/>
      <x:c r="P1604" s="1"/>
      <x:c r="Q1604" s="1"/>
    </x:row>
    <x:row r="1605" ht="22" customHeight="1">
      <x:c r="A1605" s="1" t="str">
        <x:v>M1598</x:v>
      </x:c>
      <x:c r="B1605" s="1" t="str">
        <x:v>FW03</x:v>
      </x:c>
      <x:c r="C1605" s="1" t="str">
        <x:v>T6</x:v>
      </x:c>
      <x:c r="D1605" s="1" t="str">
        <x:v>L03</x:v>
      </x:c>
      <x:c r="E1605" s="1" t="str">
        <x:v>Column four faces</x:v>
      </x:c>
      <x:c r="F1605" s="35" t="n">
        <x:v>30</x:v>
      </x:c>
      <x:c r="G1605" s="35" t="n">
        <x:f>2*('Controls'!$B$14+'Controls'!$B$15)</x:f>
        <x:v>2</x:v>
      </x:c>
      <x:c r="H1605" s="35" t="n">
        <x:f>'Controls'!$B$12-'Controls'!$B$13</x:f>
        <x:v>2.98</x:v>
      </x:c>
      <x:c r="I1605" s="35" t="n">
        <x:v>1</x:v>
      </x:c>
      <x:c r="J1605" s="35" t="n">
        <x:v>1</x:v>
      </x:c>
      <x:c r="K1605" s="35" t="n">
        <x:f>F1605*G1605*H1605*I1605*J1605</x:f>
        <x:v>178.8</x:v>
      </x:c>
      <x:c r="L1605" s="1" t="str">
        <x:v>Clear floor-to-soffit</x:v>
      </x:c>
      <x:c r="M1605" s="1"/>
      <x:c r="N1605" s="1"/>
      <x:c r="O1605" s="1"/>
      <x:c r="P1605" s="1"/>
      <x:c r="Q1605" s="1"/>
    </x:row>
    <x:row r="1606" ht="22" customHeight="1">
      <x:c r="A1606" s="36" t="str">
        <x:v>M1599</x:v>
      </x:c>
      <x:c r="B1606" s="36" t="str">
        <x:v>FW04</x:v>
      </x:c>
      <x:c r="C1606" s="36" t="str">
        <x:v>T6</x:v>
      </x:c>
      <x:c r="D1606" s="36" t="str">
        <x:v>L03</x:v>
      </x:c>
      <x:c r="E1606" s="36" t="str">
        <x:v>Core wall two faces</x:v>
      </x:c>
      <x:c r="F1606" s="37" t="n">
        <x:v>2</x:v>
      </x:c>
      <x:c r="G1606" s="37" t="n">
        <x:f>'Controls'!$B$19</x:f>
        <x:v>24</x:v>
      </x:c>
      <x:c r="H1606" s="37" t="n">
        <x:f>'Controls'!$B$12-'Controls'!$B$13</x:f>
        <x:v>2.98</x:v>
      </x:c>
      <x:c r="I1606" s="37" t="n">
        <x:v>1</x:v>
      </x:c>
      <x:c r="J1606" s="37" t="n">
        <x:v>1</x:v>
      </x:c>
      <x:c r="K1606" s="37" t="n">
        <x:f>F1606*G1606*H1606*I1606*J1606</x:f>
        <x:v>143.04</x:v>
      </x:c>
      <x:c r="L1606" s="36" t="str">
        <x:v>Net perimeter, no repeated corners</x:v>
      </x:c>
      <x:c r="M1606" s="1"/>
      <x:c r="N1606" s="1"/>
      <x:c r="O1606" s="1"/>
      <x:c r="P1606" s="1"/>
      <x:c r="Q1606" s="1"/>
    </x:row>
    <x:row r="1607" ht="22" customHeight="1">
      <x:c r="A1607" s="1" t="str">
        <x:v>M1600</x:v>
      </x:c>
      <x:c r="B1607" s="1" t="str">
        <x:v>AR01</x:v>
      </x:c>
      <x:c r="C1607" s="1" t="str">
        <x:v>T6</x:v>
      </x:c>
      <x:c r="D1607" s="1" t="str">
        <x:v>L03</x:v>
      </x:c>
      <x:c r="E1607" s="1" t="str">
        <x:v>Partition walls gross</x:v>
      </x:c>
      <x:c r="F1607" s="35" t="n">
        <x:v>1</x:v>
      </x:c>
      <x:c r="G1607" s="35" t="n">
        <x:f>'Controls'!$B$45</x:f>
        <x:v>220</x:v>
      </x:c>
      <x:c r="H1607" s="35" t="n">
        <x:f>'Controls'!$B$12-'Controls'!$B$13</x:f>
        <x:v>2.98</x:v>
      </x:c>
      <x:c r="I1607" s="35" t="n">
        <x:f>'Controls'!$B$46</x:f>
        <x:v>0.15</x:v>
      </x:c>
      <x:c r="J1607" s="35" t="n">
        <x:v>1</x:v>
      </x:c>
      <x:c r="K1607" s="35" t="n">
        <x:f>F1607*G1607*H1607*I1607*J1607</x:f>
        <x:v>98.34</x:v>
      </x:c>
      <x:c r="L1607" s="1" t="str">
        <x:v>Net openings deducted below</x:v>
      </x:c>
      <x:c r="M1607" s="1"/>
      <x:c r="N1607" s="1"/>
      <x:c r="O1607" s="1"/>
      <x:c r="P1607" s="1"/>
      <x:c r="Q1607" s="1"/>
    </x:row>
    <x:row r="1608" ht="22" customHeight="1">
      <x:c r="A1608" s="36" t="str">
        <x:v>M1601</x:v>
      </x:c>
      <x:c r="B1608" s="36" t="str">
        <x:v>AR01</x:v>
      </x:c>
      <x:c r="C1608" s="36" t="str">
        <x:v>T6</x:v>
      </x:c>
      <x:c r="D1608" s="36" t="str">
        <x:v>L03</x:v>
      </x:c>
      <x:c r="E1608" s="36" t="str">
        <x:v>Internal doors deduction</x:v>
      </x:c>
      <x:c r="F1608" s="37" t="n">
        <x:f>'Controls'!$B$48</x:f>
        <x:v>28</x:v>
      </x:c>
      <x:c r="G1608" s="37" t="n">
        <x:f>'Controls'!$B$49</x:f>
        <x:v>0.9</x:v>
      </x:c>
      <x:c r="H1608" s="37" t="n">
        <x:f>'Controls'!$B$50</x:f>
        <x:v>2.1</x:v>
      </x:c>
      <x:c r="I1608" s="37" t="n">
        <x:f>'Controls'!$B$46</x:f>
        <x:v>0.15</x:v>
      </x:c>
      <x:c r="J1608" s="37" t="n">
        <x:v>-1</x:v>
      </x:c>
      <x:c r="K1608" s="37" t="n">
        <x:f>F1608*G1608*H1608*I1608*J1608</x:f>
        <x:v>-7.938</x:v>
      </x:c>
      <x:c r="L1608" s="36" t="str">
        <x:v>28 doors per floor, OP-02</x:v>
      </x:c>
      <x:c r="M1608" s="1"/>
      <x:c r="N1608" s="1"/>
      <x:c r="O1608" s="1"/>
      <x:c r="P1608" s="1"/>
      <x:c r="Q1608" s="1"/>
    </x:row>
    <x:row r="1609" ht="22" customHeight="1">
      <x:c r="A1609" s="1" t="str">
        <x:v>M1602</x:v>
      </x:c>
      <x:c r="B1609" s="1" t="str">
        <x:v>AR02</x:v>
      </x:c>
      <x:c r="C1609" s="1" t="str">
        <x:v>T6</x:v>
      </x:c>
      <x:c r="D1609" s="1" t="str">
        <x:v>L03</x:v>
      </x:c>
      <x:c r="E1609" s="1" t="str">
        <x:v>Internal plaster gross</x:v>
      </x:c>
      <x:c r="F1609" s="35" t="n">
        <x:v>2</x:v>
      </x:c>
      <x:c r="G1609" s="35" t="n">
        <x:f>'Controls'!$B$45</x:f>
        <x:v>220</x:v>
      </x:c>
      <x:c r="H1609" s="35" t="n">
        <x:f>'Controls'!$B$12-'Controls'!$B$13</x:f>
        <x:v>2.98</x:v>
      </x:c>
      <x:c r="I1609" s="35" t="n">
        <x:v>1</x:v>
      </x:c>
      <x:c r="J1609" s="35" t="n">
        <x:v>1</x:v>
      </x:c>
      <x:c r="K1609" s="35" t="n">
        <x:f>F1609*G1609*H1609*I1609*J1609</x:f>
        <x:v>1311.2</x:v>
      </x:c>
      <x:c r="L1609" s="1" t="str">
        <x:v>Both faces of partition walls</x:v>
      </x:c>
      <x:c r="M1609" s="1"/>
      <x:c r="N1609" s="1"/>
      <x:c r="O1609" s="1"/>
      <x:c r="P1609" s="1"/>
      <x:c r="Q1609" s="1"/>
    </x:row>
    <x:row r="1610" ht="22" customHeight="1">
      <x:c r="A1610" s="36" t="str">
        <x:v>M1603</x:v>
      </x:c>
      <x:c r="B1610" s="36" t="str">
        <x:v>AR02</x:v>
      </x:c>
      <x:c r="C1610" s="36" t="str">
        <x:v>T6</x:v>
      </x:c>
      <x:c r="D1610" s="36" t="str">
        <x:v>L03</x:v>
      </x:c>
      <x:c r="E1610" s="36" t="str">
        <x:v>Door area deduction both faces</x:v>
      </x:c>
      <x:c r="F1610" s="37" t="n">
        <x:f>2*'Controls'!$B$48</x:f>
        <x:v>56</x:v>
      </x:c>
      <x:c r="G1610" s="37" t="n">
        <x:f>'Controls'!$B$49</x:f>
        <x:v>0.9</x:v>
      </x:c>
      <x:c r="H1610" s="37" t="n">
        <x:f>'Controls'!$B$50</x:f>
        <x:v>2.1</x:v>
      </x:c>
      <x:c r="I1610" s="37" t="n">
        <x:v>1</x:v>
      </x:c>
      <x:c r="J1610" s="37" t="n">
        <x:v>-1</x:v>
      </x:c>
      <x:c r="K1610" s="37" t="n">
        <x:f>F1610*G1610*H1610*I1610*J1610</x:f>
        <x:v>-105.84</x:v>
      </x:c>
      <x:c r="L1610" s="36" t="str">
        <x:v>No plaster over openings</x:v>
      </x:c>
      <x:c r="M1610" s="1"/>
      <x:c r="N1610" s="1"/>
      <x:c r="O1610" s="1"/>
      <x:c r="P1610" s="1"/>
      <x:c r="Q1610" s="1"/>
    </x:row>
    <x:row r="1611" ht="22" customHeight="1">
      <x:c r="A1611" s="1" t="str">
        <x:v>M1604</x:v>
      </x:c>
      <x:c r="B1611" s="1" t="str">
        <x:v>AR03</x:v>
      </x:c>
      <x:c r="C1611" s="1" t="str">
        <x:v>T6</x:v>
      </x:c>
      <x:c r="D1611" s="1" t="str">
        <x:v>L03</x:v>
      </x:c>
      <x:c r="E1611" s="1" t="str">
        <x:v>Floor screed net</x:v>
      </x:c>
      <x:c r="F1611" s="35" t="n">
        <x:v>1</x:v>
      </x:c>
      <x:c r="G1611" s="35" t="n">
        <x:f>'Controls'!$B$10*'Controls'!$B$11-'Controls'!$B$20*'Controls'!$B$21</x:f>
        <x:v>696</x:v>
      </x:c>
      <x:c r="H1611" s="35" t="n">
        <x:v>1</x:v>
      </x:c>
      <x:c r="I1611" s="35" t="n">
        <x:v>1</x:v>
      </x:c>
      <x:c r="J1611" s="35" t="n">
        <x:v>1</x:v>
      </x:c>
      <x:c r="K1611" s="35" t="n">
        <x:f>F1611*G1611*H1611*I1611*J1611</x:f>
        <x:v>696</x:v>
      </x:c>
      <x:c r="L1611" s="1" t="str">
        <x:v>Net structural floor area</x:v>
      </x:c>
      <x:c r="M1611" s="1"/>
      <x:c r="N1611" s="1"/>
      <x:c r="O1611" s="1"/>
      <x:c r="P1611" s="1"/>
      <x:c r="Q1611" s="1"/>
    </x:row>
    <x:row r="1612" ht="22" customHeight="1">
      <x:c r="A1612" s="36" t="str">
        <x:v>M1605</x:v>
      </x:c>
      <x:c r="B1612" s="36" t="str">
        <x:v>AR04</x:v>
      </x:c>
      <x:c r="C1612" s="36" t="str">
        <x:v>T6</x:v>
      </x:c>
      <x:c r="D1612" s="36" t="str">
        <x:v>L03</x:v>
      </x:c>
      <x:c r="E1612" s="36" t="str">
        <x:v>Floor finish net</x:v>
      </x:c>
      <x:c r="F1612" s="37" t="n">
        <x:v>1</x:v>
      </x:c>
      <x:c r="G1612" s="37" t="n">
        <x:f>'Controls'!$B$10*'Controls'!$B$11-'Controls'!$B$20*'Controls'!$B$21</x:f>
        <x:v>696</x:v>
      </x:c>
      <x:c r="H1612" s="37" t="n">
        <x:v>1</x:v>
      </x:c>
      <x:c r="I1612" s="37" t="n">
        <x:v>1</x:v>
      </x:c>
      <x:c r="J1612" s="37" t="n">
        <x:v>1</x:v>
      </x:c>
      <x:c r="K1612" s="37" t="n">
        <x:f>F1612*G1612*H1612*I1612*J1612</x:f>
        <x:v>696</x:v>
      </x:c>
      <x:c r="L1612" s="36" t="str">
        <x:v>Waste excluded from BOQ</x:v>
      </x:c>
      <x:c r="M1612" s="1"/>
      <x:c r="N1612" s="1"/>
      <x:c r="O1612" s="1"/>
      <x:c r="P1612" s="1"/>
      <x:c r="Q1612" s="1"/>
    </x:row>
    <x:row r="1613" ht="22" customHeight="1">
      <x:c r="A1613" s="1" t="str">
        <x:v>M1606</x:v>
      </x:c>
      <x:c r="B1613" s="1" t="str">
        <x:v>AR05</x:v>
      </x:c>
      <x:c r="C1613" s="1" t="str">
        <x:v>T6</x:v>
      </x:c>
      <x:c r="D1613" s="1" t="str">
        <x:v>L03</x:v>
      </x:c>
      <x:c r="E1613" s="1" t="str">
        <x:v>Internal wall paint net</x:v>
      </x:c>
      <x:c r="F1613" s="35" t="n">
        <x:v>2</x:v>
      </x:c>
      <x:c r="G1613" s="35" t="n">
        <x:f>'Controls'!$B$45*('Controls'!$B$12-'Controls'!$B$13)-'Controls'!$B$48*'Controls'!$B$49*'Controls'!$B$50</x:f>
        <x:v>602.6800000000001</x:v>
      </x:c>
      <x:c r="H1613" s="35" t="n">
        <x:v>1</x:v>
      </x:c>
      <x:c r="I1613" s="35" t="n">
        <x:v>1</x:v>
      </x:c>
      <x:c r="J1613" s="35" t="n">
        <x:v>1</x:v>
      </x:c>
      <x:c r="K1613" s="35" t="n">
        <x:f>F1613*G1613*H1613*I1613*J1613</x:f>
        <x:v>1205.3600000000001</x:v>
      </x:c>
      <x:c r="L1613" s="1" t="str">
        <x:v>Finished area; two coats priced in rate</x:v>
      </x:c>
      <x:c r="M1613" s="1"/>
      <x:c r="N1613" s="1"/>
      <x:c r="O1613" s="1"/>
      <x:c r="P1613" s="1"/>
      <x:c r="Q1613" s="1"/>
    </x:row>
    <x:row r="1614" ht="22" customHeight="1">
      <x:c r="A1614" s="36" t="str">
        <x:v>M1607</x:v>
      </x:c>
      <x:c r="B1614" s="36" t="str">
        <x:v>AR06</x:v>
      </x:c>
      <x:c r="C1614" s="36" t="str">
        <x:v>T6</x:v>
      </x:c>
      <x:c r="D1614" s="36" t="str">
        <x:v>L03</x:v>
      </x:c>
      <x:c r="E1614" s="36" t="str">
        <x:v>Door sets</x:v>
      </x:c>
      <x:c r="F1614" s="37" t="n">
        <x:f>'Controls'!$B$48</x:f>
        <x:v>28</x:v>
      </x:c>
      <x:c r="G1614" s="37" t="n">
        <x:v>1</x:v>
      </x:c>
      <x:c r="H1614" s="37" t="n">
        <x:v>1</x:v>
      </x:c>
      <x:c r="I1614" s="37" t="n">
        <x:v>1</x:v>
      </x:c>
      <x:c r="J1614" s="37" t="n">
        <x:v>1</x:v>
      </x:c>
      <x:c r="K1614" s="37" t="n">
        <x:f>F1614*G1614*H1614*I1614*J1614</x:f>
        <x:v>28</x:v>
      </x:c>
      <x:c r="L1614" s="36" t="str">
        <x:v>Door count, not double face</x:v>
      </x:c>
      <x:c r="M1614" s="1"/>
      <x:c r="N1614" s="1"/>
      <x:c r="O1614" s="1"/>
      <x:c r="P1614" s="1"/>
      <x:c r="Q1614" s="1"/>
    </x:row>
    <x:row r="1615" ht="22" customHeight="1">
      <x:c r="A1615" s="1" t="str">
        <x:v>M1608</x:v>
      </x:c>
      <x:c r="B1615" s="1" t="str">
        <x:v>RC03</x:v>
      </x:c>
      <x:c r="C1615" s="1" t="str">
        <x:v>T6</x:v>
      </x:c>
      <x:c r="D1615" s="1" t="str">
        <x:v>L04</x:v>
      </x:c>
      <x:c r="E1615" s="1" t="str">
        <x:v>Floor slab gross</x:v>
      </x:c>
      <x:c r="F1615" s="35" t="n">
        <x:v>1</x:v>
      </x:c>
      <x:c r="G1615" s="35" t="n">
        <x:f>'Controls'!$B$10</x:f>
        <x:v>30</x:v>
      </x:c>
      <x:c r="H1615" s="35" t="n">
        <x:f>'Controls'!$B$11</x:f>
        <x:v>24</x:v>
      </x:c>
      <x:c r="I1615" s="35" t="n">
        <x:f>'Controls'!$B$13</x:f>
        <x:v>0.22</x:v>
      </x:c>
      <x:c r="J1615" s="35" t="n">
        <x:v>1</x:v>
      </x:c>
      <x:c r="K1615" s="35" t="n">
        <x:f>F1615*G1615*H1615*I1615*J1615</x:f>
        <x:v>158.4</x:v>
      </x:c>
      <x:c r="L1615" s="1" t="str">
        <x:v>Slab includes beam top flange; downstand separate</x:v>
      </x:c>
      <x:c r="M1615" s="1"/>
      <x:c r="N1615" s="1"/>
      <x:c r="O1615" s="1"/>
      <x:c r="P1615" s="1"/>
      <x:c r="Q1615" s="1"/>
    </x:row>
    <x:row r="1616" ht="22" customHeight="1">
      <x:c r="A1616" s="36" t="str">
        <x:v>M1609</x:v>
      </x:c>
      <x:c r="B1616" s="36" t="str">
        <x:v>RC03</x:v>
      </x:c>
      <x:c r="C1616" s="36" t="str">
        <x:v>T6</x:v>
      </x:c>
      <x:c r="D1616" s="36" t="str">
        <x:v>L04</x:v>
      </x:c>
      <x:c r="E1616" s="36" t="str">
        <x:v>Stair opening deduction</x:v>
      </x:c>
      <x:c r="F1616" s="37" t="n">
        <x:v>1</x:v>
      </x:c>
      <x:c r="G1616" s="37" t="n">
        <x:f>'Controls'!$B$20</x:f>
        <x:v>4</x:v>
      </x:c>
      <x:c r="H1616" s="37" t="n">
        <x:f>'Controls'!$B$21</x:f>
        <x:v>6</x:v>
      </x:c>
      <x:c r="I1616" s="37" t="n">
        <x:f>'Controls'!$B$13</x:f>
        <x:v>0.22</x:v>
      </x:c>
      <x:c r="J1616" s="37" t="n">
        <x:v>-1</x:v>
      </x:c>
      <x:c r="K1616" s="37" t="n">
        <x:f>F1616*G1616*H1616*I1616*J1616</x:f>
        <x:v>-5.28</x:v>
      </x:c>
      <x:c r="L1616" s="36" t="str">
        <x:v>Opening OP-01</x:v>
      </x:c>
      <x:c r="M1616" s="1"/>
      <x:c r="N1616" s="1"/>
      <x:c r="O1616" s="1"/>
      <x:c r="P1616" s="1"/>
      <x:c r="Q1616" s="1"/>
    </x:row>
    <x:row r="1617" ht="22" customHeight="1">
      <x:c r="A1617" s="1" t="str">
        <x:v>M1610</x:v>
      </x:c>
      <x:c r="B1617" s="1" t="str">
        <x:v>RC04</x:v>
      </x:c>
      <x:c r="C1617" s="1" t="str">
        <x:v>T6</x:v>
      </x:c>
      <x:c r="D1617" s="1" t="str">
        <x:v>L04</x:v>
      </x:c>
      <x:c r="E1617" s="1" t="str">
        <x:v>Beam downstands X</x:v>
      </x:c>
      <x:c r="F1617" s="35" t="n">
        <x:v>1</x:v>
      </x:c>
      <x:c r="G1617" s="35" t="n">
        <x:f>5*5*('Controls'!$B$10/5-'Controls'!$B$14)</x:f>
        <x:v>137.5</x:v>
      </x:c>
      <x:c r="H1617" s="35" t="n">
        <x:f>'Controls'!$B$16</x:f>
        <x:v>0.3</x:v>
      </x:c>
      <x:c r="I1617" s="35" t="n">
        <x:f>'Controls'!$B$17-'Controls'!$B$13</x:f>
        <x:v>0.38</x:v>
      </x:c>
      <x:c r="J1617" s="35" t="n">
        <x:v>1</x:v>
      </x:c>
      <x:c r="K1617" s="35" t="n">
        <x:f>F1617*G1617*H1617*I1617*J1617</x:f>
        <x:v>15.675</x:v>
      </x:c>
      <x:c r="L1617" s="1" t="str">
        <x:v>Clear spans between column faces; no joint overlap</x:v>
      </x:c>
      <x:c r="M1617" s="1"/>
      <x:c r="N1617" s="1"/>
      <x:c r="O1617" s="1"/>
      <x:c r="P1617" s="1"/>
      <x:c r="Q1617" s="1"/>
    </x:row>
    <x:row r="1618" ht="22" customHeight="1">
      <x:c r="A1618" s="36" t="str">
        <x:v>M1611</x:v>
      </x:c>
      <x:c r="B1618" s="36" t="str">
        <x:v>FW02</x:v>
      </x:c>
      <x:c r="C1618" s="36" t="str">
        <x:v>T6</x:v>
      </x:c>
      <x:c r="D1618" s="36" t="str">
        <x:v>L04</x:v>
      </x:c>
      <x:c r="E1618" s="36" t="str">
        <x:v>Beam forms X</x:v>
      </x:c>
      <x:c r="F1618" s="37" t="n">
        <x:v>1</x:v>
      </x:c>
      <x:c r="G1618" s="37" t="n">
        <x:f>5*5*('Controls'!$B$10/5-'Controls'!$B$14)</x:f>
        <x:v>137.5</x:v>
      </x:c>
      <x:c r="H1618" s="37" t="n">
        <x:f>'Controls'!$B$16+2*('Controls'!$B$17-'Controls'!$B$13)</x:f>
        <x:v>1.06</x:v>
      </x:c>
      <x:c r="I1618" s="37" t="n">
        <x:v>1</x:v>
      </x:c>
      <x:c r="J1618" s="37" t="n">
        <x:v>1</x:v>
      </x:c>
      <x:c r="K1618" s="37" t="n">
        <x:f>F1618*G1618*H1618*I1618*J1618</x:f>
        <x:v>145.75</x:v>
      </x:c>
      <x:c r="L1618" s="36" t="str">
        <x:v>Soffit plus two downstand sides</x:v>
      </x:c>
      <x:c r="M1618" s="1"/>
      <x:c r="N1618" s="1"/>
      <x:c r="O1618" s="1"/>
      <x:c r="P1618" s="1"/>
      <x:c r="Q1618" s="1"/>
    </x:row>
    <x:row r="1619" ht="22" customHeight="1">
      <x:c r="A1619" s="1" t="str">
        <x:v>M1612</x:v>
      </x:c>
      <x:c r="B1619" s="1" t="str">
        <x:v>RC04</x:v>
      </x:c>
      <x:c r="C1619" s="1" t="str">
        <x:v>T6</x:v>
      </x:c>
      <x:c r="D1619" s="1" t="str">
        <x:v>L04</x:v>
      </x:c>
      <x:c r="E1619" s="1" t="str">
        <x:v>Beam downstands Y</x:v>
      </x:c>
      <x:c r="F1619" s="35" t="n">
        <x:v>1</x:v>
      </x:c>
      <x:c r="G1619" s="35" t="n">
        <x:f>6*4*('Controls'!$B$11/4-'Controls'!$B$15)</x:f>
        <x:v>132</x:v>
      </x:c>
      <x:c r="H1619" s="35" t="n">
        <x:f>'Controls'!$B$16</x:f>
        <x:v>0.3</x:v>
      </x:c>
      <x:c r="I1619" s="35" t="n">
        <x:f>'Controls'!$B$17-'Controls'!$B$13</x:f>
        <x:v>0.38</x:v>
      </x:c>
      <x:c r="J1619" s="35" t="n">
        <x:v>1</x:v>
      </x:c>
      <x:c r="K1619" s="35" t="n">
        <x:f>F1619*G1619*H1619*I1619*J1619</x:f>
        <x:v>15.048</x:v>
      </x:c>
      <x:c r="L1619" s="1" t="str">
        <x:v>Clear spans between column faces; no joint overlap</x:v>
      </x:c>
      <x:c r="M1619" s="1"/>
      <x:c r="N1619" s="1"/>
      <x:c r="O1619" s="1"/>
      <x:c r="P1619" s="1"/>
      <x:c r="Q1619" s="1"/>
    </x:row>
    <x:row r="1620" ht="22" customHeight="1">
      <x:c r="A1620" s="36" t="str">
        <x:v>M1613</x:v>
      </x:c>
      <x:c r="B1620" s="36" t="str">
        <x:v>FW02</x:v>
      </x:c>
      <x:c r="C1620" s="36" t="str">
        <x:v>T6</x:v>
      </x:c>
      <x:c r="D1620" s="36" t="str">
        <x:v>L04</x:v>
      </x:c>
      <x:c r="E1620" s="36" t="str">
        <x:v>Beam forms Y</x:v>
      </x:c>
      <x:c r="F1620" s="37" t="n">
        <x:v>1</x:v>
      </x:c>
      <x:c r="G1620" s="37" t="n">
        <x:f>6*4*('Controls'!$B$11/4-'Controls'!$B$15)</x:f>
        <x:v>132</x:v>
      </x:c>
      <x:c r="H1620" s="37" t="n">
        <x:f>'Controls'!$B$16+2*('Controls'!$B$17-'Controls'!$B$13)</x:f>
        <x:v>1.06</x:v>
      </x:c>
      <x:c r="I1620" s="37" t="n">
        <x:v>1</x:v>
      </x:c>
      <x:c r="J1620" s="37" t="n">
        <x:v>1</x:v>
      </x:c>
      <x:c r="K1620" s="37" t="n">
        <x:f>F1620*G1620*H1620*I1620*J1620</x:f>
        <x:v>139.92000000000002</x:v>
      </x:c>
      <x:c r="L1620" s="36" t="str">
        <x:v>Soffit plus two downstand sides</x:v>
      </x:c>
      <x:c r="M1620" s="1"/>
      <x:c r="N1620" s="1"/>
      <x:c r="O1620" s="1"/>
      <x:c r="P1620" s="1"/>
      <x:c r="Q1620" s="1"/>
    </x:row>
    <x:row r="1621" ht="22" customHeight="1">
      <x:c r="A1621" s="1" t="str">
        <x:v>M1614</x:v>
      </x:c>
      <x:c r="B1621" s="1" t="str">
        <x:v>RC05</x:v>
      </x:c>
      <x:c r="C1621" s="1" t="str">
        <x:v>T6</x:v>
      </x:c>
      <x:c r="D1621" s="1" t="str">
        <x:v>L04</x:v>
      </x:c>
      <x:c r="E1621" s="1" t="str">
        <x:v>Thirty columns, clear storey</x:v>
      </x:c>
      <x:c r="F1621" s="35" t="n">
        <x:v>30</x:v>
      </x:c>
      <x:c r="G1621" s="35" t="n">
        <x:f>'Controls'!$B$14</x:f>
        <x:v>0.5</x:v>
      </x:c>
      <x:c r="H1621" s="35" t="n">
        <x:f>'Controls'!$B$15</x:f>
        <x:v>0.5</x:v>
      </x:c>
      <x:c r="I1621" s="35" t="n">
        <x:f>'Controls'!$B$12-'Controls'!$B$13</x:f>
        <x:v>2.98</x:v>
      </x:c>
      <x:c r="J1621" s="35" t="n">
        <x:v>1</x:v>
      </x:c>
      <x:c r="K1621" s="35" t="n">
        <x:f>F1621*G1621*H1621*I1621*J1621</x:f>
        <x:v>22.35</x:v>
      </x:c>
      <x:c r="L1621" s="1" t="str">
        <x:v>Slab volume excluded from columns</x:v>
      </x:c>
      <x:c r="M1621" s="1"/>
      <x:c r="N1621" s="1"/>
      <x:c r="O1621" s="1"/>
      <x:c r="P1621" s="1"/>
      <x:c r="Q1621" s="1"/>
    </x:row>
    <x:row r="1622" ht="22" customHeight="1">
      <x:c r="A1622" s="36" t="str">
        <x:v>M1615</x:v>
      </x:c>
      <x:c r="B1622" s="36" t="str">
        <x:v>RC06</x:v>
      </x:c>
      <x:c r="C1622" s="36" t="str">
        <x:v>T6</x:v>
      </x:c>
      <x:c r="D1622" s="36" t="str">
        <x:v>L04</x:v>
      </x:c>
      <x:c r="E1622" s="36" t="str">
        <x:v>Core walls clear storey</x:v>
      </x:c>
      <x:c r="F1622" s="37" t="n">
        <x:v>1</x:v>
      </x:c>
      <x:c r="G1622" s="37" t="n">
        <x:f>'Controls'!$B$19</x:f>
        <x:v>24</x:v>
      </x:c>
      <x:c r="H1622" s="37" t="n">
        <x:f>'Controls'!$B$18</x:f>
        <x:v>0.25</x:v>
      </x:c>
      <x:c r="I1622" s="37" t="n">
        <x:f>'Controls'!$B$12-'Controls'!$B$13</x:f>
        <x:v>2.98</x:v>
      </x:c>
      <x:c r="J1622" s="37" t="n">
        <x:v>1</x:v>
      </x:c>
      <x:c r="K1622" s="37" t="n">
        <x:f>F1622*G1622*H1622*I1622*J1622</x:f>
        <x:v>17.88</x:v>
      </x:c>
      <x:c r="L1622" s="36" t="str">
        <x:v>Net clear wall length excludes corners</x:v>
      </x:c>
      <x:c r="M1622" s="1"/>
      <x:c r="N1622" s="1"/>
      <x:c r="O1622" s="1"/>
      <x:c r="P1622" s="1"/>
      <x:c r="Q1622" s="1"/>
    </x:row>
    <x:row r="1623" ht="22" customHeight="1">
      <x:c r="A1623" s="1" t="str">
        <x:v>M1616</x:v>
      </x:c>
      <x:c r="B1623" s="1" t="str">
        <x:v>RC07</x:v>
      </x:c>
      <x:c r="C1623" s="1" t="str">
        <x:v>T6</x:v>
      </x:c>
      <x:c r="D1623" s="1" t="str">
        <x:v>L04</x:v>
      </x:c>
      <x:c r="E1623" s="1" t="str">
        <x:v>Stair flights waist</x:v>
      </x:c>
      <x:c r="F1623" s="35" t="n">
        <x:v>2</x:v>
      </x:c>
      <x:c r="G1623" s="35" t="n">
        <x:v>4.1</x:v>
      </x:c>
      <x:c r="H1623" s="35" t="n">
        <x:v>1.2</x:v>
      </x:c>
      <x:c r="I1623" s="35" t="n">
        <x:v>0.18</x:v>
      </x:c>
      <x:c r="J1623" s="35" t="n">
        <x:v>1</x:v>
      </x:c>
      <x:c r="K1623" s="35" t="n">
        <x:f>F1623*G1623*H1623*I1623*J1623</x:f>
        <x:v>1.7711999999999997</x:v>
      </x:c>
      <x:c r="L1623" s="1" t="str">
        <x:v>Two flights; geometry separate from floor slab</x:v>
      </x:c>
      <x:c r="M1623" s="1"/>
      <x:c r="N1623" s="1"/>
      <x:c r="O1623" s="1"/>
      <x:c r="P1623" s="1"/>
      <x:c r="Q1623" s="1"/>
    </x:row>
    <x:row r="1624" ht="22" customHeight="1">
      <x:c r="A1624" s="36" t="str">
        <x:v>M1617</x:v>
      </x:c>
      <x:c r="B1624" s="36" t="str">
        <x:v>RC07</x:v>
      </x:c>
      <x:c r="C1624" s="36" t="str">
        <x:v>T6</x:v>
      </x:c>
      <x:c r="D1624" s="36" t="str">
        <x:v>L04</x:v>
      </x:c>
      <x:c r="E1624" s="36" t="str">
        <x:v>Stair landings</x:v>
      </x:c>
      <x:c r="F1624" s="37" t="n">
        <x:v>2</x:v>
      </x:c>
      <x:c r="G1624" s="37" t="n">
        <x:v>2</x:v>
      </x:c>
      <x:c r="H1624" s="37" t="n">
        <x:v>1.2</x:v>
      </x:c>
      <x:c r="I1624" s="37" t="n">
        <x:v>0.18</x:v>
      </x:c>
      <x:c r="J1624" s="37" t="n">
        <x:v>1</x:v>
      </x:c>
      <x:c r="K1624" s="37" t="n">
        <x:f>F1624*G1624*H1624*I1624*J1624</x:f>
        <x:v>0.864</x:v>
      </x:c>
      <x:c r="L1624" s="36" t="str">
        <x:v>Within stair opening</x:v>
      </x:c>
      <x:c r="M1624" s="1"/>
      <x:c r="N1624" s="1"/>
      <x:c r="O1624" s="1"/>
      <x:c r="P1624" s="1"/>
      <x:c r="Q1624" s="1"/>
    </x:row>
    <x:row r="1625" ht="22" customHeight="1">
      <x:c r="A1625" s="1" t="str">
        <x:v>M1618</x:v>
      </x:c>
      <x:c r="B1625" s="1" t="str">
        <x:v>FW01</x:v>
      </x:c>
      <x:c r="C1625" s="1" t="str">
        <x:v>T6</x:v>
      </x:c>
      <x:c r="D1625" s="1" t="str">
        <x:v>L04</x:v>
      </x:c>
      <x:c r="E1625" s="1" t="str">
        <x:v>Slab soffit gross</x:v>
      </x:c>
      <x:c r="F1625" s="35" t="n">
        <x:v>1</x:v>
      </x:c>
      <x:c r="G1625" s="35" t="n">
        <x:f>'Controls'!$B$10</x:f>
        <x:v>30</x:v>
      </x:c>
      <x:c r="H1625" s="35" t="n">
        <x:f>'Controls'!$B$11</x:f>
        <x:v>24</x:v>
      </x:c>
      <x:c r="I1625" s="35" t="n">
        <x:v>1</x:v>
      </x:c>
      <x:c r="J1625" s="35" t="n">
        <x:v>1</x:v>
      </x:c>
      <x:c r="K1625" s="35" t="n">
        <x:f>F1625*G1625*H1625*I1625*J1625</x:f>
        <x:v>720</x:v>
      </x:c>
      <x:c r="L1625" s="1" t="str">
        <x:v>Beam soffit deducted below</x:v>
      </x:c>
      <x:c r="M1625" s="1"/>
      <x:c r="N1625" s="1"/>
      <x:c r="O1625" s="1"/>
      <x:c r="P1625" s="1"/>
      <x:c r="Q1625" s="1"/>
    </x:row>
    <x:row r="1626" ht="22" customHeight="1">
      <x:c r="A1626" s="36" t="str">
        <x:v>M1619</x:v>
      </x:c>
      <x:c r="B1626" s="36" t="str">
        <x:v>FW01</x:v>
      </x:c>
      <x:c r="C1626" s="36" t="str">
        <x:v>T6</x:v>
      </x:c>
      <x:c r="D1626" s="36" t="str">
        <x:v>L04</x:v>
      </x:c>
      <x:c r="E1626" s="36" t="str">
        <x:v>Stair opening deduction</x:v>
      </x:c>
      <x:c r="F1626" s="37" t="n">
        <x:v>1</x:v>
      </x:c>
      <x:c r="G1626" s="37" t="n">
        <x:f>'Controls'!$B$20</x:f>
        <x:v>4</x:v>
      </x:c>
      <x:c r="H1626" s="37" t="n">
        <x:f>'Controls'!$B$21</x:f>
        <x:v>6</x:v>
      </x:c>
      <x:c r="I1626" s="37" t="n">
        <x:v>1</x:v>
      </x:c>
      <x:c r="J1626" s="37" t="n">
        <x:v>-1</x:v>
      </x:c>
      <x:c r="K1626" s="37" t="n">
        <x:f>F1626*G1626*H1626*I1626*J1626</x:f>
        <x:v>-24</x:v>
      </x:c>
      <x:c r="L1626" s="36" t="str">
        <x:v>OP-01</x:v>
      </x:c>
      <x:c r="M1626" s="1"/>
      <x:c r="N1626" s="1"/>
      <x:c r="O1626" s="1"/>
      <x:c r="P1626" s="1"/>
      <x:c r="Q1626" s="1"/>
    </x:row>
    <x:row r="1627" ht="22" customHeight="1">
      <x:c r="A1627" s="1" t="str">
        <x:v>M1620</x:v>
      </x:c>
      <x:c r="B1627" s="1" t="str">
        <x:v>FW01</x:v>
      </x:c>
      <x:c r="C1627" s="1" t="str">
        <x:v>T6</x:v>
      </x:c>
      <x:c r="D1627" s="1" t="str">
        <x:v>L04</x:v>
      </x:c>
      <x:c r="E1627" s="1" t="str">
        <x:v>Beam soffit deduction</x:v>
      </x:c>
      <x:c r="F1627" s="35" t="n">
        <x:v>1</x:v>
      </x:c>
      <x:c r="G1627" s="35" t="n">
        <x:f>5*5*('Controls'!$B$10/5-'Controls'!$B$14)+6*4*('Controls'!$B$11/4-'Controls'!$B$15)</x:f>
        <x:v>269.5</x:v>
      </x:c>
      <x:c r="H1627" s="35" t="n">
        <x:f>'Controls'!$B$16</x:f>
        <x:v>0.3</x:v>
      </x:c>
      <x:c r="I1627" s="35" t="n">
        <x:v>1</x:v>
      </x:c>
      <x:c r="J1627" s="35" t="n">
        <x:v>-1</x:v>
      </x:c>
      <x:c r="K1627" s="35" t="n">
        <x:f>F1627*G1627*H1627*I1627*J1627</x:f>
        <x:v>-80.85</x:v>
      </x:c>
      <x:c r="L1627" s="1" t="str">
        <x:v>Beam forms measured in FW02</x:v>
      </x:c>
      <x:c r="M1627" s="1"/>
      <x:c r="N1627" s="1"/>
      <x:c r="O1627" s="1"/>
      <x:c r="P1627" s="1"/>
      <x:c r="Q1627" s="1"/>
    </x:row>
    <x:row r="1628" ht="22" customHeight="1">
      <x:c r="A1628" s="36" t="str">
        <x:v>M1621</x:v>
      </x:c>
      <x:c r="B1628" s="36" t="str">
        <x:v>FW03</x:v>
      </x:c>
      <x:c r="C1628" s="36" t="str">
        <x:v>T6</x:v>
      </x:c>
      <x:c r="D1628" s="36" t="str">
        <x:v>L04</x:v>
      </x:c>
      <x:c r="E1628" s="36" t="str">
        <x:v>Column four faces</x:v>
      </x:c>
      <x:c r="F1628" s="37" t="n">
        <x:v>30</x:v>
      </x:c>
      <x:c r="G1628" s="37" t="n">
        <x:f>2*('Controls'!$B$14+'Controls'!$B$15)</x:f>
        <x:v>2</x:v>
      </x:c>
      <x:c r="H1628" s="37" t="n">
        <x:f>'Controls'!$B$12-'Controls'!$B$13</x:f>
        <x:v>2.98</x:v>
      </x:c>
      <x:c r="I1628" s="37" t="n">
        <x:v>1</x:v>
      </x:c>
      <x:c r="J1628" s="37" t="n">
        <x:v>1</x:v>
      </x:c>
      <x:c r="K1628" s="37" t="n">
        <x:f>F1628*G1628*H1628*I1628*J1628</x:f>
        <x:v>178.8</x:v>
      </x:c>
      <x:c r="L1628" s="36" t="str">
        <x:v>Clear floor-to-soffit</x:v>
      </x:c>
      <x:c r="M1628" s="1"/>
      <x:c r="N1628" s="1"/>
      <x:c r="O1628" s="1"/>
      <x:c r="P1628" s="1"/>
      <x:c r="Q1628" s="1"/>
    </x:row>
    <x:row r="1629" ht="22" customHeight="1">
      <x:c r="A1629" s="1" t="str">
        <x:v>M1622</x:v>
      </x:c>
      <x:c r="B1629" s="1" t="str">
        <x:v>FW04</x:v>
      </x:c>
      <x:c r="C1629" s="1" t="str">
        <x:v>T6</x:v>
      </x:c>
      <x:c r="D1629" s="1" t="str">
        <x:v>L04</x:v>
      </x:c>
      <x:c r="E1629" s="1" t="str">
        <x:v>Core wall two faces</x:v>
      </x:c>
      <x:c r="F1629" s="35" t="n">
        <x:v>2</x:v>
      </x:c>
      <x:c r="G1629" s="35" t="n">
        <x:f>'Controls'!$B$19</x:f>
        <x:v>24</x:v>
      </x:c>
      <x:c r="H1629" s="35" t="n">
        <x:f>'Controls'!$B$12-'Controls'!$B$13</x:f>
        <x:v>2.98</x:v>
      </x:c>
      <x:c r="I1629" s="35" t="n">
        <x:v>1</x:v>
      </x:c>
      <x:c r="J1629" s="35" t="n">
        <x:v>1</x:v>
      </x:c>
      <x:c r="K1629" s="35" t="n">
        <x:f>F1629*G1629*H1629*I1629*J1629</x:f>
        <x:v>143.04</x:v>
      </x:c>
      <x:c r="L1629" s="1" t="str">
        <x:v>Net perimeter, no repeated corners</x:v>
      </x:c>
      <x:c r="M1629" s="1"/>
      <x:c r="N1629" s="1"/>
      <x:c r="O1629" s="1"/>
      <x:c r="P1629" s="1"/>
      <x:c r="Q1629" s="1"/>
    </x:row>
    <x:row r="1630" ht="22" customHeight="1">
      <x:c r="A1630" s="36" t="str">
        <x:v>M1623</x:v>
      </x:c>
      <x:c r="B1630" s="36" t="str">
        <x:v>AR01</x:v>
      </x:c>
      <x:c r="C1630" s="36" t="str">
        <x:v>T6</x:v>
      </x:c>
      <x:c r="D1630" s="36" t="str">
        <x:v>L04</x:v>
      </x:c>
      <x:c r="E1630" s="36" t="str">
        <x:v>Partition walls gross</x:v>
      </x:c>
      <x:c r="F1630" s="37" t="n">
        <x:v>1</x:v>
      </x:c>
      <x:c r="G1630" s="37" t="n">
        <x:f>'Controls'!$B$45</x:f>
        <x:v>220</x:v>
      </x:c>
      <x:c r="H1630" s="37" t="n">
        <x:f>'Controls'!$B$12-'Controls'!$B$13</x:f>
        <x:v>2.98</x:v>
      </x:c>
      <x:c r="I1630" s="37" t="n">
        <x:f>'Controls'!$B$46</x:f>
        <x:v>0.15</x:v>
      </x:c>
      <x:c r="J1630" s="37" t="n">
        <x:v>1</x:v>
      </x:c>
      <x:c r="K1630" s="37" t="n">
        <x:f>F1630*G1630*H1630*I1630*J1630</x:f>
        <x:v>98.34</x:v>
      </x:c>
      <x:c r="L1630" s="36" t="str">
        <x:v>Net openings deducted below</x:v>
      </x:c>
      <x:c r="M1630" s="1"/>
      <x:c r="N1630" s="1"/>
      <x:c r="O1630" s="1"/>
      <x:c r="P1630" s="1"/>
      <x:c r="Q1630" s="1"/>
    </x:row>
    <x:row r="1631" ht="22" customHeight="1">
      <x:c r="A1631" s="1" t="str">
        <x:v>M1624</x:v>
      </x:c>
      <x:c r="B1631" s="1" t="str">
        <x:v>AR01</x:v>
      </x:c>
      <x:c r="C1631" s="1" t="str">
        <x:v>T6</x:v>
      </x:c>
      <x:c r="D1631" s="1" t="str">
        <x:v>L04</x:v>
      </x:c>
      <x:c r="E1631" s="1" t="str">
        <x:v>Internal doors deduction</x:v>
      </x:c>
      <x:c r="F1631" s="35" t="n">
        <x:f>'Controls'!$B$48</x:f>
        <x:v>28</x:v>
      </x:c>
      <x:c r="G1631" s="35" t="n">
        <x:f>'Controls'!$B$49</x:f>
        <x:v>0.9</x:v>
      </x:c>
      <x:c r="H1631" s="35" t="n">
        <x:f>'Controls'!$B$50</x:f>
        <x:v>2.1</x:v>
      </x:c>
      <x:c r="I1631" s="35" t="n">
        <x:f>'Controls'!$B$46</x:f>
        <x:v>0.15</x:v>
      </x:c>
      <x:c r="J1631" s="35" t="n">
        <x:v>-1</x:v>
      </x:c>
      <x:c r="K1631" s="35" t="n">
        <x:f>F1631*G1631*H1631*I1631*J1631</x:f>
        <x:v>-7.938</x:v>
      </x:c>
      <x:c r="L1631" s="1" t="str">
        <x:v>28 doors per floor, OP-02</x:v>
      </x:c>
      <x:c r="M1631" s="1"/>
      <x:c r="N1631" s="1"/>
      <x:c r="O1631" s="1"/>
      <x:c r="P1631" s="1"/>
      <x:c r="Q1631" s="1"/>
    </x:row>
    <x:row r="1632" ht="22" customHeight="1">
      <x:c r="A1632" s="36" t="str">
        <x:v>M1625</x:v>
      </x:c>
      <x:c r="B1632" s="36" t="str">
        <x:v>AR02</x:v>
      </x:c>
      <x:c r="C1632" s="36" t="str">
        <x:v>T6</x:v>
      </x:c>
      <x:c r="D1632" s="36" t="str">
        <x:v>L04</x:v>
      </x:c>
      <x:c r="E1632" s="36" t="str">
        <x:v>Internal plaster gross</x:v>
      </x:c>
      <x:c r="F1632" s="37" t="n">
        <x:v>2</x:v>
      </x:c>
      <x:c r="G1632" s="37" t="n">
        <x:f>'Controls'!$B$45</x:f>
        <x:v>220</x:v>
      </x:c>
      <x:c r="H1632" s="37" t="n">
        <x:f>'Controls'!$B$12-'Controls'!$B$13</x:f>
        <x:v>2.98</x:v>
      </x:c>
      <x:c r="I1632" s="37" t="n">
        <x:v>1</x:v>
      </x:c>
      <x:c r="J1632" s="37" t="n">
        <x:v>1</x:v>
      </x:c>
      <x:c r="K1632" s="37" t="n">
        <x:f>F1632*G1632*H1632*I1632*J1632</x:f>
        <x:v>1311.2</x:v>
      </x:c>
      <x:c r="L1632" s="36" t="str">
        <x:v>Both faces of partition walls</x:v>
      </x:c>
      <x:c r="M1632" s="1"/>
      <x:c r="N1632" s="1"/>
      <x:c r="O1632" s="1"/>
      <x:c r="P1632" s="1"/>
      <x:c r="Q1632" s="1"/>
    </x:row>
    <x:row r="1633" ht="22" customHeight="1">
      <x:c r="A1633" s="1" t="str">
        <x:v>M1626</x:v>
      </x:c>
      <x:c r="B1633" s="1" t="str">
        <x:v>AR02</x:v>
      </x:c>
      <x:c r="C1633" s="1" t="str">
        <x:v>T6</x:v>
      </x:c>
      <x:c r="D1633" s="1" t="str">
        <x:v>L04</x:v>
      </x:c>
      <x:c r="E1633" s="1" t="str">
        <x:v>Door area deduction both faces</x:v>
      </x:c>
      <x:c r="F1633" s="35" t="n">
        <x:f>2*'Controls'!$B$48</x:f>
        <x:v>56</x:v>
      </x:c>
      <x:c r="G1633" s="35" t="n">
        <x:f>'Controls'!$B$49</x:f>
        <x:v>0.9</x:v>
      </x:c>
      <x:c r="H1633" s="35" t="n">
        <x:f>'Controls'!$B$50</x:f>
        <x:v>2.1</x:v>
      </x:c>
      <x:c r="I1633" s="35" t="n">
        <x:v>1</x:v>
      </x:c>
      <x:c r="J1633" s="35" t="n">
        <x:v>-1</x:v>
      </x:c>
      <x:c r="K1633" s="35" t="n">
        <x:f>F1633*G1633*H1633*I1633*J1633</x:f>
        <x:v>-105.84</x:v>
      </x:c>
      <x:c r="L1633" s="1" t="str">
        <x:v>No plaster over openings</x:v>
      </x:c>
      <x:c r="M1633" s="1"/>
      <x:c r="N1633" s="1"/>
      <x:c r="O1633" s="1"/>
      <x:c r="P1633" s="1"/>
      <x:c r="Q1633" s="1"/>
    </x:row>
    <x:row r="1634" ht="22" customHeight="1">
      <x:c r="A1634" s="36" t="str">
        <x:v>M1627</x:v>
      </x:c>
      <x:c r="B1634" s="36" t="str">
        <x:v>AR03</x:v>
      </x:c>
      <x:c r="C1634" s="36" t="str">
        <x:v>T6</x:v>
      </x:c>
      <x:c r="D1634" s="36" t="str">
        <x:v>L04</x:v>
      </x:c>
      <x:c r="E1634" s="36" t="str">
        <x:v>Floor screed net</x:v>
      </x:c>
      <x:c r="F1634" s="37" t="n">
        <x:v>1</x:v>
      </x:c>
      <x:c r="G1634" s="37" t="n">
        <x:f>'Controls'!$B$10*'Controls'!$B$11-'Controls'!$B$20*'Controls'!$B$21</x:f>
        <x:v>696</x:v>
      </x:c>
      <x:c r="H1634" s="37" t="n">
        <x:v>1</x:v>
      </x:c>
      <x:c r="I1634" s="37" t="n">
        <x:v>1</x:v>
      </x:c>
      <x:c r="J1634" s="37" t="n">
        <x:v>1</x:v>
      </x:c>
      <x:c r="K1634" s="37" t="n">
        <x:f>F1634*G1634*H1634*I1634*J1634</x:f>
        <x:v>696</x:v>
      </x:c>
      <x:c r="L1634" s="36" t="str">
        <x:v>Net structural floor area</x:v>
      </x:c>
      <x:c r="M1634" s="1"/>
      <x:c r="N1634" s="1"/>
      <x:c r="O1634" s="1"/>
      <x:c r="P1634" s="1"/>
      <x:c r="Q1634" s="1"/>
    </x:row>
    <x:row r="1635" ht="22" customHeight="1">
      <x:c r="A1635" s="1" t="str">
        <x:v>M1628</x:v>
      </x:c>
      <x:c r="B1635" s="1" t="str">
        <x:v>AR04</x:v>
      </x:c>
      <x:c r="C1635" s="1" t="str">
        <x:v>T6</x:v>
      </x:c>
      <x:c r="D1635" s="1" t="str">
        <x:v>L04</x:v>
      </x:c>
      <x:c r="E1635" s="1" t="str">
        <x:v>Floor finish net</x:v>
      </x:c>
      <x:c r="F1635" s="35" t="n">
        <x:v>1</x:v>
      </x:c>
      <x:c r="G1635" s="35" t="n">
        <x:f>'Controls'!$B$10*'Controls'!$B$11-'Controls'!$B$20*'Controls'!$B$21</x:f>
        <x:v>696</x:v>
      </x:c>
      <x:c r="H1635" s="35" t="n">
        <x:v>1</x:v>
      </x:c>
      <x:c r="I1635" s="35" t="n">
        <x:v>1</x:v>
      </x:c>
      <x:c r="J1635" s="35" t="n">
        <x:v>1</x:v>
      </x:c>
      <x:c r="K1635" s="35" t="n">
        <x:f>F1635*G1635*H1635*I1635*J1635</x:f>
        <x:v>696</x:v>
      </x:c>
      <x:c r="L1635" s="1" t="str">
        <x:v>Waste excluded from BOQ</x:v>
      </x:c>
      <x:c r="M1635" s="1"/>
      <x:c r="N1635" s="1"/>
      <x:c r="O1635" s="1"/>
      <x:c r="P1635" s="1"/>
      <x:c r="Q1635" s="1"/>
    </x:row>
    <x:row r="1636" ht="22" customHeight="1">
      <x:c r="A1636" s="36" t="str">
        <x:v>M1629</x:v>
      </x:c>
      <x:c r="B1636" s="36" t="str">
        <x:v>AR05</x:v>
      </x:c>
      <x:c r="C1636" s="36" t="str">
        <x:v>T6</x:v>
      </x:c>
      <x:c r="D1636" s="36" t="str">
        <x:v>L04</x:v>
      </x:c>
      <x:c r="E1636" s="36" t="str">
        <x:v>Internal wall paint net</x:v>
      </x:c>
      <x:c r="F1636" s="37" t="n">
        <x:v>2</x:v>
      </x:c>
      <x:c r="G1636" s="37" t="n">
        <x:f>'Controls'!$B$45*('Controls'!$B$12-'Controls'!$B$13)-'Controls'!$B$48*'Controls'!$B$49*'Controls'!$B$50</x:f>
        <x:v>602.6800000000001</x:v>
      </x:c>
      <x:c r="H1636" s="37" t="n">
        <x:v>1</x:v>
      </x:c>
      <x:c r="I1636" s="37" t="n">
        <x:v>1</x:v>
      </x:c>
      <x:c r="J1636" s="37" t="n">
        <x:v>1</x:v>
      </x:c>
      <x:c r="K1636" s="37" t="n">
        <x:f>F1636*G1636*H1636*I1636*J1636</x:f>
        <x:v>1205.3600000000001</x:v>
      </x:c>
      <x:c r="L1636" s="36" t="str">
        <x:v>Finished area; two coats priced in rate</x:v>
      </x:c>
      <x:c r="M1636" s="1"/>
      <x:c r="N1636" s="1"/>
      <x:c r="O1636" s="1"/>
      <x:c r="P1636" s="1"/>
      <x:c r="Q1636" s="1"/>
    </x:row>
    <x:row r="1637" ht="22" customHeight="1">
      <x:c r="A1637" s="1" t="str">
        <x:v>M1630</x:v>
      </x:c>
      <x:c r="B1637" s="1" t="str">
        <x:v>AR06</x:v>
      </x:c>
      <x:c r="C1637" s="1" t="str">
        <x:v>T6</x:v>
      </x:c>
      <x:c r="D1637" s="1" t="str">
        <x:v>L04</x:v>
      </x:c>
      <x:c r="E1637" s="1" t="str">
        <x:v>Door sets</x:v>
      </x:c>
      <x:c r="F1637" s="35" t="n">
        <x:f>'Controls'!$B$48</x:f>
        <x:v>28</x:v>
      </x:c>
      <x:c r="G1637" s="35" t="n">
        <x:v>1</x:v>
      </x:c>
      <x:c r="H1637" s="35" t="n">
        <x:v>1</x:v>
      </x:c>
      <x:c r="I1637" s="35" t="n">
        <x:v>1</x:v>
      </x:c>
      <x:c r="J1637" s="35" t="n">
        <x:v>1</x:v>
      </x:c>
      <x:c r="K1637" s="35" t="n">
        <x:f>F1637*G1637*H1637*I1637*J1637</x:f>
        <x:v>28</x:v>
      </x:c>
      <x:c r="L1637" s="1" t="str">
        <x:v>Door count, not double face</x:v>
      </x:c>
      <x:c r="M1637" s="1"/>
      <x:c r="N1637" s="1"/>
      <x:c r="O1637" s="1"/>
      <x:c r="P1637" s="1"/>
      <x:c r="Q1637" s="1"/>
    </x:row>
    <x:row r="1638" ht="22" customHeight="1">
      <x:c r="A1638" s="36" t="str">
        <x:v>M1631</x:v>
      </x:c>
      <x:c r="B1638" s="36" t="str">
        <x:v>RC03</x:v>
      </x:c>
      <x:c r="C1638" s="36" t="str">
        <x:v>T6</x:v>
      </x:c>
      <x:c r="D1638" s="36" t="str">
        <x:v>L05</x:v>
      </x:c>
      <x:c r="E1638" s="36" t="str">
        <x:v>Floor slab gross</x:v>
      </x:c>
      <x:c r="F1638" s="37" t="n">
        <x:v>1</x:v>
      </x:c>
      <x:c r="G1638" s="37" t="n">
        <x:f>'Controls'!$B$10</x:f>
        <x:v>30</x:v>
      </x:c>
      <x:c r="H1638" s="37" t="n">
        <x:f>'Controls'!$B$11</x:f>
        <x:v>24</x:v>
      </x:c>
      <x:c r="I1638" s="37" t="n">
        <x:f>'Controls'!$B$13</x:f>
        <x:v>0.22</x:v>
      </x:c>
      <x:c r="J1638" s="37" t="n">
        <x:v>1</x:v>
      </x:c>
      <x:c r="K1638" s="37" t="n">
        <x:f>F1638*G1638*H1638*I1638*J1638</x:f>
        <x:v>158.4</x:v>
      </x:c>
      <x:c r="L1638" s="36" t="str">
        <x:v>Slab includes beam top flange; downstand separate</x:v>
      </x:c>
      <x:c r="M1638" s="1"/>
      <x:c r="N1638" s="1"/>
      <x:c r="O1638" s="1"/>
      <x:c r="P1638" s="1"/>
      <x:c r="Q1638" s="1"/>
    </x:row>
    <x:row r="1639" ht="22" customHeight="1">
      <x:c r="A1639" s="1" t="str">
        <x:v>M1632</x:v>
      </x:c>
      <x:c r="B1639" s="1" t="str">
        <x:v>RC03</x:v>
      </x:c>
      <x:c r="C1639" s="1" t="str">
        <x:v>T6</x:v>
      </x:c>
      <x:c r="D1639" s="1" t="str">
        <x:v>L05</x:v>
      </x:c>
      <x:c r="E1639" s="1" t="str">
        <x:v>Stair opening deduction</x:v>
      </x:c>
      <x:c r="F1639" s="35" t="n">
        <x:v>1</x:v>
      </x:c>
      <x:c r="G1639" s="35" t="n">
        <x:f>'Controls'!$B$20</x:f>
        <x:v>4</x:v>
      </x:c>
      <x:c r="H1639" s="35" t="n">
        <x:f>'Controls'!$B$21</x:f>
        <x:v>6</x:v>
      </x:c>
      <x:c r="I1639" s="35" t="n">
        <x:f>'Controls'!$B$13</x:f>
        <x:v>0.22</x:v>
      </x:c>
      <x:c r="J1639" s="35" t="n">
        <x:v>-1</x:v>
      </x:c>
      <x:c r="K1639" s="35" t="n">
        <x:f>F1639*G1639*H1639*I1639*J1639</x:f>
        <x:v>-5.28</x:v>
      </x:c>
      <x:c r="L1639" s="1" t="str">
        <x:v>Opening OP-01</x:v>
      </x:c>
      <x:c r="M1639" s="1"/>
      <x:c r="N1639" s="1"/>
      <x:c r="O1639" s="1"/>
      <x:c r="P1639" s="1"/>
      <x:c r="Q1639" s="1"/>
    </x:row>
    <x:row r="1640" ht="22" customHeight="1">
      <x:c r="A1640" s="36" t="str">
        <x:v>M1633</x:v>
      </x:c>
      <x:c r="B1640" s="36" t="str">
        <x:v>RC04</x:v>
      </x:c>
      <x:c r="C1640" s="36" t="str">
        <x:v>T6</x:v>
      </x:c>
      <x:c r="D1640" s="36" t="str">
        <x:v>L05</x:v>
      </x:c>
      <x:c r="E1640" s="36" t="str">
        <x:v>Beam downstands X</x:v>
      </x:c>
      <x:c r="F1640" s="37" t="n">
        <x:v>1</x:v>
      </x:c>
      <x:c r="G1640" s="37" t="n">
        <x:f>5*5*('Controls'!$B$10/5-'Controls'!$B$14)</x:f>
        <x:v>137.5</x:v>
      </x:c>
      <x:c r="H1640" s="37" t="n">
        <x:f>'Controls'!$B$16</x:f>
        <x:v>0.3</x:v>
      </x:c>
      <x:c r="I1640" s="37" t="n">
        <x:f>'Controls'!$B$17-'Controls'!$B$13</x:f>
        <x:v>0.38</x:v>
      </x:c>
      <x:c r="J1640" s="37" t="n">
        <x:v>1</x:v>
      </x:c>
      <x:c r="K1640" s="37" t="n">
        <x:f>F1640*G1640*H1640*I1640*J1640</x:f>
        <x:v>15.675</x:v>
      </x:c>
      <x:c r="L1640" s="36" t="str">
        <x:v>Clear spans between column faces; no joint overlap</x:v>
      </x:c>
      <x:c r="M1640" s="1"/>
      <x:c r="N1640" s="1"/>
      <x:c r="O1640" s="1"/>
      <x:c r="P1640" s="1"/>
      <x:c r="Q1640" s="1"/>
    </x:row>
    <x:row r="1641" ht="22" customHeight="1">
      <x:c r="A1641" s="1" t="str">
        <x:v>M1634</x:v>
      </x:c>
      <x:c r="B1641" s="1" t="str">
        <x:v>FW02</x:v>
      </x:c>
      <x:c r="C1641" s="1" t="str">
        <x:v>T6</x:v>
      </x:c>
      <x:c r="D1641" s="1" t="str">
        <x:v>L05</x:v>
      </x:c>
      <x:c r="E1641" s="1" t="str">
        <x:v>Beam forms X</x:v>
      </x:c>
      <x:c r="F1641" s="35" t="n">
        <x:v>1</x:v>
      </x:c>
      <x:c r="G1641" s="35" t="n">
        <x:f>5*5*('Controls'!$B$10/5-'Controls'!$B$14)</x:f>
        <x:v>137.5</x:v>
      </x:c>
      <x:c r="H1641" s="35" t="n">
        <x:f>'Controls'!$B$16+2*('Controls'!$B$17-'Controls'!$B$13)</x:f>
        <x:v>1.06</x:v>
      </x:c>
      <x:c r="I1641" s="35" t="n">
        <x:v>1</x:v>
      </x:c>
      <x:c r="J1641" s="35" t="n">
        <x:v>1</x:v>
      </x:c>
      <x:c r="K1641" s="35" t="n">
        <x:f>F1641*G1641*H1641*I1641*J1641</x:f>
        <x:v>145.75</x:v>
      </x:c>
      <x:c r="L1641" s="1" t="str">
        <x:v>Soffit plus two downstand sides</x:v>
      </x:c>
      <x:c r="M1641" s="1"/>
      <x:c r="N1641" s="1"/>
      <x:c r="O1641" s="1"/>
      <x:c r="P1641" s="1"/>
      <x:c r="Q1641" s="1"/>
    </x:row>
    <x:row r="1642" ht="22" customHeight="1">
      <x:c r="A1642" s="36" t="str">
        <x:v>M1635</x:v>
      </x:c>
      <x:c r="B1642" s="36" t="str">
        <x:v>RC04</x:v>
      </x:c>
      <x:c r="C1642" s="36" t="str">
        <x:v>T6</x:v>
      </x:c>
      <x:c r="D1642" s="36" t="str">
        <x:v>L05</x:v>
      </x:c>
      <x:c r="E1642" s="36" t="str">
        <x:v>Beam downstands Y</x:v>
      </x:c>
      <x:c r="F1642" s="37" t="n">
        <x:v>1</x:v>
      </x:c>
      <x:c r="G1642" s="37" t="n">
        <x:f>6*4*('Controls'!$B$11/4-'Controls'!$B$15)</x:f>
        <x:v>132</x:v>
      </x:c>
      <x:c r="H1642" s="37" t="n">
        <x:f>'Controls'!$B$16</x:f>
        <x:v>0.3</x:v>
      </x:c>
      <x:c r="I1642" s="37" t="n">
        <x:f>'Controls'!$B$17-'Controls'!$B$13</x:f>
        <x:v>0.38</x:v>
      </x:c>
      <x:c r="J1642" s="37" t="n">
        <x:v>1</x:v>
      </x:c>
      <x:c r="K1642" s="37" t="n">
        <x:f>F1642*G1642*H1642*I1642*J1642</x:f>
        <x:v>15.048</x:v>
      </x:c>
      <x:c r="L1642" s="36" t="str">
        <x:v>Clear spans between column faces; no joint overlap</x:v>
      </x:c>
      <x:c r="M1642" s="1"/>
      <x:c r="N1642" s="1"/>
      <x:c r="O1642" s="1"/>
      <x:c r="P1642" s="1"/>
      <x:c r="Q1642" s="1"/>
    </x:row>
    <x:row r="1643" ht="22" customHeight="1">
      <x:c r="A1643" s="1" t="str">
        <x:v>M1636</x:v>
      </x:c>
      <x:c r="B1643" s="1" t="str">
        <x:v>FW02</x:v>
      </x:c>
      <x:c r="C1643" s="1" t="str">
        <x:v>T6</x:v>
      </x:c>
      <x:c r="D1643" s="1" t="str">
        <x:v>L05</x:v>
      </x:c>
      <x:c r="E1643" s="1" t="str">
        <x:v>Beam forms Y</x:v>
      </x:c>
      <x:c r="F1643" s="35" t="n">
        <x:v>1</x:v>
      </x:c>
      <x:c r="G1643" s="35" t="n">
        <x:f>6*4*('Controls'!$B$11/4-'Controls'!$B$15)</x:f>
        <x:v>132</x:v>
      </x:c>
      <x:c r="H1643" s="35" t="n">
        <x:f>'Controls'!$B$16+2*('Controls'!$B$17-'Controls'!$B$13)</x:f>
        <x:v>1.06</x:v>
      </x:c>
      <x:c r="I1643" s="35" t="n">
        <x:v>1</x:v>
      </x:c>
      <x:c r="J1643" s="35" t="n">
        <x:v>1</x:v>
      </x:c>
      <x:c r="K1643" s="35" t="n">
        <x:f>F1643*G1643*H1643*I1643*J1643</x:f>
        <x:v>139.92000000000002</x:v>
      </x:c>
      <x:c r="L1643" s="1" t="str">
        <x:v>Soffit plus two downstand sides</x:v>
      </x:c>
      <x:c r="M1643" s="1"/>
      <x:c r="N1643" s="1"/>
      <x:c r="O1643" s="1"/>
      <x:c r="P1643" s="1"/>
      <x:c r="Q1643" s="1"/>
    </x:row>
    <x:row r="1644" ht="22" customHeight="1">
      <x:c r="A1644" s="36" t="str">
        <x:v>M1637</x:v>
      </x:c>
      <x:c r="B1644" s="36" t="str">
        <x:v>RC05</x:v>
      </x:c>
      <x:c r="C1644" s="36" t="str">
        <x:v>T6</x:v>
      </x:c>
      <x:c r="D1644" s="36" t="str">
        <x:v>L05</x:v>
      </x:c>
      <x:c r="E1644" s="36" t="str">
        <x:v>Thirty columns, clear storey</x:v>
      </x:c>
      <x:c r="F1644" s="37" t="n">
        <x:v>30</x:v>
      </x:c>
      <x:c r="G1644" s="37" t="n">
        <x:f>'Controls'!$B$14</x:f>
        <x:v>0.5</x:v>
      </x:c>
      <x:c r="H1644" s="37" t="n">
        <x:f>'Controls'!$B$15</x:f>
        <x:v>0.5</x:v>
      </x:c>
      <x:c r="I1644" s="37" t="n">
        <x:f>'Controls'!$B$12-'Controls'!$B$13</x:f>
        <x:v>2.98</x:v>
      </x:c>
      <x:c r="J1644" s="37" t="n">
        <x:v>1</x:v>
      </x:c>
      <x:c r="K1644" s="37" t="n">
        <x:f>F1644*G1644*H1644*I1644*J1644</x:f>
        <x:v>22.35</x:v>
      </x:c>
      <x:c r="L1644" s="36" t="str">
        <x:v>Slab volume excluded from columns</x:v>
      </x:c>
      <x:c r="M1644" s="1"/>
      <x:c r="N1644" s="1"/>
      <x:c r="O1644" s="1"/>
      <x:c r="P1644" s="1"/>
      <x:c r="Q1644" s="1"/>
    </x:row>
    <x:row r="1645" ht="22" customHeight="1">
      <x:c r="A1645" s="1" t="str">
        <x:v>M1638</x:v>
      </x:c>
      <x:c r="B1645" s="1" t="str">
        <x:v>RC06</x:v>
      </x:c>
      <x:c r="C1645" s="1" t="str">
        <x:v>T6</x:v>
      </x:c>
      <x:c r="D1645" s="1" t="str">
        <x:v>L05</x:v>
      </x:c>
      <x:c r="E1645" s="1" t="str">
        <x:v>Core walls clear storey</x:v>
      </x:c>
      <x:c r="F1645" s="35" t="n">
        <x:v>1</x:v>
      </x:c>
      <x:c r="G1645" s="35" t="n">
        <x:f>'Controls'!$B$19</x:f>
        <x:v>24</x:v>
      </x:c>
      <x:c r="H1645" s="35" t="n">
        <x:f>'Controls'!$B$18</x:f>
        <x:v>0.25</x:v>
      </x:c>
      <x:c r="I1645" s="35" t="n">
        <x:f>'Controls'!$B$12-'Controls'!$B$13</x:f>
        <x:v>2.98</x:v>
      </x:c>
      <x:c r="J1645" s="35" t="n">
        <x:v>1</x:v>
      </x:c>
      <x:c r="K1645" s="35" t="n">
        <x:f>F1645*G1645*H1645*I1645*J1645</x:f>
        <x:v>17.88</x:v>
      </x:c>
      <x:c r="L1645" s="1" t="str">
        <x:v>Net clear wall length excludes corners</x:v>
      </x:c>
      <x:c r="M1645" s="1"/>
      <x:c r="N1645" s="1"/>
      <x:c r="O1645" s="1"/>
      <x:c r="P1645" s="1"/>
      <x:c r="Q1645" s="1"/>
    </x:row>
    <x:row r="1646" ht="22" customHeight="1">
      <x:c r="A1646" s="36" t="str">
        <x:v>M1639</x:v>
      </x:c>
      <x:c r="B1646" s="36" t="str">
        <x:v>RC07</x:v>
      </x:c>
      <x:c r="C1646" s="36" t="str">
        <x:v>T6</x:v>
      </x:c>
      <x:c r="D1646" s="36" t="str">
        <x:v>L05</x:v>
      </x:c>
      <x:c r="E1646" s="36" t="str">
        <x:v>Stair flights waist</x:v>
      </x:c>
      <x:c r="F1646" s="37" t="n">
        <x:v>2</x:v>
      </x:c>
      <x:c r="G1646" s="37" t="n">
        <x:v>4.1</x:v>
      </x:c>
      <x:c r="H1646" s="37" t="n">
        <x:v>1.2</x:v>
      </x:c>
      <x:c r="I1646" s="37" t="n">
        <x:v>0.18</x:v>
      </x:c>
      <x:c r="J1646" s="37" t="n">
        <x:v>1</x:v>
      </x:c>
      <x:c r="K1646" s="37" t="n">
        <x:f>F1646*G1646*H1646*I1646*J1646</x:f>
        <x:v>1.7711999999999997</x:v>
      </x:c>
      <x:c r="L1646" s="36" t="str">
        <x:v>Two flights; geometry separate from floor slab</x:v>
      </x:c>
      <x:c r="M1646" s="1"/>
      <x:c r="N1646" s="1"/>
      <x:c r="O1646" s="1"/>
      <x:c r="P1646" s="1"/>
      <x:c r="Q1646" s="1"/>
    </x:row>
    <x:row r="1647" ht="22" customHeight="1">
      <x:c r="A1647" s="1" t="str">
        <x:v>M1640</x:v>
      </x:c>
      <x:c r="B1647" s="1" t="str">
        <x:v>RC07</x:v>
      </x:c>
      <x:c r="C1647" s="1" t="str">
        <x:v>T6</x:v>
      </x:c>
      <x:c r="D1647" s="1" t="str">
        <x:v>L05</x:v>
      </x:c>
      <x:c r="E1647" s="1" t="str">
        <x:v>Stair landings</x:v>
      </x:c>
      <x:c r="F1647" s="35" t="n">
        <x:v>2</x:v>
      </x:c>
      <x:c r="G1647" s="35" t="n">
        <x:v>2</x:v>
      </x:c>
      <x:c r="H1647" s="35" t="n">
        <x:v>1.2</x:v>
      </x:c>
      <x:c r="I1647" s="35" t="n">
        <x:v>0.18</x:v>
      </x:c>
      <x:c r="J1647" s="35" t="n">
        <x:v>1</x:v>
      </x:c>
      <x:c r="K1647" s="35" t="n">
        <x:f>F1647*G1647*H1647*I1647*J1647</x:f>
        <x:v>0.864</x:v>
      </x:c>
      <x:c r="L1647" s="1" t="str">
        <x:v>Within stair opening</x:v>
      </x:c>
      <x:c r="M1647" s="1"/>
      <x:c r="N1647" s="1"/>
      <x:c r="O1647" s="1"/>
      <x:c r="P1647" s="1"/>
      <x:c r="Q1647" s="1"/>
    </x:row>
    <x:row r="1648" ht="22" customHeight="1">
      <x:c r="A1648" s="36" t="str">
        <x:v>M1641</x:v>
      </x:c>
      <x:c r="B1648" s="36" t="str">
        <x:v>FW01</x:v>
      </x:c>
      <x:c r="C1648" s="36" t="str">
        <x:v>T6</x:v>
      </x:c>
      <x:c r="D1648" s="36" t="str">
        <x:v>L05</x:v>
      </x:c>
      <x:c r="E1648" s="36" t="str">
        <x:v>Slab soffit gross</x:v>
      </x:c>
      <x:c r="F1648" s="37" t="n">
        <x:v>1</x:v>
      </x:c>
      <x:c r="G1648" s="37" t="n">
        <x:f>'Controls'!$B$10</x:f>
        <x:v>30</x:v>
      </x:c>
      <x:c r="H1648" s="37" t="n">
        <x:f>'Controls'!$B$11</x:f>
        <x:v>24</x:v>
      </x:c>
      <x:c r="I1648" s="37" t="n">
        <x:v>1</x:v>
      </x:c>
      <x:c r="J1648" s="37" t="n">
        <x:v>1</x:v>
      </x:c>
      <x:c r="K1648" s="37" t="n">
        <x:f>F1648*G1648*H1648*I1648*J1648</x:f>
        <x:v>720</x:v>
      </x:c>
      <x:c r="L1648" s="36" t="str">
        <x:v>Beam soffit deducted below</x:v>
      </x:c>
      <x:c r="M1648" s="1"/>
      <x:c r="N1648" s="1"/>
      <x:c r="O1648" s="1"/>
      <x:c r="P1648" s="1"/>
      <x:c r="Q1648" s="1"/>
    </x:row>
    <x:row r="1649" ht="22" customHeight="1">
      <x:c r="A1649" s="1" t="str">
        <x:v>M1642</x:v>
      </x:c>
      <x:c r="B1649" s="1" t="str">
        <x:v>FW01</x:v>
      </x:c>
      <x:c r="C1649" s="1" t="str">
        <x:v>T6</x:v>
      </x:c>
      <x:c r="D1649" s="1" t="str">
        <x:v>L05</x:v>
      </x:c>
      <x:c r="E1649" s="1" t="str">
        <x:v>Stair opening deduction</x:v>
      </x:c>
      <x:c r="F1649" s="35" t="n">
        <x:v>1</x:v>
      </x:c>
      <x:c r="G1649" s="35" t="n">
        <x:f>'Controls'!$B$20</x:f>
        <x:v>4</x:v>
      </x:c>
      <x:c r="H1649" s="35" t="n">
        <x:f>'Controls'!$B$21</x:f>
        <x:v>6</x:v>
      </x:c>
      <x:c r="I1649" s="35" t="n">
        <x:v>1</x:v>
      </x:c>
      <x:c r="J1649" s="35" t="n">
        <x:v>-1</x:v>
      </x:c>
      <x:c r="K1649" s="35" t="n">
        <x:f>F1649*G1649*H1649*I1649*J1649</x:f>
        <x:v>-24</x:v>
      </x:c>
      <x:c r="L1649" s="1" t="str">
        <x:v>OP-01</x:v>
      </x:c>
      <x:c r="M1649" s="1"/>
      <x:c r="N1649" s="1"/>
      <x:c r="O1649" s="1"/>
      <x:c r="P1649" s="1"/>
      <x:c r="Q1649" s="1"/>
    </x:row>
    <x:row r="1650" ht="22" customHeight="1">
      <x:c r="A1650" s="36" t="str">
        <x:v>M1643</x:v>
      </x:c>
      <x:c r="B1650" s="36" t="str">
        <x:v>FW01</x:v>
      </x:c>
      <x:c r="C1650" s="36" t="str">
        <x:v>T6</x:v>
      </x:c>
      <x:c r="D1650" s="36" t="str">
        <x:v>L05</x:v>
      </x:c>
      <x:c r="E1650" s="36" t="str">
        <x:v>Beam soffit deduction</x:v>
      </x:c>
      <x:c r="F1650" s="37" t="n">
        <x:v>1</x:v>
      </x:c>
      <x:c r="G1650" s="37" t="n">
        <x:f>5*5*('Controls'!$B$10/5-'Controls'!$B$14)+6*4*('Controls'!$B$11/4-'Controls'!$B$15)</x:f>
        <x:v>269.5</x:v>
      </x:c>
      <x:c r="H1650" s="37" t="n">
        <x:f>'Controls'!$B$16</x:f>
        <x:v>0.3</x:v>
      </x:c>
      <x:c r="I1650" s="37" t="n">
        <x:v>1</x:v>
      </x:c>
      <x:c r="J1650" s="37" t="n">
        <x:v>-1</x:v>
      </x:c>
      <x:c r="K1650" s="37" t="n">
        <x:f>F1650*G1650*H1650*I1650*J1650</x:f>
        <x:v>-80.85</x:v>
      </x:c>
      <x:c r="L1650" s="36" t="str">
        <x:v>Beam forms measured in FW02</x:v>
      </x:c>
      <x:c r="M1650" s="1"/>
      <x:c r="N1650" s="1"/>
      <x:c r="O1650" s="1"/>
      <x:c r="P1650" s="1"/>
      <x:c r="Q1650" s="1"/>
    </x:row>
    <x:row r="1651" ht="22" customHeight="1">
      <x:c r="A1651" s="1" t="str">
        <x:v>M1644</x:v>
      </x:c>
      <x:c r="B1651" s="1" t="str">
        <x:v>FW03</x:v>
      </x:c>
      <x:c r="C1651" s="1" t="str">
        <x:v>T6</x:v>
      </x:c>
      <x:c r="D1651" s="1" t="str">
        <x:v>L05</x:v>
      </x:c>
      <x:c r="E1651" s="1" t="str">
        <x:v>Column four faces</x:v>
      </x:c>
      <x:c r="F1651" s="35" t="n">
        <x:v>30</x:v>
      </x:c>
      <x:c r="G1651" s="35" t="n">
        <x:f>2*('Controls'!$B$14+'Controls'!$B$15)</x:f>
        <x:v>2</x:v>
      </x:c>
      <x:c r="H1651" s="35" t="n">
        <x:f>'Controls'!$B$12-'Controls'!$B$13</x:f>
        <x:v>2.98</x:v>
      </x:c>
      <x:c r="I1651" s="35" t="n">
        <x:v>1</x:v>
      </x:c>
      <x:c r="J1651" s="35" t="n">
        <x:v>1</x:v>
      </x:c>
      <x:c r="K1651" s="35" t="n">
        <x:f>F1651*G1651*H1651*I1651*J1651</x:f>
        <x:v>178.8</x:v>
      </x:c>
      <x:c r="L1651" s="1" t="str">
        <x:v>Clear floor-to-soffit</x:v>
      </x:c>
      <x:c r="M1651" s="1"/>
      <x:c r="N1651" s="1"/>
      <x:c r="O1651" s="1"/>
      <x:c r="P1651" s="1"/>
      <x:c r="Q1651" s="1"/>
    </x:row>
    <x:row r="1652" ht="22" customHeight="1">
      <x:c r="A1652" s="36" t="str">
        <x:v>M1645</x:v>
      </x:c>
      <x:c r="B1652" s="36" t="str">
        <x:v>FW04</x:v>
      </x:c>
      <x:c r="C1652" s="36" t="str">
        <x:v>T6</x:v>
      </x:c>
      <x:c r="D1652" s="36" t="str">
        <x:v>L05</x:v>
      </x:c>
      <x:c r="E1652" s="36" t="str">
        <x:v>Core wall two faces</x:v>
      </x:c>
      <x:c r="F1652" s="37" t="n">
        <x:v>2</x:v>
      </x:c>
      <x:c r="G1652" s="37" t="n">
        <x:f>'Controls'!$B$19</x:f>
        <x:v>24</x:v>
      </x:c>
      <x:c r="H1652" s="37" t="n">
        <x:f>'Controls'!$B$12-'Controls'!$B$13</x:f>
        <x:v>2.98</x:v>
      </x:c>
      <x:c r="I1652" s="37" t="n">
        <x:v>1</x:v>
      </x:c>
      <x:c r="J1652" s="37" t="n">
        <x:v>1</x:v>
      </x:c>
      <x:c r="K1652" s="37" t="n">
        <x:f>F1652*G1652*H1652*I1652*J1652</x:f>
        <x:v>143.04</x:v>
      </x:c>
      <x:c r="L1652" s="36" t="str">
        <x:v>Net perimeter, no repeated corners</x:v>
      </x:c>
      <x:c r="M1652" s="1"/>
      <x:c r="N1652" s="1"/>
      <x:c r="O1652" s="1"/>
      <x:c r="P1652" s="1"/>
      <x:c r="Q1652" s="1"/>
    </x:row>
    <x:row r="1653" ht="22" customHeight="1">
      <x:c r="A1653" s="1" t="str">
        <x:v>M1646</x:v>
      </x:c>
      <x:c r="B1653" s="1" t="str">
        <x:v>AR01</x:v>
      </x:c>
      <x:c r="C1653" s="1" t="str">
        <x:v>T6</x:v>
      </x:c>
      <x:c r="D1653" s="1" t="str">
        <x:v>L05</x:v>
      </x:c>
      <x:c r="E1653" s="1" t="str">
        <x:v>Partition walls gross</x:v>
      </x:c>
      <x:c r="F1653" s="35" t="n">
        <x:v>1</x:v>
      </x:c>
      <x:c r="G1653" s="35" t="n">
        <x:f>'Controls'!$B$45</x:f>
        <x:v>220</x:v>
      </x:c>
      <x:c r="H1653" s="35" t="n">
        <x:f>'Controls'!$B$12-'Controls'!$B$13</x:f>
        <x:v>2.98</x:v>
      </x:c>
      <x:c r="I1653" s="35" t="n">
        <x:f>'Controls'!$B$46</x:f>
        <x:v>0.15</x:v>
      </x:c>
      <x:c r="J1653" s="35" t="n">
        <x:v>1</x:v>
      </x:c>
      <x:c r="K1653" s="35" t="n">
        <x:f>F1653*G1653*H1653*I1653*J1653</x:f>
        <x:v>98.34</x:v>
      </x:c>
      <x:c r="L1653" s="1" t="str">
        <x:v>Net openings deducted below</x:v>
      </x:c>
      <x:c r="M1653" s="1"/>
      <x:c r="N1653" s="1"/>
      <x:c r="O1653" s="1"/>
      <x:c r="P1653" s="1"/>
      <x:c r="Q1653" s="1"/>
    </x:row>
    <x:row r="1654" ht="22" customHeight="1">
      <x:c r="A1654" s="36" t="str">
        <x:v>M1647</x:v>
      </x:c>
      <x:c r="B1654" s="36" t="str">
        <x:v>AR01</x:v>
      </x:c>
      <x:c r="C1654" s="36" t="str">
        <x:v>T6</x:v>
      </x:c>
      <x:c r="D1654" s="36" t="str">
        <x:v>L05</x:v>
      </x:c>
      <x:c r="E1654" s="36" t="str">
        <x:v>Internal doors deduction</x:v>
      </x:c>
      <x:c r="F1654" s="37" t="n">
        <x:f>'Controls'!$B$48</x:f>
        <x:v>28</x:v>
      </x:c>
      <x:c r="G1654" s="37" t="n">
        <x:f>'Controls'!$B$49</x:f>
        <x:v>0.9</x:v>
      </x:c>
      <x:c r="H1654" s="37" t="n">
        <x:f>'Controls'!$B$50</x:f>
        <x:v>2.1</x:v>
      </x:c>
      <x:c r="I1654" s="37" t="n">
        <x:f>'Controls'!$B$46</x:f>
        <x:v>0.15</x:v>
      </x:c>
      <x:c r="J1654" s="37" t="n">
        <x:v>-1</x:v>
      </x:c>
      <x:c r="K1654" s="37" t="n">
        <x:f>F1654*G1654*H1654*I1654*J1654</x:f>
        <x:v>-7.938</x:v>
      </x:c>
      <x:c r="L1654" s="36" t="str">
        <x:v>28 doors per floor, OP-02</x:v>
      </x:c>
      <x:c r="M1654" s="1"/>
      <x:c r="N1654" s="1"/>
      <x:c r="O1654" s="1"/>
      <x:c r="P1654" s="1"/>
      <x:c r="Q1654" s="1"/>
    </x:row>
    <x:row r="1655" ht="22" customHeight="1">
      <x:c r="A1655" s="1" t="str">
        <x:v>M1648</x:v>
      </x:c>
      <x:c r="B1655" s="1" t="str">
        <x:v>AR02</x:v>
      </x:c>
      <x:c r="C1655" s="1" t="str">
        <x:v>T6</x:v>
      </x:c>
      <x:c r="D1655" s="1" t="str">
        <x:v>L05</x:v>
      </x:c>
      <x:c r="E1655" s="1" t="str">
        <x:v>Internal plaster gross</x:v>
      </x:c>
      <x:c r="F1655" s="35" t="n">
        <x:v>2</x:v>
      </x:c>
      <x:c r="G1655" s="35" t="n">
        <x:f>'Controls'!$B$45</x:f>
        <x:v>220</x:v>
      </x:c>
      <x:c r="H1655" s="35" t="n">
        <x:f>'Controls'!$B$12-'Controls'!$B$13</x:f>
        <x:v>2.98</x:v>
      </x:c>
      <x:c r="I1655" s="35" t="n">
        <x:v>1</x:v>
      </x:c>
      <x:c r="J1655" s="35" t="n">
        <x:v>1</x:v>
      </x:c>
      <x:c r="K1655" s="35" t="n">
        <x:f>F1655*G1655*H1655*I1655*J1655</x:f>
        <x:v>1311.2</x:v>
      </x:c>
      <x:c r="L1655" s="1" t="str">
        <x:v>Both faces of partition walls</x:v>
      </x:c>
      <x:c r="M1655" s="1"/>
      <x:c r="N1655" s="1"/>
      <x:c r="O1655" s="1"/>
      <x:c r="P1655" s="1"/>
      <x:c r="Q1655" s="1"/>
    </x:row>
    <x:row r="1656" ht="22" customHeight="1">
      <x:c r="A1656" s="36" t="str">
        <x:v>M1649</x:v>
      </x:c>
      <x:c r="B1656" s="36" t="str">
        <x:v>AR02</x:v>
      </x:c>
      <x:c r="C1656" s="36" t="str">
        <x:v>T6</x:v>
      </x:c>
      <x:c r="D1656" s="36" t="str">
        <x:v>L05</x:v>
      </x:c>
      <x:c r="E1656" s="36" t="str">
        <x:v>Door area deduction both faces</x:v>
      </x:c>
      <x:c r="F1656" s="37" t="n">
        <x:f>2*'Controls'!$B$48</x:f>
        <x:v>56</x:v>
      </x:c>
      <x:c r="G1656" s="37" t="n">
        <x:f>'Controls'!$B$49</x:f>
        <x:v>0.9</x:v>
      </x:c>
      <x:c r="H1656" s="37" t="n">
        <x:f>'Controls'!$B$50</x:f>
        <x:v>2.1</x:v>
      </x:c>
      <x:c r="I1656" s="37" t="n">
        <x:v>1</x:v>
      </x:c>
      <x:c r="J1656" s="37" t="n">
        <x:v>-1</x:v>
      </x:c>
      <x:c r="K1656" s="37" t="n">
        <x:f>F1656*G1656*H1656*I1656*J1656</x:f>
        <x:v>-105.84</x:v>
      </x:c>
      <x:c r="L1656" s="36" t="str">
        <x:v>No plaster over openings</x:v>
      </x:c>
      <x:c r="M1656" s="1"/>
      <x:c r="N1656" s="1"/>
      <x:c r="O1656" s="1"/>
      <x:c r="P1656" s="1"/>
      <x:c r="Q1656" s="1"/>
    </x:row>
    <x:row r="1657" ht="22" customHeight="1">
      <x:c r="A1657" s="1" t="str">
        <x:v>M1650</x:v>
      </x:c>
      <x:c r="B1657" s="1" t="str">
        <x:v>AR03</x:v>
      </x:c>
      <x:c r="C1657" s="1" t="str">
        <x:v>T6</x:v>
      </x:c>
      <x:c r="D1657" s="1" t="str">
        <x:v>L05</x:v>
      </x:c>
      <x:c r="E1657" s="1" t="str">
        <x:v>Floor screed net</x:v>
      </x:c>
      <x:c r="F1657" s="35" t="n">
        <x:v>1</x:v>
      </x:c>
      <x:c r="G1657" s="35" t="n">
        <x:f>'Controls'!$B$10*'Controls'!$B$11-'Controls'!$B$20*'Controls'!$B$21</x:f>
        <x:v>696</x:v>
      </x:c>
      <x:c r="H1657" s="35" t="n">
        <x:v>1</x:v>
      </x:c>
      <x:c r="I1657" s="35" t="n">
        <x:v>1</x:v>
      </x:c>
      <x:c r="J1657" s="35" t="n">
        <x:v>1</x:v>
      </x:c>
      <x:c r="K1657" s="35" t="n">
        <x:f>F1657*G1657*H1657*I1657*J1657</x:f>
        <x:v>696</x:v>
      </x:c>
      <x:c r="L1657" s="1" t="str">
        <x:v>Net structural floor area</x:v>
      </x:c>
      <x:c r="M1657" s="1"/>
      <x:c r="N1657" s="1"/>
      <x:c r="O1657" s="1"/>
      <x:c r="P1657" s="1"/>
      <x:c r="Q1657" s="1"/>
    </x:row>
    <x:row r="1658" ht="22" customHeight="1">
      <x:c r="A1658" s="36" t="str">
        <x:v>M1651</x:v>
      </x:c>
      <x:c r="B1658" s="36" t="str">
        <x:v>AR04</x:v>
      </x:c>
      <x:c r="C1658" s="36" t="str">
        <x:v>T6</x:v>
      </x:c>
      <x:c r="D1658" s="36" t="str">
        <x:v>L05</x:v>
      </x:c>
      <x:c r="E1658" s="36" t="str">
        <x:v>Floor finish net</x:v>
      </x:c>
      <x:c r="F1658" s="37" t="n">
        <x:v>1</x:v>
      </x:c>
      <x:c r="G1658" s="37" t="n">
        <x:f>'Controls'!$B$10*'Controls'!$B$11-'Controls'!$B$20*'Controls'!$B$21</x:f>
        <x:v>696</x:v>
      </x:c>
      <x:c r="H1658" s="37" t="n">
        <x:v>1</x:v>
      </x:c>
      <x:c r="I1658" s="37" t="n">
        <x:v>1</x:v>
      </x:c>
      <x:c r="J1658" s="37" t="n">
        <x:v>1</x:v>
      </x:c>
      <x:c r="K1658" s="37" t="n">
        <x:f>F1658*G1658*H1658*I1658*J1658</x:f>
        <x:v>696</x:v>
      </x:c>
      <x:c r="L1658" s="36" t="str">
        <x:v>Waste excluded from BOQ</x:v>
      </x:c>
      <x:c r="M1658" s="1"/>
      <x:c r="N1658" s="1"/>
      <x:c r="O1658" s="1"/>
      <x:c r="P1658" s="1"/>
      <x:c r="Q1658" s="1"/>
    </x:row>
    <x:row r="1659" ht="22" customHeight="1">
      <x:c r="A1659" s="1" t="str">
        <x:v>M1652</x:v>
      </x:c>
      <x:c r="B1659" s="1" t="str">
        <x:v>AR05</x:v>
      </x:c>
      <x:c r="C1659" s="1" t="str">
        <x:v>T6</x:v>
      </x:c>
      <x:c r="D1659" s="1" t="str">
        <x:v>L05</x:v>
      </x:c>
      <x:c r="E1659" s="1" t="str">
        <x:v>Internal wall paint net</x:v>
      </x:c>
      <x:c r="F1659" s="35" t="n">
        <x:v>2</x:v>
      </x:c>
      <x:c r="G1659" s="35" t="n">
        <x:f>'Controls'!$B$45*('Controls'!$B$12-'Controls'!$B$13)-'Controls'!$B$48*'Controls'!$B$49*'Controls'!$B$50</x:f>
        <x:v>602.6800000000001</x:v>
      </x:c>
      <x:c r="H1659" s="35" t="n">
        <x:v>1</x:v>
      </x:c>
      <x:c r="I1659" s="35" t="n">
        <x:v>1</x:v>
      </x:c>
      <x:c r="J1659" s="35" t="n">
        <x:v>1</x:v>
      </x:c>
      <x:c r="K1659" s="35" t="n">
        <x:f>F1659*G1659*H1659*I1659*J1659</x:f>
        <x:v>1205.3600000000001</x:v>
      </x:c>
      <x:c r="L1659" s="1" t="str">
        <x:v>Finished area; two coats priced in rate</x:v>
      </x:c>
      <x:c r="M1659" s="1"/>
      <x:c r="N1659" s="1"/>
      <x:c r="O1659" s="1"/>
      <x:c r="P1659" s="1"/>
      <x:c r="Q1659" s="1"/>
    </x:row>
    <x:row r="1660" ht="22" customHeight="1">
      <x:c r="A1660" s="36" t="str">
        <x:v>M1653</x:v>
      </x:c>
      <x:c r="B1660" s="36" t="str">
        <x:v>AR06</x:v>
      </x:c>
      <x:c r="C1660" s="36" t="str">
        <x:v>T6</x:v>
      </x:c>
      <x:c r="D1660" s="36" t="str">
        <x:v>L05</x:v>
      </x:c>
      <x:c r="E1660" s="36" t="str">
        <x:v>Door sets</x:v>
      </x:c>
      <x:c r="F1660" s="37" t="n">
        <x:f>'Controls'!$B$48</x:f>
        <x:v>28</x:v>
      </x:c>
      <x:c r="G1660" s="37" t="n">
        <x:v>1</x:v>
      </x:c>
      <x:c r="H1660" s="37" t="n">
        <x:v>1</x:v>
      </x:c>
      <x:c r="I1660" s="37" t="n">
        <x:v>1</x:v>
      </x:c>
      <x:c r="J1660" s="37" t="n">
        <x:v>1</x:v>
      </x:c>
      <x:c r="K1660" s="37" t="n">
        <x:f>F1660*G1660*H1660*I1660*J1660</x:f>
        <x:v>28</x:v>
      </x:c>
      <x:c r="L1660" s="36" t="str">
        <x:v>Door count, not double face</x:v>
      </x:c>
      <x:c r="M1660" s="1"/>
      <x:c r="N1660" s="1"/>
      <x:c r="O1660" s="1"/>
      <x:c r="P1660" s="1"/>
      <x:c r="Q1660" s="1"/>
    </x:row>
    <x:row r="1661" ht="22" customHeight="1">
      <x:c r="A1661" s="1" t="str">
        <x:v>M1654</x:v>
      </x:c>
      <x:c r="B1661" s="1" t="str">
        <x:v>RC03</x:v>
      </x:c>
      <x:c r="C1661" s="1" t="str">
        <x:v>T6</x:v>
      </x:c>
      <x:c r="D1661" s="1" t="str">
        <x:v>L06</x:v>
      </x:c>
      <x:c r="E1661" s="1" t="str">
        <x:v>Floor slab gross</x:v>
      </x:c>
      <x:c r="F1661" s="35" t="n">
        <x:v>1</x:v>
      </x:c>
      <x:c r="G1661" s="35" t="n">
        <x:f>'Controls'!$B$10</x:f>
        <x:v>30</x:v>
      </x:c>
      <x:c r="H1661" s="35" t="n">
        <x:f>'Controls'!$B$11</x:f>
        <x:v>24</x:v>
      </x:c>
      <x:c r="I1661" s="35" t="n">
        <x:f>'Controls'!$B$13</x:f>
        <x:v>0.22</x:v>
      </x:c>
      <x:c r="J1661" s="35" t="n">
        <x:v>1</x:v>
      </x:c>
      <x:c r="K1661" s="35" t="n">
        <x:f>F1661*G1661*H1661*I1661*J1661</x:f>
        <x:v>158.4</x:v>
      </x:c>
      <x:c r="L1661" s="1" t="str">
        <x:v>Slab includes beam top flange; downstand separate</x:v>
      </x:c>
      <x:c r="M1661" s="1"/>
      <x:c r="N1661" s="1"/>
      <x:c r="O1661" s="1"/>
      <x:c r="P1661" s="1"/>
      <x:c r="Q1661" s="1"/>
    </x:row>
    <x:row r="1662" ht="22" customHeight="1">
      <x:c r="A1662" s="36" t="str">
        <x:v>M1655</x:v>
      </x:c>
      <x:c r="B1662" s="36" t="str">
        <x:v>RC03</x:v>
      </x:c>
      <x:c r="C1662" s="36" t="str">
        <x:v>T6</x:v>
      </x:c>
      <x:c r="D1662" s="36" t="str">
        <x:v>L06</x:v>
      </x:c>
      <x:c r="E1662" s="36" t="str">
        <x:v>Stair opening deduction</x:v>
      </x:c>
      <x:c r="F1662" s="37" t="n">
        <x:v>1</x:v>
      </x:c>
      <x:c r="G1662" s="37" t="n">
        <x:f>'Controls'!$B$20</x:f>
        <x:v>4</x:v>
      </x:c>
      <x:c r="H1662" s="37" t="n">
        <x:f>'Controls'!$B$21</x:f>
        <x:v>6</x:v>
      </x:c>
      <x:c r="I1662" s="37" t="n">
        <x:f>'Controls'!$B$13</x:f>
        <x:v>0.22</x:v>
      </x:c>
      <x:c r="J1662" s="37" t="n">
        <x:v>-1</x:v>
      </x:c>
      <x:c r="K1662" s="37" t="n">
        <x:f>F1662*G1662*H1662*I1662*J1662</x:f>
        <x:v>-5.28</x:v>
      </x:c>
      <x:c r="L1662" s="36" t="str">
        <x:v>Opening OP-01</x:v>
      </x:c>
      <x:c r="M1662" s="1"/>
      <x:c r="N1662" s="1"/>
      <x:c r="O1662" s="1"/>
      <x:c r="P1662" s="1"/>
      <x:c r="Q1662" s="1"/>
    </x:row>
    <x:row r="1663" ht="22" customHeight="1">
      <x:c r="A1663" s="1" t="str">
        <x:v>M1656</x:v>
      </x:c>
      <x:c r="B1663" s="1" t="str">
        <x:v>RC04</x:v>
      </x:c>
      <x:c r="C1663" s="1" t="str">
        <x:v>T6</x:v>
      </x:c>
      <x:c r="D1663" s="1" t="str">
        <x:v>L06</x:v>
      </x:c>
      <x:c r="E1663" s="1" t="str">
        <x:v>Beam downstands X</x:v>
      </x:c>
      <x:c r="F1663" s="35" t="n">
        <x:v>1</x:v>
      </x:c>
      <x:c r="G1663" s="35" t="n">
        <x:f>5*5*('Controls'!$B$10/5-'Controls'!$B$14)</x:f>
        <x:v>137.5</x:v>
      </x:c>
      <x:c r="H1663" s="35" t="n">
        <x:f>'Controls'!$B$16</x:f>
        <x:v>0.3</x:v>
      </x:c>
      <x:c r="I1663" s="35" t="n">
        <x:f>'Controls'!$B$17-'Controls'!$B$13</x:f>
        <x:v>0.38</x:v>
      </x:c>
      <x:c r="J1663" s="35" t="n">
        <x:v>1</x:v>
      </x:c>
      <x:c r="K1663" s="35" t="n">
        <x:f>F1663*G1663*H1663*I1663*J1663</x:f>
        <x:v>15.675</x:v>
      </x:c>
      <x:c r="L1663" s="1" t="str">
        <x:v>Clear spans between column faces; no joint overlap</x:v>
      </x:c>
      <x:c r="M1663" s="1"/>
      <x:c r="N1663" s="1"/>
      <x:c r="O1663" s="1"/>
      <x:c r="P1663" s="1"/>
      <x:c r="Q1663" s="1"/>
    </x:row>
    <x:row r="1664" ht="22" customHeight="1">
      <x:c r="A1664" s="36" t="str">
        <x:v>M1657</x:v>
      </x:c>
      <x:c r="B1664" s="36" t="str">
        <x:v>FW02</x:v>
      </x:c>
      <x:c r="C1664" s="36" t="str">
        <x:v>T6</x:v>
      </x:c>
      <x:c r="D1664" s="36" t="str">
        <x:v>L06</x:v>
      </x:c>
      <x:c r="E1664" s="36" t="str">
        <x:v>Beam forms X</x:v>
      </x:c>
      <x:c r="F1664" s="37" t="n">
        <x:v>1</x:v>
      </x:c>
      <x:c r="G1664" s="37" t="n">
        <x:f>5*5*('Controls'!$B$10/5-'Controls'!$B$14)</x:f>
        <x:v>137.5</x:v>
      </x:c>
      <x:c r="H1664" s="37" t="n">
        <x:f>'Controls'!$B$16+2*('Controls'!$B$17-'Controls'!$B$13)</x:f>
        <x:v>1.06</x:v>
      </x:c>
      <x:c r="I1664" s="37" t="n">
        <x:v>1</x:v>
      </x:c>
      <x:c r="J1664" s="37" t="n">
        <x:v>1</x:v>
      </x:c>
      <x:c r="K1664" s="37" t="n">
        <x:f>F1664*G1664*H1664*I1664*J1664</x:f>
        <x:v>145.75</x:v>
      </x:c>
      <x:c r="L1664" s="36" t="str">
        <x:v>Soffit plus two downstand sides</x:v>
      </x:c>
      <x:c r="M1664" s="1"/>
      <x:c r="N1664" s="1"/>
      <x:c r="O1664" s="1"/>
      <x:c r="P1664" s="1"/>
      <x:c r="Q1664" s="1"/>
    </x:row>
    <x:row r="1665" ht="22" customHeight="1">
      <x:c r="A1665" s="1" t="str">
        <x:v>M1658</x:v>
      </x:c>
      <x:c r="B1665" s="1" t="str">
        <x:v>RC04</x:v>
      </x:c>
      <x:c r="C1665" s="1" t="str">
        <x:v>T6</x:v>
      </x:c>
      <x:c r="D1665" s="1" t="str">
        <x:v>L06</x:v>
      </x:c>
      <x:c r="E1665" s="1" t="str">
        <x:v>Beam downstands Y</x:v>
      </x:c>
      <x:c r="F1665" s="35" t="n">
        <x:v>1</x:v>
      </x:c>
      <x:c r="G1665" s="35" t="n">
        <x:f>6*4*('Controls'!$B$11/4-'Controls'!$B$15)</x:f>
        <x:v>132</x:v>
      </x:c>
      <x:c r="H1665" s="35" t="n">
        <x:f>'Controls'!$B$16</x:f>
        <x:v>0.3</x:v>
      </x:c>
      <x:c r="I1665" s="35" t="n">
        <x:f>'Controls'!$B$17-'Controls'!$B$13</x:f>
        <x:v>0.38</x:v>
      </x:c>
      <x:c r="J1665" s="35" t="n">
        <x:v>1</x:v>
      </x:c>
      <x:c r="K1665" s="35" t="n">
        <x:f>F1665*G1665*H1665*I1665*J1665</x:f>
        <x:v>15.048</x:v>
      </x:c>
      <x:c r="L1665" s="1" t="str">
        <x:v>Clear spans between column faces; no joint overlap</x:v>
      </x:c>
      <x:c r="M1665" s="1"/>
      <x:c r="N1665" s="1"/>
      <x:c r="O1665" s="1"/>
      <x:c r="P1665" s="1"/>
      <x:c r="Q1665" s="1"/>
    </x:row>
    <x:row r="1666" ht="22" customHeight="1">
      <x:c r="A1666" s="36" t="str">
        <x:v>M1659</x:v>
      </x:c>
      <x:c r="B1666" s="36" t="str">
        <x:v>FW02</x:v>
      </x:c>
      <x:c r="C1666" s="36" t="str">
        <x:v>T6</x:v>
      </x:c>
      <x:c r="D1666" s="36" t="str">
        <x:v>L06</x:v>
      </x:c>
      <x:c r="E1666" s="36" t="str">
        <x:v>Beam forms Y</x:v>
      </x:c>
      <x:c r="F1666" s="37" t="n">
        <x:v>1</x:v>
      </x:c>
      <x:c r="G1666" s="37" t="n">
        <x:f>6*4*('Controls'!$B$11/4-'Controls'!$B$15)</x:f>
        <x:v>132</x:v>
      </x:c>
      <x:c r="H1666" s="37" t="n">
        <x:f>'Controls'!$B$16+2*('Controls'!$B$17-'Controls'!$B$13)</x:f>
        <x:v>1.06</x:v>
      </x:c>
      <x:c r="I1666" s="37" t="n">
        <x:v>1</x:v>
      </x:c>
      <x:c r="J1666" s="37" t="n">
        <x:v>1</x:v>
      </x:c>
      <x:c r="K1666" s="37" t="n">
        <x:f>F1666*G1666*H1666*I1666*J1666</x:f>
        <x:v>139.92000000000002</x:v>
      </x:c>
      <x:c r="L1666" s="36" t="str">
        <x:v>Soffit plus two downstand sides</x:v>
      </x:c>
      <x:c r="M1666" s="1"/>
      <x:c r="N1666" s="1"/>
      <x:c r="O1666" s="1"/>
      <x:c r="P1666" s="1"/>
      <x:c r="Q1666" s="1"/>
    </x:row>
    <x:row r="1667" ht="22" customHeight="1">
      <x:c r="A1667" s="1" t="str">
        <x:v>M1660</x:v>
      </x:c>
      <x:c r="B1667" s="1" t="str">
        <x:v>RC05</x:v>
      </x:c>
      <x:c r="C1667" s="1" t="str">
        <x:v>T6</x:v>
      </x:c>
      <x:c r="D1667" s="1" t="str">
        <x:v>L06</x:v>
      </x:c>
      <x:c r="E1667" s="1" t="str">
        <x:v>Thirty columns, clear storey</x:v>
      </x:c>
      <x:c r="F1667" s="35" t="n">
        <x:v>30</x:v>
      </x:c>
      <x:c r="G1667" s="35" t="n">
        <x:f>'Controls'!$B$14</x:f>
        <x:v>0.5</x:v>
      </x:c>
      <x:c r="H1667" s="35" t="n">
        <x:f>'Controls'!$B$15</x:f>
        <x:v>0.5</x:v>
      </x:c>
      <x:c r="I1667" s="35" t="n">
        <x:f>'Controls'!$B$12-'Controls'!$B$13</x:f>
        <x:v>2.98</x:v>
      </x:c>
      <x:c r="J1667" s="35" t="n">
        <x:v>1</x:v>
      </x:c>
      <x:c r="K1667" s="35" t="n">
        <x:f>F1667*G1667*H1667*I1667*J1667</x:f>
        <x:v>22.35</x:v>
      </x:c>
      <x:c r="L1667" s="1" t="str">
        <x:v>Slab volume excluded from columns</x:v>
      </x:c>
      <x:c r="M1667" s="1"/>
      <x:c r="N1667" s="1"/>
      <x:c r="O1667" s="1"/>
      <x:c r="P1667" s="1"/>
      <x:c r="Q1667" s="1"/>
    </x:row>
    <x:row r="1668" ht="22" customHeight="1">
      <x:c r="A1668" s="36" t="str">
        <x:v>M1661</x:v>
      </x:c>
      <x:c r="B1668" s="36" t="str">
        <x:v>RC06</x:v>
      </x:c>
      <x:c r="C1668" s="36" t="str">
        <x:v>T6</x:v>
      </x:c>
      <x:c r="D1668" s="36" t="str">
        <x:v>L06</x:v>
      </x:c>
      <x:c r="E1668" s="36" t="str">
        <x:v>Core walls clear storey</x:v>
      </x:c>
      <x:c r="F1668" s="37" t="n">
        <x:v>1</x:v>
      </x:c>
      <x:c r="G1668" s="37" t="n">
        <x:f>'Controls'!$B$19</x:f>
        <x:v>24</x:v>
      </x:c>
      <x:c r="H1668" s="37" t="n">
        <x:f>'Controls'!$B$18</x:f>
        <x:v>0.25</x:v>
      </x:c>
      <x:c r="I1668" s="37" t="n">
        <x:f>'Controls'!$B$12-'Controls'!$B$13</x:f>
        <x:v>2.98</x:v>
      </x:c>
      <x:c r="J1668" s="37" t="n">
        <x:v>1</x:v>
      </x:c>
      <x:c r="K1668" s="37" t="n">
        <x:f>F1668*G1668*H1668*I1668*J1668</x:f>
        <x:v>17.88</x:v>
      </x:c>
      <x:c r="L1668" s="36" t="str">
        <x:v>Net clear wall length excludes corners</x:v>
      </x:c>
      <x:c r="M1668" s="1"/>
      <x:c r="N1668" s="1"/>
      <x:c r="O1668" s="1"/>
      <x:c r="P1668" s="1"/>
      <x:c r="Q1668" s="1"/>
    </x:row>
    <x:row r="1669" ht="22" customHeight="1">
      <x:c r="A1669" s="1" t="str">
        <x:v>M1662</x:v>
      </x:c>
      <x:c r="B1669" s="1" t="str">
        <x:v>RC07</x:v>
      </x:c>
      <x:c r="C1669" s="1" t="str">
        <x:v>T6</x:v>
      </x:c>
      <x:c r="D1669" s="1" t="str">
        <x:v>L06</x:v>
      </x:c>
      <x:c r="E1669" s="1" t="str">
        <x:v>Stair flights waist</x:v>
      </x:c>
      <x:c r="F1669" s="35" t="n">
        <x:v>2</x:v>
      </x:c>
      <x:c r="G1669" s="35" t="n">
        <x:v>4.1</x:v>
      </x:c>
      <x:c r="H1669" s="35" t="n">
        <x:v>1.2</x:v>
      </x:c>
      <x:c r="I1669" s="35" t="n">
        <x:v>0.18</x:v>
      </x:c>
      <x:c r="J1669" s="35" t="n">
        <x:v>1</x:v>
      </x:c>
      <x:c r="K1669" s="35" t="n">
        <x:f>F1669*G1669*H1669*I1669*J1669</x:f>
        <x:v>1.7711999999999997</x:v>
      </x:c>
      <x:c r="L1669" s="1" t="str">
        <x:v>Two flights; geometry separate from floor slab</x:v>
      </x:c>
      <x:c r="M1669" s="1"/>
      <x:c r="N1669" s="1"/>
      <x:c r="O1669" s="1"/>
      <x:c r="P1669" s="1"/>
      <x:c r="Q1669" s="1"/>
    </x:row>
    <x:row r="1670" ht="22" customHeight="1">
      <x:c r="A1670" s="36" t="str">
        <x:v>M1663</x:v>
      </x:c>
      <x:c r="B1670" s="36" t="str">
        <x:v>RC07</x:v>
      </x:c>
      <x:c r="C1670" s="36" t="str">
        <x:v>T6</x:v>
      </x:c>
      <x:c r="D1670" s="36" t="str">
        <x:v>L06</x:v>
      </x:c>
      <x:c r="E1670" s="36" t="str">
        <x:v>Stair landings</x:v>
      </x:c>
      <x:c r="F1670" s="37" t="n">
        <x:v>2</x:v>
      </x:c>
      <x:c r="G1670" s="37" t="n">
        <x:v>2</x:v>
      </x:c>
      <x:c r="H1670" s="37" t="n">
        <x:v>1.2</x:v>
      </x:c>
      <x:c r="I1670" s="37" t="n">
        <x:v>0.18</x:v>
      </x:c>
      <x:c r="J1670" s="37" t="n">
        <x:v>1</x:v>
      </x:c>
      <x:c r="K1670" s="37" t="n">
        <x:f>F1670*G1670*H1670*I1670*J1670</x:f>
        <x:v>0.864</x:v>
      </x:c>
      <x:c r="L1670" s="36" t="str">
        <x:v>Within stair opening</x:v>
      </x:c>
      <x:c r="M1670" s="1"/>
      <x:c r="N1670" s="1"/>
      <x:c r="O1670" s="1"/>
      <x:c r="P1670" s="1"/>
      <x:c r="Q1670" s="1"/>
    </x:row>
    <x:row r="1671" ht="22" customHeight="1">
      <x:c r="A1671" s="1" t="str">
        <x:v>M1664</x:v>
      </x:c>
      <x:c r="B1671" s="1" t="str">
        <x:v>FW01</x:v>
      </x:c>
      <x:c r="C1671" s="1" t="str">
        <x:v>T6</x:v>
      </x:c>
      <x:c r="D1671" s="1" t="str">
        <x:v>L06</x:v>
      </x:c>
      <x:c r="E1671" s="1" t="str">
        <x:v>Slab soffit gross</x:v>
      </x:c>
      <x:c r="F1671" s="35" t="n">
        <x:v>1</x:v>
      </x:c>
      <x:c r="G1671" s="35" t="n">
        <x:f>'Controls'!$B$10</x:f>
        <x:v>30</x:v>
      </x:c>
      <x:c r="H1671" s="35" t="n">
        <x:f>'Controls'!$B$11</x:f>
        <x:v>24</x:v>
      </x:c>
      <x:c r="I1671" s="35" t="n">
        <x:v>1</x:v>
      </x:c>
      <x:c r="J1671" s="35" t="n">
        <x:v>1</x:v>
      </x:c>
      <x:c r="K1671" s="35" t="n">
        <x:f>F1671*G1671*H1671*I1671*J1671</x:f>
        <x:v>720</x:v>
      </x:c>
      <x:c r="L1671" s="1" t="str">
        <x:v>Beam soffit deducted below</x:v>
      </x:c>
      <x:c r="M1671" s="1"/>
      <x:c r="N1671" s="1"/>
      <x:c r="O1671" s="1"/>
      <x:c r="P1671" s="1"/>
      <x:c r="Q1671" s="1"/>
    </x:row>
    <x:row r="1672" ht="22" customHeight="1">
      <x:c r="A1672" s="36" t="str">
        <x:v>M1665</x:v>
      </x:c>
      <x:c r="B1672" s="36" t="str">
        <x:v>FW01</x:v>
      </x:c>
      <x:c r="C1672" s="36" t="str">
        <x:v>T6</x:v>
      </x:c>
      <x:c r="D1672" s="36" t="str">
        <x:v>L06</x:v>
      </x:c>
      <x:c r="E1672" s="36" t="str">
        <x:v>Stair opening deduction</x:v>
      </x:c>
      <x:c r="F1672" s="37" t="n">
        <x:v>1</x:v>
      </x:c>
      <x:c r="G1672" s="37" t="n">
        <x:f>'Controls'!$B$20</x:f>
        <x:v>4</x:v>
      </x:c>
      <x:c r="H1672" s="37" t="n">
        <x:f>'Controls'!$B$21</x:f>
        <x:v>6</x:v>
      </x:c>
      <x:c r="I1672" s="37" t="n">
        <x:v>1</x:v>
      </x:c>
      <x:c r="J1672" s="37" t="n">
        <x:v>-1</x:v>
      </x:c>
      <x:c r="K1672" s="37" t="n">
        <x:f>F1672*G1672*H1672*I1672*J1672</x:f>
        <x:v>-24</x:v>
      </x:c>
      <x:c r="L1672" s="36" t="str">
        <x:v>OP-01</x:v>
      </x:c>
      <x:c r="M1672" s="1"/>
      <x:c r="N1672" s="1"/>
      <x:c r="O1672" s="1"/>
      <x:c r="P1672" s="1"/>
      <x:c r="Q1672" s="1"/>
    </x:row>
    <x:row r="1673" ht="22" customHeight="1">
      <x:c r="A1673" s="1" t="str">
        <x:v>M1666</x:v>
      </x:c>
      <x:c r="B1673" s="1" t="str">
        <x:v>FW01</x:v>
      </x:c>
      <x:c r="C1673" s="1" t="str">
        <x:v>T6</x:v>
      </x:c>
      <x:c r="D1673" s="1" t="str">
        <x:v>L06</x:v>
      </x:c>
      <x:c r="E1673" s="1" t="str">
        <x:v>Beam soffit deduction</x:v>
      </x:c>
      <x:c r="F1673" s="35" t="n">
        <x:v>1</x:v>
      </x:c>
      <x:c r="G1673" s="35" t="n">
        <x:f>5*5*('Controls'!$B$10/5-'Controls'!$B$14)+6*4*('Controls'!$B$11/4-'Controls'!$B$15)</x:f>
        <x:v>269.5</x:v>
      </x:c>
      <x:c r="H1673" s="35" t="n">
        <x:f>'Controls'!$B$16</x:f>
        <x:v>0.3</x:v>
      </x:c>
      <x:c r="I1673" s="35" t="n">
        <x:v>1</x:v>
      </x:c>
      <x:c r="J1673" s="35" t="n">
        <x:v>-1</x:v>
      </x:c>
      <x:c r="K1673" s="35" t="n">
        <x:f>F1673*G1673*H1673*I1673*J1673</x:f>
        <x:v>-80.85</x:v>
      </x:c>
      <x:c r="L1673" s="1" t="str">
        <x:v>Beam forms measured in FW02</x:v>
      </x:c>
      <x:c r="M1673" s="1"/>
      <x:c r="N1673" s="1"/>
      <x:c r="O1673" s="1"/>
      <x:c r="P1673" s="1"/>
      <x:c r="Q1673" s="1"/>
    </x:row>
    <x:row r="1674" ht="22" customHeight="1">
      <x:c r="A1674" s="36" t="str">
        <x:v>M1667</x:v>
      </x:c>
      <x:c r="B1674" s="36" t="str">
        <x:v>FW03</x:v>
      </x:c>
      <x:c r="C1674" s="36" t="str">
        <x:v>T6</x:v>
      </x:c>
      <x:c r="D1674" s="36" t="str">
        <x:v>L06</x:v>
      </x:c>
      <x:c r="E1674" s="36" t="str">
        <x:v>Column four faces</x:v>
      </x:c>
      <x:c r="F1674" s="37" t="n">
        <x:v>30</x:v>
      </x:c>
      <x:c r="G1674" s="37" t="n">
        <x:f>2*('Controls'!$B$14+'Controls'!$B$15)</x:f>
        <x:v>2</x:v>
      </x:c>
      <x:c r="H1674" s="37" t="n">
        <x:f>'Controls'!$B$12-'Controls'!$B$13</x:f>
        <x:v>2.98</x:v>
      </x:c>
      <x:c r="I1674" s="37" t="n">
        <x:v>1</x:v>
      </x:c>
      <x:c r="J1674" s="37" t="n">
        <x:v>1</x:v>
      </x:c>
      <x:c r="K1674" s="37" t="n">
        <x:f>F1674*G1674*H1674*I1674*J1674</x:f>
        <x:v>178.8</x:v>
      </x:c>
      <x:c r="L1674" s="36" t="str">
        <x:v>Clear floor-to-soffit</x:v>
      </x:c>
      <x:c r="M1674" s="1"/>
      <x:c r="N1674" s="1"/>
      <x:c r="O1674" s="1"/>
      <x:c r="P1674" s="1"/>
      <x:c r="Q1674" s="1"/>
    </x:row>
    <x:row r="1675" ht="22" customHeight="1">
      <x:c r="A1675" s="1" t="str">
        <x:v>M1668</x:v>
      </x:c>
      <x:c r="B1675" s="1" t="str">
        <x:v>FW04</x:v>
      </x:c>
      <x:c r="C1675" s="1" t="str">
        <x:v>T6</x:v>
      </x:c>
      <x:c r="D1675" s="1" t="str">
        <x:v>L06</x:v>
      </x:c>
      <x:c r="E1675" s="1" t="str">
        <x:v>Core wall two faces</x:v>
      </x:c>
      <x:c r="F1675" s="35" t="n">
        <x:v>2</x:v>
      </x:c>
      <x:c r="G1675" s="35" t="n">
        <x:f>'Controls'!$B$19</x:f>
        <x:v>24</x:v>
      </x:c>
      <x:c r="H1675" s="35" t="n">
        <x:f>'Controls'!$B$12-'Controls'!$B$13</x:f>
        <x:v>2.98</x:v>
      </x:c>
      <x:c r="I1675" s="35" t="n">
        <x:v>1</x:v>
      </x:c>
      <x:c r="J1675" s="35" t="n">
        <x:v>1</x:v>
      </x:c>
      <x:c r="K1675" s="35" t="n">
        <x:f>F1675*G1675*H1675*I1675*J1675</x:f>
        <x:v>143.04</x:v>
      </x:c>
      <x:c r="L1675" s="1" t="str">
        <x:v>Net perimeter, no repeated corners</x:v>
      </x:c>
      <x:c r="M1675" s="1"/>
      <x:c r="N1675" s="1"/>
      <x:c r="O1675" s="1"/>
      <x:c r="P1675" s="1"/>
      <x:c r="Q1675" s="1"/>
    </x:row>
    <x:row r="1676" ht="22" customHeight="1">
      <x:c r="A1676" s="36" t="str">
        <x:v>M1669</x:v>
      </x:c>
      <x:c r="B1676" s="36" t="str">
        <x:v>AR01</x:v>
      </x:c>
      <x:c r="C1676" s="36" t="str">
        <x:v>T6</x:v>
      </x:c>
      <x:c r="D1676" s="36" t="str">
        <x:v>L06</x:v>
      </x:c>
      <x:c r="E1676" s="36" t="str">
        <x:v>Partition walls gross</x:v>
      </x:c>
      <x:c r="F1676" s="37" t="n">
        <x:v>1</x:v>
      </x:c>
      <x:c r="G1676" s="37" t="n">
        <x:f>'Controls'!$B$45</x:f>
        <x:v>220</x:v>
      </x:c>
      <x:c r="H1676" s="37" t="n">
        <x:f>'Controls'!$B$12-'Controls'!$B$13</x:f>
        <x:v>2.98</x:v>
      </x:c>
      <x:c r="I1676" s="37" t="n">
        <x:f>'Controls'!$B$46</x:f>
        <x:v>0.15</x:v>
      </x:c>
      <x:c r="J1676" s="37" t="n">
        <x:v>1</x:v>
      </x:c>
      <x:c r="K1676" s="37" t="n">
        <x:f>F1676*G1676*H1676*I1676*J1676</x:f>
        <x:v>98.34</x:v>
      </x:c>
      <x:c r="L1676" s="36" t="str">
        <x:v>Net openings deducted below</x:v>
      </x:c>
      <x:c r="M1676" s="1"/>
      <x:c r="N1676" s="1"/>
      <x:c r="O1676" s="1"/>
      <x:c r="P1676" s="1"/>
      <x:c r="Q1676" s="1"/>
    </x:row>
    <x:row r="1677" ht="22" customHeight="1">
      <x:c r="A1677" s="1" t="str">
        <x:v>M1670</x:v>
      </x:c>
      <x:c r="B1677" s="1" t="str">
        <x:v>AR01</x:v>
      </x:c>
      <x:c r="C1677" s="1" t="str">
        <x:v>T6</x:v>
      </x:c>
      <x:c r="D1677" s="1" t="str">
        <x:v>L06</x:v>
      </x:c>
      <x:c r="E1677" s="1" t="str">
        <x:v>Internal doors deduction</x:v>
      </x:c>
      <x:c r="F1677" s="35" t="n">
        <x:f>'Controls'!$B$48</x:f>
        <x:v>28</x:v>
      </x:c>
      <x:c r="G1677" s="35" t="n">
        <x:f>'Controls'!$B$49</x:f>
        <x:v>0.9</x:v>
      </x:c>
      <x:c r="H1677" s="35" t="n">
        <x:f>'Controls'!$B$50</x:f>
        <x:v>2.1</x:v>
      </x:c>
      <x:c r="I1677" s="35" t="n">
        <x:f>'Controls'!$B$46</x:f>
        <x:v>0.15</x:v>
      </x:c>
      <x:c r="J1677" s="35" t="n">
        <x:v>-1</x:v>
      </x:c>
      <x:c r="K1677" s="35" t="n">
        <x:f>F1677*G1677*H1677*I1677*J1677</x:f>
        <x:v>-7.938</x:v>
      </x:c>
      <x:c r="L1677" s="1" t="str">
        <x:v>28 doors per floor, OP-02</x:v>
      </x:c>
      <x:c r="M1677" s="1"/>
      <x:c r="N1677" s="1"/>
      <x:c r="O1677" s="1"/>
      <x:c r="P1677" s="1"/>
      <x:c r="Q1677" s="1"/>
    </x:row>
    <x:row r="1678" ht="22" customHeight="1">
      <x:c r="A1678" s="36" t="str">
        <x:v>M1671</x:v>
      </x:c>
      <x:c r="B1678" s="36" t="str">
        <x:v>AR02</x:v>
      </x:c>
      <x:c r="C1678" s="36" t="str">
        <x:v>T6</x:v>
      </x:c>
      <x:c r="D1678" s="36" t="str">
        <x:v>L06</x:v>
      </x:c>
      <x:c r="E1678" s="36" t="str">
        <x:v>Internal plaster gross</x:v>
      </x:c>
      <x:c r="F1678" s="37" t="n">
        <x:v>2</x:v>
      </x:c>
      <x:c r="G1678" s="37" t="n">
        <x:f>'Controls'!$B$45</x:f>
        <x:v>220</x:v>
      </x:c>
      <x:c r="H1678" s="37" t="n">
        <x:f>'Controls'!$B$12-'Controls'!$B$13</x:f>
        <x:v>2.98</x:v>
      </x:c>
      <x:c r="I1678" s="37" t="n">
        <x:v>1</x:v>
      </x:c>
      <x:c r="J1678" s="37" t="n">
        <x:v>1</x:v>
      </x:c>
      <x:c r="K1678" s="37" t="n">
        <x:f>F1678*G1678*H1678*I1678*J1678</x:f>
        <x:v>1311.2</x:v>
      </x:c>
      <x:c r="L1678" s="36" t="str">
        <x:v>Both faces of partition walls</x:v>
      </x:c>
      <x:c r="M1678" s="1"/>
      <x:c r="N1678" s="1"/>
      <x:c r="O1678" s="1"/>
      <x:c r="P1678" s="1"/>
      <x:c r="Q1678" s="1"/>
    </x:row>
    <x:row r="1679" ht="22" customHeight="1">
      <x:c r="A1679" s="1" t="str">
        <x:v>M1672</x:v>
      </x:c>
      <x:c r="B1679" s="1" t="str">
        <x:v>AR02</x:v>
      </x:c>
      <x:c r="C1679" s="1" t="str">
        <x:v>T6</x:v>
      </x:c>
      <x:c r="D1679" s="1" t="str">
        <x:v>L06</x:v>
      </x:c>
      <x:c r="E1679" s="1" t="str">
        <x:v>Door area deduction both faces</x:v>
      </x:c>
      <x:c r="F1679" s="35" t="n">
        <x:f>2*'Controls'!$B$48</x:f>
        <x:v>56</x:v>
      </x:c>
      <x:c r="G1679" s="35" t="n">
        <x:f>'Controls'!$B$49</x:f>
        <x:v>0.9</x:v>
      </x:c>
      <x:c r="H1679" s="35" t="n">
        <x:f>'Controls'!$B$50</x:f>
        <x:v>2.1</x:v>
      </x:c>
      <x:c r="I1679" s="35" t="n">
        <x:v>1</x:v>
      </x:c>
      <x:c r="J1679" s="35" t="n">
        <x:v>-1</x:v>
      </x:c>
      <x:c r="K1679" s="35" t="n">
        <x:f>F1679*G1679*H1679*I1679*J1679</x:f>
        <x:v>-105.84</x:v>
      </x:c>
      <x:c r="L1679" s="1" t="str">
        <x:v>No plaster over openings</x:v>
      </x:c>
      <x:c r="M1679" s="1"/>
      <x:c r="N1679" s="1"/>
      <x:c r="O1679" s="1"/>
      <x:c r="P1679" s="1"/>
      <x:c r="Q1679" s="1"/>
    </x:row>
    <x:row r="1680" ht="22" customHeight="1">
      <x:c r="A1680" s="36" t="str">
        <x:v>M1673</x:v>
      </x:c>
      <x:c r="B1680" s="36" t="str">
        <x:v>AR03</x:v>
      </x:c>
      <x:c r="C1680" s="36" t="str">
        <x:v>T6</x:v>
      </x:c>
      <x:c r="D1680" s="36" t="str">
        <x:v>L06</x:v>
      </x:c>
      <x:c r="E1680" s="36" t="str">
        <x:v>Floor screed net</x:v>
      </x:c>
      <x:c r="F1680" s="37" t="n">
        <x:v>1</x:v>
      </x:c>
      <x:c r="G1680" s="37" t="n">
        <x:f>'Controls'!$B$10*'Controls'!$B$11-'Controls'!$B$20*'Controls'!$B$21</x:f>
        <x:v>696</x:v>
      </x:c>
      <x:c r="H1680" s="37" t="n">
        <x:v>1</x:v>
      </x:c>
      <x:c r="I1680" s="37" t="n">
        <x:v>1</x:v>
      </x:c>
      <x:c r="J1680" s="37" t="n">
        <x:v>1</x:v>
      </x:c>
      <x:c r="K1680" s="37" t="n">
        <x:f>F1680*G1680*H1680*I1680*J1680</x:f>
        <x:v>696</x:v>
      </x:c>
      <x:c r="L1680" s="36" t="str">
        <x:v>Net structural floor area</x:v>
      </x:c>
      <x:c r="M1680" s="1"/>
      <x:c r="N1680" s="1"/>
      <x:c r="O1680" s="1"/>
      <x:c r="P1680" s="1"/>
      <x:c r="Q1680" s="1"/>
    </x:row>
    <x:row r="1681" ht="22" customHeight="1">
      <x:c r="A1681" s="1" t="str">
        <x:v>M1674</x:v>
      </x:c>
      <x:c r="B1681" s="1" t="str">
        <x:v>AR04</x:v>
      </x:c>
      <x:c r="C1681" s="1" t="str">
        <x:v>T6</x:v>
      </x:c>
      <x:c r="D1681" s="1" t="str">
        <x:v>L06</x:v>
      </x:c>
      <x:c r="E1681" s="1" t="str">
        <x:v>Floor finish net</x:v>
      </x:c>
      <x:c r="F1681" s="35" t="n">
        <x:v>1</x:v>
      </x:c>
      <x:c r="G1681" s="35" t="n">
        <x:f>'Controls'!$B$10*'Controls'!$B$11-'Controls'!$B$20*'Controls'!$B$21</x:f>
        <x:v>696</x:v>
      </x:c>
      <x:c r="H1681" s="35" t="n">
        <x:v>1</x:v>
      </x:c>
      <x:c r="I1681" s="35" t="n">
        <x:v>1</x:v>
      </x:c>
      <x:c r="J1681" s="35" t="n">
        <x:v>1</x:v>
      </x:c>
      <x:c r="K1681" s="35" t="n">
        <x:f>F1681*G1681*H1681*I1681*J1681</x:f>
        <x:v>696</x:v>
      </x:c>
      <x:c r="L1681" s="1" t="str">
        <x:v>Waste excluded from BOQ</x:v>
      </x:c>
      <x:c r="M1681" s="1"/>
      <x:c r="N1681" s="1"/>
      <x:c r="O1681" s="1"/>
      <x:c r="P1681" s="1"/>
      <x:c r="Q1681" s="1"/>
    </x:row>
    <x:row r="1682" ht="22" customHeight="1">
      <x:c r="A1682" s="36" t="str">
        <x:v>M1675</x:v>
      </x:c>
      <x:c r="B1682" s="36" t="str">
        <x:v>AR05</x:v>
      </x:c>
      <x:c r="C1682" s="36" t="str">
        <x:v>T6</x:v>
      </x:c>
      <x:c r="D1682" s="36" t="str">
        <x:v>L06</x:v>
      </x:c>
      <x:c r="E1682" s="36" t="str">
        <x:v>Internal wall paint net</x:v>
      </x:c>
      <x:c r="F1682" s="37" t="n">
        <x:v>2</x:v>
      </x:c>
      <x:c r="G1682" s="37" t="n">
        <x:f>'Controls'!$B$45*('Controls'!$B$12-'Controls'!$B$13)-'Controls'!$B$48*'Controls'!$B$49*'Controls'!$B$50</x:f>
        <x:v>602.6800000000001</x:v>
      </x:c>
      <x:c r="H1682" s="37" t="n">
        <x:v>1</x:v>
      </x:c>
      <x:c r="I1682" s="37" t="n">
        <x:v>1</x:v>
      </x:c>
      <x:c r="J1682" s="37" t="n">
        <x:v>1</x:v>
      </x:c>
      <x:c r="K1682" s="37" t="n">
        <x:f>F1682*G1682*H1682*I1682*J1682</x:f>
        <x:v>1205.3600000000001</x:v>
      </x:c>
      <x:c r="L1682" s="36" t="str">
        <x:v>Finished area; two coats priced in rate</x:v>
      </x:c>
      <x:c r="M1682" s="1"/>
      <x:c r="N1682" s="1"/>
      <x:c r="O1682" s="1"/>
      <x:c r="P1682" s="1"/>
      <x:c r="Q1682" s="1"/>
    </x:row>
    <x:row r="1683" ht="22" customHeight="1">
      <x:c r="A1683" s="1" t="str">
        <x:v>M1676</x:v>
      </x:c>
      <x:c r="B1683" s="1" t="str">
        <x:v>AR06</x:v>
      </x:c>
      <x:c r="C1683" s="1" t="str">
        <x:v>T6</x:v>
      </x:c>
      <x:c r="D1683" s="1" t="str">
        <x:v>L06</x:v>
      </x:c>
      <x:c r="E1683" s="1" t="str">
        <x:v>Door sets</x:v>
      </x:c>
      <x:c r="F1683" s="35" t="n">
        <x:f>'Controls'!$B$48</x:f>
        <x:v>28</x:v>
      </x:c>
      <x:c r="G1683" s="35" t="n">
        <x:v>1</x:v>
      </x:c>
      <x:c r="H1683" s="35" t="n">
        <x:v>1</x:v>
      </x:c>
      <x:c r="I1683" s="35" t="n">
        <x:v>1</x:v>
      </x:c>
      <x:c r="J1683" s="35" t="n">
        <x:v>1</x:v>
      </x:c>
      <x:c r="K1683" s="35" t="n">
        <x:f>F1683*G1683*H1683*I1683*J1683</x:f>
        <x:v>28</x:v>
      </x:c>
      <x:c r="L1683" s="1" t="str">
        <x:v>Door count, not double face</x:v>
      </x:c>
      <x:c r="M1683" s="1"/>
      <x:c r="N1683" s="1"/>
      <x:c r="O1683" s="1"/>
      <x:c r="P1683" s="1"/>
      <x:c r="Q1683" s="1"/>
    </x:row>
    <x:row r="1684" ht="22" customHeight="1">
      <x:c r="A1684" s="36" t="str">
        <x:v>M1677</x:v>
      </x:c>
      <x:c r="B1684" s="36" t="str">
        <x:v>RC03</x:v>
      </x:c>
      <x:c r="C1684" s="36" t="str">
        <x:v>T6</x:v>
      </x:c>
      <x:c r="D1684" s="36" t="str">
        <x:v>L07</x:v>
      </x:c>
      <x:c r="E1684" s="36" t="str">
        <x:v>Floor slab gross</x:v>
      </x:c>
      <x:c r="F1684" s="37" t="n">
        <x:v>1</x:v>
      </x:c>
      <x:c r="G1684" s="37" t="n">
        <x:f>'Controls'!$B$10</x:f>
        <x:v>30</x:v>
      </x:c>
      <x:c r="H1684" s="37" t="n">
        <x:f>'Controls'!$B$11</x:f>
        <x:v>24</x:v>
      </x:c>
      <x:c r="I1684" s="37" t="n">
        <x:f>'Controls'!$B$13</x:f>
        <x:v>0.22</x:v>
      </x:c>
      <x:c r="J1684" s="37" t="n">
        <x:v>1</x:v>
      </x:c>
      <x:c r="K1684" s="37" t="n">
        <x:f>F1684*G1684*H1684*I1684*J1684</x:f>
        <x:v>158.4</x:v>
      </x:c>
      <x:c r="L1684" s="36" t="str">
        <x:v>Slab includes beam top flange; downstand separate</x:v>
      </x:c>
      <x:c r="M1684" s="1"/>
      <x:c r="N1684" s="1"/>
      <x:c r="O1684" s="1"/>
      <x:c r="P1684" s="1"/>
      <x:c r="Q1684" s="1"/>
    </x:row>
    <x:row r="1685" ht="22" customHeight="1">
      <x:c r="A1685" s="1" t="str">
        <x:v>M1678</x:v>
      </x:c>
      <x:c r="B1685" s="1" t="str">
        <x:v>RC03</x:v>
      </x:c>
      <x:c r="C1685" s="1" t="str">
        <x:v>T6</x:v>
      </x:c>
      <x:c r="D1685" s="1" t="str">
        <x:v>L07</x:v>
      </x:c>
      <x:c r="E1685" s="1" t="str">
        <x:v>Stair opening deduction</x:v>
      </x:c>
      <x:c r="F1685" s="35" t="n">
        <x:v>1</x:v>
      </x:c>
      <x:c r="G1685" s="35" t="n">
        <x:f>'Controls'!$B$20</x:f>
        <x:v>4</x:v>
      </x:c>
      <x:c r="H1685" s="35" t="n">
        <x:f>'Controls'!$B$21</x:f>
        <x:v>6</x:v>
      </x:c>
      <x:c r="I1685" s="35" t="n">
        <x:f>'Controls'!$B$13</x:f>
        <x:v>0.22</x:v>
      </x:c>
      <x:c r="J1685" s="35" t="n">
        <x:v>-1</x:v>
      </x:c>
      <x:c r="K1685" s="35" t="n">
        <x:f>F1685*G1685*H1685*I1685*J1685</x:f>
        <x:v>-5.28</x:v>
      </x:c>
      <x:c r="L1685" s="1" t="str">
        <x:v>Opening OP-01</x:v>
      </x:c>
      <x:c r="M1685" s="1"/>
      <x:c r="N1685" s="1"/>
      <x:c r="O1685" s="1"/>
      <x:c r="P1685" s="1"/>
      <x:c r="Q1685" s="1"/>
    </x:row>
    <x:row r="1686" ht="22" customHeight="1">
      <x:c r="A1686" s="36" t="str">
        <x:v>M1679</x:v>
      </x:c>
      <x:c r="B1686" s="36" t="str">
        <x:v>RC04</x:v>
      </x:c>
      <x:c r="C1686" s="36" t="str">
        <x:v>T6</x:v>
      </x:c>
      <x:c r="D1686" s="36" t="str">
        <x:v>L07</x:v>
      </x:c>
      <x:c r="E1686" s="36" t="str">
        <x:v>Beam downstands X</x:v>
      </x:c>
      <x:c r="F1686" s="37" t="n">
        <x:v>1</x:v>
      </x:c>
      <x:c r="G1686" s="37" t="n">
        <x:f>5*5*('Controls'!$B$10/5-'Controls'!$B$14)</x:f>
        <x:v>137.5</x:v>
      </x:c>
      <x:c r="H1686" s="37" t="n">
        <x:f>'Controls'!$B$16</x:f>
        <x:v>0.3</x:v>
      </x:c>
      <x:c r="I1686" s="37" t="n">
        <x:f>'Controls'!$B$17-'Controls'!$B$13</x:f>
        <x:v>0.38</x:v>
      </x:c>
      <x:c r="J1686" s="37" t="n">
        <x:v>1</x:v>
      </x:c>
      <x:c r="K1686" s="37" t="n">
        <x:f>F1686*G1686*H1686*I1686*J1686</x:f>
        <x:v>15.675</x:v>
      </x:c>
      <x:c r="L1686" s="36" t="str">
        <x:v>Clear spans between column faces; no joint overlap</x:v>
      </x:c>
      <x:c r="M1686" s="1"/>
      <x:c r="N1686" s="1"/>
      <x:c r="O1686" s="1"/>
      <x:c r="P1686" s="1"/>
      <x:c r="Q1686" s="1"/>
    </x:row>
    <x:row r="1687" ht="22" customHeight="1">
      <x:c r="A1687" s="1" t="str">
        <x:v>M1680</x:v>
      </x:c>
      <x:c r="B1687" s="1" t="str">
        <x:v>FW02</x:v>
      </x:c>
      <x:c r="C1687" s="1" t="str">
        <x:v>T6</x:v>
      </x:c>
      <x:c r="D1687" s="1" t="str">
        <x:v>L07</x:v>
      </x:c>
      <x:c r="E1687" s="1" t="str">
        <x:v>Beam forms X</x:v>
      </x:c>
      <x:c r="F1687" s="35" t="n">
        <x:v>1</x:v>
      </x:c>
      <x:c r="G1687" s="35" t="n">
        <x:f>5*5*('Controls'!$B$10/5-'Controls'!$B$14)</x:f>
        <x:v>137.5</x:v>
      </x:c>
      <x:c r="H1687" s="35" t="n">
        <x:f>'Controls'!$B$16+2*('Controls'!$B$17-'Controls'!$B$13)</x:f>
        <x:v>1.06</x:v>
      </x:c>
      <x:c r="I1687" s="35" t="n">
        <x:v>1</x:v>
      </x:c>
      <x:c r="J1687" s="35" t="n">
        <x:v>1</x:v>
      </x:c>
      <x:c r="K1687" s="35" t="n">
        <x:f>F1687*G1687*H1687*I1687*J1687</x:f>
        <x:v>145.75</x:v>
      </x:c>
      <x:c r="L1687" s="1" t="str">
        <x:v>Soffit plus two downstand sides</x:v>
      </x:c>
      <x:c r="M1687" s="1"/>
      <x:c r="N1687" s="1"/>
      <x:c r="O1687" s="1"/>
      <x:c r="P1687" s="1"/>
      <x:c r="Q1687" s="1"/>
    </x:row>
    <x:row r="1688" ht="22" customHeight="1">
      <x:c r="A1688" s="36" t="str">
        <x:v>M1681</x:v>
      </x:c>
      <x:c r="B1688" s="36" t="str">
        <x:v>RC04</x:v>
      </x:c>
      <x:c r="C1688" s="36" t="str">
        <x:v>T6</x:v>
      </x:c>
      <x:c r="D1688" s="36" t="str">
        <x:v>L07</x:v>
      </x:c>
      <x:c r="E1688" s="36" t="str">
        <x:v>Beam downstands Y</x:v>
      </x:c>
      <x:c r="F1688" s="37" t="n">
        <x:v>1</x:v>
      </x:c>
      <x:c r="G1688" s="37" t="n">
        <x:f>6*4*('Controls'!$B$11/4-'Controls'!$B$15)</x:f>
        <x:v>132</x:v>
      </x:c>
      <x:c r="H1688" s="37" t="n">
        <x:f>'Controls'!$B$16</x:f>
        <x:v>0.3</x:v>
      </x:c>
      <x:c r="I1688" s="37" t="n">
        <x:f>'Controls'!$B$17-'Controls'!$B$13</x:f>
        <x:v>0.38</x:v>
      </x:c>
      <x:c r="J1688" s="37" t="n">
        <x:v>1</x:v>
      </x:c>
      <x:c r="K1688" s="37" t="n">
        <x:f>F1688*G1688*H1688*I1688*J1688</x:f>
        <x:v>15.048</x:v>
      </x:c>
      <x:c r="L1688" s="36" t="str">
        <x:v>Clear spans between column faces; no joint overlap</x:v>
      </x:c>
      <x:c r="M1688" s="1"/>
      <x:c r="N1688" s="1"/>
      <x:c r="O1688" s="1"/>
      <x:c r="P1688" s="1"/>
      <x:c r="Q1688" s="1"/>
    </x:row>
    <x:row r="1689" ht="22" customHeight="1">
      <x:c r="A1689" s="1" t="str">
        <x:v>M1682</x:v>
      </x:c>
      <x:c r="B1689" s="1" t="str">
        <x:v>FW02</x:v>
      </x:c>
      <x:c r="C1689" s="1" t="str">
        <x:v>T6</x:v>
      </x:c>
      <x:c r="D1689" s="1" t="str">
        <x:v>L07</x:v>
      </x:c>
      <x:c r="E1689" s="1" t="str">
        <x:v>Beam forms Y</x:v>
      </x:c>
      <x:c r="F1689" s="35" t="n">
        <x:v>1</x:v>
      </x:c>
      <x:c r="G1689" s="35" t="n">
        <x:f>6*4*('Controls'!$B$11/4-'Controls'!$B$15)</x:f>
        <x:v>132</x:v>
      </x:c>
      <x:c r="H1689" s="35" t="n">
        <x:f>'Controls'!$B$16+2*('Controls'!$B$17-'Controls'!$B$13)</x:f>
        <x:v>1.06</x:v>
      </x:c>
      <x:c r="I1689" s="35" t="n">
        <x:v>1</x:v>
      </x:c>
      <x:c r="J1689" s="35" t="n">
        <x:v>1</x:v>
      </x:c>
      <x:c r="K1689" s="35" t="n">
        <x:f>F1689*G1689*H1689*I1689*J1689</x:f>
        <x:v>139.92000000000002</x:v>
      </x:c>
      <x:c r="L1689" s="1" t="str">
        <x:v>Soffit plus two downstand sides</x:v>
      </x:c>
      <x:c r="M1689" s="1"/>
      <x:c r="N1689" s="1"/>
      <x:c r="O1689" s="1"/>
      <x:c r="P1689" s="1"/>
      <x:c r="Q1689" s="1"/>
    </x:row>
    <x:row r="1690" ht="22" customHeight="1">
      <x:c r="A1690" s="36" t="str">
        <x:v>M1683</x:v>
      </x:c>
      <x:c r="B1690" s="36" t="str">
        <x:v>RC05</x:v>
      </x:c>
      <x:c r="C1690" s="36" t="str">
        <x:v>T6</x:v>
      </x:c>
      <x:c r="D1690" s="36" t="str">
        <x:v>L07</x:v>
      </x:c>
      <x:c r="E1690" s="36" t="str">
        <x:v>Thirty columns, clear storey</x:v>
      </x:c>
      <x:c r="F1690" s="37" t="n">
        <x:v>30</x:v>
      </x:c>
      <x:c r="G1690" s="37" t="n">
        <x:f>'Controls'!$B$14</x:f>
        <x:v>0.5</x:v>
      </x:c>
      <x:c r="H1690" s="37" t="n">
        <x:f>'Controls'!$B$15</x:f>
        <x:v>0.5</x:v>
      </x:c>
      <x:c r="I1690" s="37" t="n">
        <x:f>'Controls'!$B$12-'Controls'!$B$13</x:f>
        <x:v>2.98</x:v>
      </x:c>
      <x:c r="J1690" s="37" t="n">
        <x:v>1</x:v>
      </x:c>
      <x:c r="K1690" s="37" t="n">
        <x:f>F1690*G1690*H1690*I1690*J1690</x:f>
        <x:v>22.35</x:v>
      </x:c>
      <x:c r="L1690" s="36" t="str">
        <x:v>Slab volume excluded from columns</x:v>
      </x:c>
      <x:c r="M1690" s="1"/>
      <x:c r="N1690" s="1"/>
      <x:c r="O1690" s="1"/>
      <x:c r="P1690" s="1"/>
      <x:c r="Q1690" s="1"/>
    </x:row>
    <x:row r="1691" ht="22" customHeight="1">
      <x:c r="A1691" s="1" t="str">
        <x:v>M1684</x:v>
      </x:c>
      <x:c r="B1691" s="1" t="str">
        <x:v>RC06</x:v>
      </x:c>
      <x:c r="C1691" s="1" t="str">
        <x:v>T6</x:v>
      </x:c>
      <x:c r="D1691" s="1" t="str">
        <x:v>L07</x:v>
      </x:c>
      <x:c r="E1691" s="1" t="str">
        <x:v>Core walls clear storey</x:v>
      </x:c>
      <x:c r="F1691" s="35" t="n">
        <x:v>1</x:v>
      </x:c>
      <x:c r="G1691" s="35" t="n">
        <x:f>'Controls'!$B$19</x:f>
        <x:v>24</x:v>
      </x:c>
      <x:c r="H1691" s="35" t="n">
        <x:f>'Controls'!$B$18</x:f>
        <x:v>0.25</x:v>
      </x:c>
      <x:c r="I1691" s="35" t="n">
        <x:f>'Controls'!$B$12-'Controls'!$B$13</x:f>
        <x:v>2.98</x:v>
      </x:c>
      <x:c r="J1691" s="35" t="n">
        <x:v>1</x:v>
      </x:c>
      <x:c r="K1691" s="35" t="n">
        <x:f>F1691*G1691*H1691*I1691*J1691</x:f>
        <x:v>17.88</x:v>
      </x:c>
      <x:c r="L1691" s="1" t="str">
        <x:v>Net clear wall length excludes corners</x:v>
      </x:c>
      <x:c r="M1691" s="1"/>
      <x:c r="N1691" s="1"/>
      <x:c r="O1691" s="1"/>
      <x:c r="P1691" s="1"/>
      <x:c r="Q1691" s="1"/>
    </x:row>
    <x:row r="1692" ht="22" customHeight="1">
      <x:c r="A1692" s="36" t="str">
        <x:v>M1685</x:v>
      </x:c>
      <x:c r="B1692" s="36" t="str">
        <x:v>RC07</x:v>
      </x:c>
      <x:c r="C1692" s="36" t="str">
        <x:v>T6</x:v>
      </x:c>
      <x:c r="D1692" s="36" t="str">
        <x:v>L07</x:v>
      </x:c>
      <x:c r="E1692" s="36" t="str">
        <x:v>Stair flights waist</x:v>
      </x:c>
      <x:c r="F1692" s="37" t="n">
        <x:v>2</x:v>
      </x:c>
      <x:c r="G1692" s="37" t="n">
        <x:v>4.1</x:v>
      </x:c>
      <x:c r="H1692" s="37" t="n">
        <x:v>1.2</x:v>
      </x:c>
      <x:c r="I1692" s="37" t="n">
        <x:v>0.18</x:v>
      </x:c>
      <x:c r="J1692" s="37" t="n">
        <x:v>1</x:v>
      </x:c>
      <x:c r="K1692" s="37" t="n">
        <x:f>F1692*G1692*H1692*I1692*J1692</x:f>
        <x:v>1.7711999999999997</x:v>
      </x:c>
      <x:c r="L1692" s="36" t="str">
        <x:v>Two flights; geometry separate from floor slab</x:v>
      </x:c>
      <x:c r="M1692" s="1"/>
      <x:c r="N1692" s="1"/>
      <x:c r="O1692" s="1"/>
      <x:c r="P1692" s="1"/>
      <x:c r="Q1692" s="1"/>
    </x:row>
    <x:row r="1693" ht="22" customHeight="1">
      <x:c r="A1693" s="1" t="str">
        <x:v>M1686</x:v>
      </x:c>
      <x:c r="B1693" s="1" t="str">
        <x:v>RC07</x:v>
      </x:c>
      <x:c r="C1693" s="1" t="str">
        <x:v>T6</x:v>
      </x:c>
      <x:c r="D1693" s="1" t="str">
        <x:v>L07</x:v>
      </x:c>
      <x:c r="E1693" s="1" t="str">
        <x:v>Stair landings</x:v>
      </x:c>
      <x:c r="F1693" s="35" t="n">
        <x:v>2</x:v>
      </x:c>
      <x:c r="G1693" s="35" t="n">
        <x:v>2</x:v>
      </x:c>
      <x:c r="H1693" s="35" t="n">
        <x:v>1.2</x:v>
      </x:c>
      <x:c r="I1693" s="35" t="n">
        <x:v>0.18</x:v>
      </x:c>
      <x:c r="J1693" s="35" t="n">
        <x:v>1</x:v>
      </x:c>
      <x:c r="K1693" s="35" t="n">
        <x:f>F1693*G1693*H1693*I1693*J1693</x:f>
        <x:v>0.864</x:v>
      </x:c>
      <x:c r="L1693" s="1" t="str">
        <x:v>Within stair opening</x:v>
      </x:c>
      <x:c r="M1693" s="1"/>
      <x:c r="N1693" s="1"/>
      <x:c r="O1693" s="1"/>
      <x:c r="P1693" s="1"/>
      <x:c r="Q1693" s="1"/>
    </x:row>
    <x:row r="1694" ht="22" customHeight="1">
      <x:c r="A1694" s="36" t="str">
        <x:v>M1687</x:v>
      </x:c>
      <x:c r="B1694" s="36" t="str">
        <x:v>FW01</x:v>
      </x:c>
      <x:c r="C1694" s="36" t="str">
        <x:v>T6</x:v>
      </x:c>
      <x:c r="D1694" s="36" t="str">
        <x:v>L07</x:v>
      </x:c>
      <x:c r="E1694" s="36" t="str">
        <x:v>Slab soffit gross</x:v>
      </x:c>
      <x:c r="F1694" s="37" t="n">
        <x:v>1</x:v>
      </x:c>
      <x:c r="G1694" s="37" t="n">
        <x:f>'Controls'!$B$10</x:f>
        <x:v>30</x:v>
      </x:c>
      <x:c r="H1694" s="37" t="n">
        <x:f>'Controls'!$B$11</x:f>
        <x:v>24</x:v>
      </x:c>
      <x:c r="I1694" s="37" t="n">
        <x:v>1</x:v>
      </x:c>
      <x:c r="J1694" s="37" t="n">
        <x:v>1</x:v>
      </x:c>
      <x:c r="K1694" s="37" t="n">
        <x:f>F1694*G1694*H1694*I1694*J1694</x:f>
        <x:v>720</x:v>
      </x:c>
      <x:c r="L1694" s="36" t="str">
        <x:v>Beam soffit deducted below</x:v>
      </x:c>
      <x:c r="M1694" s="1"/>
      <x:c r="N1694" s="1"/>
      <x:c r="O1694" s="1"/>
      <x:c r="P1694" s="1"/>
      <x:c r="Q1694" s="1"/>
    </x:row>
    <x:row r="1695" ht="22" customHeight="1">
      <x:c r="A1695" s="1" t="str">
        <x:v>M1688</x:v>
      </x:c>
      <x:c r="B1695" s="1" t="str">
        <x:v>FW01</x:v>
      </x:c>
      <x:c r="C1695" s="1" t="str">
        <x:v>T6</x:v>
      </x:c>
      <x:c r="D1695" s="1" t="str">
        <x:v>L07</x:v>
      </x:c>
      <x:c r="E1695" s="1" t="str">
        <x:v>Stair opening deduction</x:v>
      </x:c>
      <x:c r="F1695" s="35" t="n">
        <x:v>1</x:v>
      </x:c>
      <x:c r="G1695" s="35" t="n">
        <x:f>'Controls'!$B$20</x:f>
        <x:v>4</x:v>
      </x:c>
      <x:c r="H1695" s="35" t="n">
        <x:f>'Controls'!$B$21</x:f>
        <x:v>6</x:v>
      </x:c>
      <x:c r="I1695" s="35" t="n">
        <x:v>1</x:v>
      </x:c>
      <x:c r="J1695" s="35" t="n">
        <x:v>-1</x:v>
      </x:c>
      <x:c r="K1695" s="35" t="n">
        <x:f>F1695*G1695*H1695*I1695*J1695</x:f>
        <x:v>-24</x:v>
      </x:c>
      <x:c r="L1695" s="1" t="str">
        <x:v>OP-01</x:v>
      </x:c>
      <x:c r="M1695" s="1"/>
      <x:c r="N1695" s="1"/>
      <x:c r="O1695" s="1"/>
      <x:c r="P1695" s="1"/>
      <x:c r="Q1695" s="1"/>
    </x:row>
    <x:row r="1696" ht="22" customHeight="1">
      <x:c r="A1696" s="36" t="str">
        <x:v>M1689</x:v>
      </x:c>
      <x:c r="B1696" s="36" t="str">
        <x:v>FW01</x:v>
      </x:c>
      <x:c r="C1696" s="36" t="str">
        <x:v>T6</x:v>
      </x:c>
      <x:c r="D1696" s="36" t="str">
        <x:v>L07</x:v>
      </x:c>
      <x:c r="E1696" s="36" t="str">
        <x:v>Beam soffit deduction</x:v>
      </x:c>
      <x:c r="F1696" s="37" t="n">
        <x:v>1</x:v>
      </x:c>
      <x:c r="G1696" s="37" t="n">
        <x:f>5*5*('Controls'!$B$10/5-'Controls'!$B$14)+6*4*('Controls'!$B$11/4-'Controls'!$B$15)</x:f>
        <x:v>269.5</x:v>
      </x:c>
      <x:c r="H1696" s="37" t="n">
        <x:f>'Controls'!$B$16</x:f>
        <x:v>0.3</x:v>
      </x:c>
      <x:c r="I1696" s="37" t="n">
        <x:v>1</x:v>
      </x:c>
      <x:c r="J1696" s="37" t="n">
        <x:v>-1</x:v>
      </x:c>
      <x:c r="K1696" s="37" t="n">
        <x:f>F1696*G1696*H1696*I1696*J1696</x:f>
        <x:v>-80.85</x:v>
      </x:c>
      <x:c r="L1696" s="36" t="str">
        <x:v>Beam forms measured in FW02</x:v>
      </x:c>
      <x:c r="M1696" s="1"/>
      <x:c r="N1696" s="1"/>
      <x:c r="O1696" s="1"/>
      <x:c r="P1696" s="1"/>
      <x:c r="Q1696" s="1"/>
    </x:row>
    <x:row r="1697" ht="22" customHeight="1">
      <x:c r="A1697" s="1" t="str">
        <x:v>M1690</x:v>
      </x:c>
      <x:c r="B1697" s="1" t="str">
        <x:v>FW03</x:v>
      </x:c>
      <x:c r="C1697" s="1" t="str">
        <x:v>T6</x:v>
      </x:c>
      <x:c r="D1697" s="1" t="str">
        <x:v>L07</x:v>
      </x:c>
      <x:c r="E1697" s="1" t="str">
        <x:v>Column four faces</x:v>
      </x:c>
      <x:c r="F1697" s="35" t="n">
        <x:v>30</x:v>
      </x:c>
      <x:c r="G1697" s="35" t="n">
        <x:f>2*('Controls'!$B$14+'Controls'!$B$15)</x:f>
        <x:v>2</x:v>
      </x:c>
      <x:c r="H1697" s="35" t="n">
        <x:f>'Controls'!$B$12-'Controls'!$B$13</x:f>
        <x:v>2.98</x:v>
      </x:c>
      <x:c r="I1697" s="35" t="n">
        <x:v>1</x:v>
      </x:c>
      <x:c r="J1697" s="35" t="n">
        <x:v>1</x:v>
      </x:c>
      <x:c r="K1697" s="35" t="n">
        <x:f>F1697*G1697*H1697*I1697*J1697</x:f>
        <x:v>178.8</x:v>
      </x:c>
      <x:c r="L1697" s="1" t="str">
        <x:v>Clear floor-to-soffit</x:v>
      </x:c>
      <x:c r="M1697" s="1"/>
      <x:c r="N1697" s="1"/>
      <x:c r="O1697" s="1"/>
      <x:c r="P1697" s="1"/>
      <x:c r="Q1697" s="1"/>
    </x:row>
    <x:row r="1698" ht="22" customHeight="1">
      <x:c r="A1698" s="36" t="str">
        <x:v>M1691</x:v>
      </x:c>
      <x:c r="B1698" s="36" t="str">
        <x:v>FW04</x:v>
      </x:c>
      <x:c r="C1698" s="36" t="str">
        <x:v>T6</x:v>
      </x:c>
      <x:c r="D1698" s="36" t="str">
        <x:v>L07</x:v>
      </x:c>
      <x:c r="E1698" s="36" t="str">
        <x:v>Core wall two faces</x:v>
      </x:c>
      <x:c r="F1698" s="37" t="n">
        <x:v>2</x:v>
      </x:c>
      <x:c r="G1698" s="37" t="n">
        <x:f>'Controls'!$B$19</x:f>
        <x:v>24</x:v>
      </x:c>
      <x:c r="H1698" s="37" t="n">
        <x:f>'Controls'!$B$12-'Controls'!$B$13</x:f>
        <x:v>2.98</x:v>
      </x:c>
      <x:c r="I1698" s="37" t="n">
        <x:v>1</x:v>
      </x:c>
      <x:c r="J1698" s="37" t="n">
        <x:v>1</x:v>
      </x:c>
      <x:c r="K1698" s="37" t="n">
        <x:f>F1698*G1698*H1698*I1698*J1698</x:f>
        <x:v>143.04</x:v>
      </x:c>
      <x:c r="L1698" s="36" t="str">
        <x:v>Net perimeter, no repeated corners</x:v>
      </x:c>
      <x:c r="M1698" s="1"/>
      <x:c r="N1698" s="1"/>
      <x:c r="O1698" s="1"/>
      <x:c r="P1698" s="1"/>
      <x:c r="Q1698" s="1"/>
    </x:row>
    <x:row r="1699" ht="22" customHeight="1">
      <x:c r="A1699" s="1" t="str">
        <x:v>M1692</x:v>
      </x:c>
      <x:c r="B1699" s="1" t="str">
        <x:v>AR01</x:v>
      </x:c>
      <x:c r="C1699" s="1" t="str">
        <x:v>T6</x:v>
      </x:c>
      <x:c r="D1699" s="1" t="str">
        <x:v>L07</x:v>
      </x:c>
      <x:c r="E1699" s="1" t="str">
        <x:v>Partition walls gross</x:v>
      </x:c>
      <x:c r="F1699" s="35" t="n">
        <x:v>1</x:v>
      </x:c>
      <x:c r="G1699" s="35" t="n">
        <x:f>'Controls'!$B$45</x:f>
        <x:v>220</x:v>
      </x:c>
      <x:c r="H1699" s="35" t="n">
        <x:f>'Controls'!$B$12-'Controls'!$B$13</x:f>
        <x:v>2.98</x:v>
      </x:c>
      <x:c r="I1699" s="35" t="n">
        <x:f>'Controls'!$B$46</x:f>
        <x:v>0.15</x:v>
      </x:c>
      <x:c r="J1699" s="35" t="n">
        <x:v>1</x:v>
      </x:c>
      <x:c r="K1699" s="35" t="n">
        <x:f>F1699*G1699*H1699*I1699*J1699</x:f>
        <x:v>98.34</x:v>
      </x:c>
      <x:c r="L1699" s="1" t="str">
        <x:v>Net openings deducted below</x:v>
      </x:c>
      <x:c r="M1699" s="1"/>
      <x:c r="N1699" s="1"/>
      <x:c r="O1699" s="1"/>
      <x:c r="P1699" s="1"/>
      <x:c r="Q1699" s="1"/>
    </x:row>
    <x:row r="1700" ht="22" customHeight="1">
      <x:c r="A1700" s="36" t="str">
        <x:v>M1693</x:v>
      </x:c>
      <x:c r="B1700" s="36" t="str">
        <x:v>AR01</x:v>
      </x:c>
      <x:c r="C1700" s="36" t="str">
        <x:v>T6</x:v>
      </x:c>
      <x:c r="D1700" s="36" t="str">
        <x:v>L07</x:v>
      </x:c>
      <x:c r="E1700" s="36" t="str">
        <x:v>Internal doors deduction</x:v>
      </x:c>
      <x:c r="F1700" s="37" t="n">
        <x:f>'Controls'!$B$48</x:f>
        <x:v>28</x:v>
      </x:c>
      <x:c r="G1700" s="37" t="n">
        <x:f>'Controls'!$B$49</x:f>
        <x:v>0.9</x:v>
      </x:c>
      <x:c r="H1700" s="37" t="n">
        <x:f>'Controls'!$B$50</x:f>
        <x:v>2.1</x:v>
      </x:c>
      <x:c r="I1700" s="37" t="n">
        <x:f>'Controls'!$B$46</x:f>
        <x:v>0.15</x:v>
      </x:c>
      <x:c r="J1700" s="37" t="n">
        <x:v>-1</x:v>
      </x:c>
      <x:c r="K1700" s="37" t="n">
        <x:f>F1700*G1700*H1700*I1700*J1700</x:f>
        <x:v>-7.938</x:v>
      </x:c>
      <x:c r="L1700" s="36" t="str">
        <x:v>28 doors per floor, OP-02</x:v>
      </x:c>
      <x:c r="M1700" s="1"/>
      <x:c r="N1700" s="1"/>
      <x:c r="O1700" s="1"/>
      <x:c r="P1700" s="1"/>
      <x:c r="Q1700" s="1"/>
    </x:row>
    <x:row r="1701" ht="22" customHeight="1">
      <x:c r="A1701" s="1" t="str">
        <x:v>M1694</x:v>
      </x:c>
      <x:c r="B1701" s="1" t="str">
        <x:v>AR02</x:v>
      </x:c>
      <x:c r="C1701" s="1" t="str">
        <x:v>T6</x:v>
      </x:c>
      <x:c r="D1701" s="1" t="str">
        <x:v>L07</x:v>
      </x:c>
      <x:c r="E1701" s="1" t="str">
        <x:v>Internal plaster gross</x:v>
      </x:c>
      <x:c r="F1701" s="35" t="n">
        <x:v>2</x:v>
      </x:c>
      <x:c r="G1701" s="35" t="n">
        <x:f>'Controls'!$B$45</x:f>
        <x:v>220</x:v>
      </x:c>
      <x:c r="H1701" s="35" t="n">
        <x:f>'Controls'!$B$12-'Controls'!$B$13</x:f>
        <x:v>2.98</x:v>
      </x:c>
      <x:c r="I1701" s="35" t="n">
        <x:v>1</x:v>
      </x:c>
      <x:c r="J1701" s="35" t="n">
        <x:v>1</x:v>
      </x:c>
      <x:c r="K1701" s="35" t="n">
        <x:f>F1701*G1701*H1701*I1701*J1701</x:f>
        <x:v>1311.2</x:v>
      </x:c>
      <x:c r="L1701" s="1" t="str">
        <x:v>Both faces of partition walls</x:v>
      </x:c>
      <x:c r="M1701" s="1"/>
      <x:c r="N1701" s="1"/>
      <x:c r="O1701" s="1"/>
      <x:c r="P1701" s="1"/>
      <x:c r="Q1701" s="1"/>
    </x:row>
    <x:row r="1702" ht="22" customHeight="1">
      <x:c r="A1702" s="36" t="str">
        <x:v>M1695</x:v>
      </x:c>
      <x:c r="B1702" s="36" t="str">
        <x:v>AR02</x:v>
      </x:c>
      <x:c r="C1702" s="36" t="str">
        <x:v>T6</x:v>
      </x:c>
      <x:c r="D1702" s="36" t="str">
        <x:v>L07</x:v>
      </x:c>
      <x:c r="E1702" s="36" t="str">
        <x:v>Door area deduction both faces</x:v>
      </x:c>
      <x:c r="F1702" s="37" t="n">
        <x:f>2*'Controls'!$B$48</x:f>
        <x:v>56</x:v>
      </x:c>
      <x:c r="G1702" s="37" t="n">
        <x:f>'Controls'!$B$49</x:f>
        <x:v>0.9</x:v>
      </x:c>
      <x:c r="H1702" s="37" t="n">
        <x:f>'Controls'!$B$50</x:f>
        <x:v>2.1</x:v>
      </x:c>
      <x:c r="I1702" s="37" t="n">
        <x:v>1</x:v>
      </x:c>
      <x:c r="J1702" s="37" t="n">
        <x:v>-1</x:v>
      </x:c>
      <x:c r="K1702" s="37" t="n">
        <x:f>F1702*G1702*H1702*I1702*J1702</x:f>
        <x:v>-105.84</x:v>
      </x:c>
      <x:c r="L1702" s="36" t="str">
        <x:v>No plaster over openings</x:v>
      </x:c>
      <x:c r="M1702" s="1"/>
      <x:c r="N1702" s="1"/>
      <x:c r="O1702" s="1"/>
      <x:c r="P1702" s="1"/>
      <x:c r="Q1702" s="1"/>
    </x:row>
    <x:row r="1703" ht="22" customHeight="1">
      <x:c r="A1703" s="1" t="str">
        <x:v>M1696</x:v>
      </x:c>
      <x:c r="B1703" s="1" t="str">
        <x:v>AR03</x:v>
      </x:c>
      <x:c r="C1703" s="1" t="str">
        <x:v>T6</x:v>
      </x:c>
      <x:c r="D1703" s="1" t="str">
        <x:v>L07</x:v>
      </x:c>
      <x:c r="E1703" s="1" t="str">
        <x:v>Floor screed net</x:v>
      </x:c>
      <x:c r="F1703" s="35" t="n">
        <x:v>1</x:v>
      </x:c>
      <x:c r="G1703" s="35" t="n">
        <x:f>'Controls'!$B$10*'Controls'!$B$11-'Controls'!$B$20*'Controls'!$B$21</x:f>
        <x:v>696</x:v>
      </x:c>
      <x:c r="H1703" s="35" t="n">
        <x:v>1</x:v>
      </x:c>
      <x:c r="I1703" s="35" t="n">
        <x:v>1</x:v>
      </x:c>
      <x:c r="J1703" s="35" t="n">
        <x:v>1</x:v>
      </x:c>
      <x:c r="K1703" s="35" t="n">
        <x:f>F1703*G1703*H1703*I1703*J1703</x:f>
        <x:v>696</x:v>
      </x:c>
      <x:c r="L1703" s="1" t="str">
        <x:v>Net structural floor area</x:v>
      </x:c>
      <x:c r="M1703" s="1"/>
      <x:c r="N1703" s="1"/>
      <x:c r="O1703" s="1"/>
      <x:c r="P1703" s="1"/>
      <x:c r="Q1703" s="1"/>
    </x:row>
    <x:row r="1704" ht="22" customHeight="1">
      <x:c r="A1704" s="36" t="str">
        <x:v>M1697</x:v>
      </x:c>
      <x:c r="B1704" s="36" t="str">
        <x:v>AR04</x:v>
      </x:c>
      <x:c r="C1704" s="36" t="str">
        <x:v>T6</x:v>
      </x:c>
      <x:c r="D1704" s="36" t="str">
        <x:v>L07</x:v>
      </x:c>
      <x:c r="E1704" s="36" t="str">
        <x:v>Floor finish net</x:v>
      </x:c>
      <x:c r="F1704" s="37" t="n">
        <x:v>1</x:v>
      </x:c>
      <x:c r="G1704" s="37" t="n">
        <x:f>'Controls'!$B$10*'Controls'!$B$11-'Controls'!$B$20*'Controls'!$B$21</x:f>
        <x:v>696</x:v>
      </x:c>
      <x:c r="H1704" s="37" t="n">
        <x:v>1</x:v>
      </x:c>
      <x:c r="I1704" s="37" t="n">
        <x:v>1</x:v>
      </x:c>
      <x:c r="J1704" s="37" t="n">
        <x:v>1</x:v>
      </x:c>
      <x:c r="K1704" s="37" t="n">
        <x:f>F1704*G1704*H1704*I1704*J1704</x:f>
        <x:v>696</x:v>
      </x:c>
      <x:c r="L1704" s="36" t="str">
        <x:v>Waste excluded from BOQ</x:v>
      </x:c>
      <x:c r="M1704" s="1"/>
      <x:c r="N1704" s="1"/>
      <x:c r="O1704" s="1"/>
      <x:c r="P1704" s="1"/>
      <x:c r="Q1704" s="1"/>
    </x:row>
    <x:row r="1705" ht="22" customHeight="1">
      <x:c r="A1705" s="1" t="str">
        <x:v>M1698</x:v>
      </x:c>
      <x:c r="B1705" s="1" t="str">
        <x:v>AR05</x:v>
      </x:c>
      <x:c r="C1705" s="1" t="str">
        <x:v>T6</x:v>
      </x:c>
      <x:c r="D1705" s="1" t="str">
        <x:v>L07</x:v>
      </x:c>
      <x:c r="E1705" s="1" t="str">
        <x:v>Internal wall paint net</x:v>
      </x:c>
      <x:c r="F1705" s="35" t="n">
        <x:v>2</x:v>
      </x:c>
      <x:c r="G1705" s="35" t="n">
        <x:f>'Controls'!$B$45*('Controls'!$B$12-'Controls'!$B$13)-'Controls'!$B$48*'Controls'!$B$49*'Controls'!$B$50</x:f>
        <x:v>602.6800000000001</x:v>
      </x:c>
      <x:c r="H1705" s="35" t="n">
        <x:v>1</x:v>
      </x:c>
      <x:c r="I1705" s="35" t="n">
        <x:v>1</x:v>
      </x:c>
      <x:c r="J1705" s="35" t="n">
        <x:v>1</x:v>
      </x:c>
      <x:c r="K1705" s="35" t="n">
        <x:f>F1705*G1705*H1705*I1705*J1705</x:f>
        <x:v>1205.3600000000001</x:v>
      </x:c>
      <x:c r="L1705" s="1" t="str">
        <x:v>Finished area; two coats priced in rate</x:v>
      </x:c>
      <x:c r="M1705" s="1"/>
      <x:c r="N1705" s="1"/>
      <x:c r="O1705" s="1"/>
      <x:c r="P1705" s="1"/>
      <x:c r="Q1705" s="1"/>
    </x:row>
    <x:row r="1706" ht="22" customHeight="1">
      <x:c r="A1706" s="36" t="str">
        <x:v>M1699</x:v>
      </x:c>
      <x:c r="B1706" s="36" t="str">
        <x:v>AR06</x:v>
      </x:c>
      <x:c r="C1706" s="36" t="str">
        <x:v>T6</x:v>
      </x:c>
      <x:c r="D1706" s="36" t="str">
        <x:v>L07</x:v>
      </x:c>
      <x:c r="E1706" s="36" t="str">
        <x:v>Door sets</x:v>
      </x:c>
      <x:c r="F1706" s="37" t="n">
        <x:f>'Controls'!$B$48</x:f>
        <x:v>28</x:v>
      </x:c>
      <x:c r="G1706" s="37" t="n">
        <x:v>1</x:v>
      </x:c>
      <x:c r="H1706" s="37" t="n">
        <x:v>1</x:v>
      </x:c>
      <x:c r="I1706" s="37" t="n">
        <x:v>1</x:v>
      </x:c>
      <x:c r="J1706" s="37" t="n">
        <x:v>1</x:v>
      </x:c>
      <x:c r="K1706" s="37" t="n">
        <x:f>F1706*G1706*H1706*I1706*J1706</x:f>
        <x:v>28</x:v>
      </x:c>
      <x:c r="L1706" s="36" t="str">
        <x:v>Door count, not double face</x:v>
      </x:c>
      <x:c r="M1706" s="1"/>
      <x:c r="N1706" s="1"/>
      <x:c r="O1706" s="1"/>
      <x:c r="P1706" s="1"/>
      <x:c r="Q1706" s="1"/>
    </x:row>
    <x:row r="1707" ht="22" customHeight="1">
      <x:c r="A1707" s="1" t="str">
        <x:v>M1700</x:v>
      </x:c>
      <x:c r="B1707" s="1" t="str">
        <x:v>RC03</x:v>
      </x:c>
      <x:c r="C1707" s="1" t="str">
        <x:v>T6</x:v>
      </x:c>
      <x:c r="D1707" s="1" t="str">
        <x:v>L08</x:v>
      </x:c>
      <x:c r="E1707" s="1" t="str">
        <x:v>Floor slab gross</x:v>
      </x:c>
      <x:c r="F1707" s="35" t="n">
        <x:v>1</x:v>
      </x:c>
      <x:c r="G1707" s="35" t="n">
        <x:f>'Controls'!$B$10</x:f>
        <x:v>30</x:v>
      </x:c>
      <x:c r="H1707" s="35" t="n">
        <x:f>'Controls'!$B$11</x:f>
        <x:v>24</x:v>
      </x:c>
      <x:c r="I1707" s="35" t="n">
        <x:f>'Controls'!$B$13</x:f>
        <x:v>0.22</x:v>
      </x:c>
      <x:c r="J1707" s="35" t="n">
        <x:v>1</x:v>
      </x:c>
      <x:c r="K1707" s="35" t="n">
        <x:f>F1707*G1707*H1707*I1707*J1707</x:f>
        <x:v>158.4</x:v>
      </x:c>
      <x:c r="L1707" s="1" t="str">
        <x:v>Slab includes beam top flange; downstand separate</x:v>
      </x:c>
      <x:c r="M1707" s="1"/>
      <x:c r="N1707" s="1"/>
      <x:c r="O1707" s="1"/>
      <x:c r="P1707" s="1"/>
      <x:c r="Q1707" s="1"/>
    </x:row>
    <x:row r="1708" ht="22" customHeight="1">
      <x:c r="A1708" s="36" t="str">
        <x:v>M1701</x:v>
      </x:c>
      <x:c r="B1708" s="36" t="str">
        <x:v>RC03</x:v>
      </x:c>
      <x:c r="C1708" s="36" t="str">
        <x:v>T6</x:v>
      </x:c>
      <x:c r="D1708" s="36" t="str">
        <x:v>L08</x:v>
      </x:c>
      <x:c r="E1708" s="36" t="str">
        <x:v>Stair opening deduction</x:v>
      </x:c>
      <x:c r="F1708" s="37" t="n">
        <x:v>1</x:v>
      </x:c>
      <x:c r="G1708" s="37" t="n">
        <x:f>'Controls'!$B$20</x:f>
        <x:v>4</x:v>
      </x:c>
      <x:c r="H1708" s="37" t="n">
        <x:f>'Controls'!$B$21</x:f>
        <x:v>6</x:v>
      </x:c>
      <x:c r="I1708" s="37" t="n">
        <x:f>'Controls'!$B$13</x:f>
        <x:v>0.22</x:v>
      </x:c>
      <x:c r="J1708" s="37" t="n">
        <x:v>-1</x:v>
      </x:c>
      <x:c r="K1708" s="37" t="n">
        <x:f>F1708*G1708*H1708*I1708*J1708</x:f>
        <x:v>-5.28</x:v>
      </x:c>
      <x:c r="L1708" s="36" t="str">
        <x:v>Opening OP-01</x:v>
      </x:c>
      <x:c r="M1708" s="1"/>
      <x:c r="N1708" s="1"/>
      <x:c r="O1708" s="1"/>
      <x:c r="P1708" s="1"/>
      <x:c r="Q1708" s="1"/>
    </x:row>
    <x:row r="1709" ht="22" customHeight="1">
      <x:c r="A1709" s="1" t="str">
        <x:v>M1702</x:v>
      </x:c>
      <x:c r="B1709" s="1" t="str">
        <x:v>RC04</x:v>
      </x:c>
      <x:c r="C1709" s="1" t="str">
        <x:v>T6</x:v>
      </x:c>
      <x:c r="D1709" s="1" t="str">
        <x:v>L08</x:v>
      </x:c>
      <x:c r="E1709" s="1" t="str">
        <x:v>Beam downstands X</x:v>
      </x:c>
      <x:c r="F1709" s="35" t="n">
        <x:v>1</x:v>
      </x:c>
      <x:c r="G1709" s="35" t="n">
        <x:f>5*5*('Controls'!$B$10/5-'Controls'!$B$14)</x:f>
        <x:v>137.5</x:v>
      </x:c>
      <x:c r="H1709" s="35" t="n">
        <x:f>'Controls'!$B$16</x:f>
        <x:v>0.3</x:v>
      </x:c>
      <x:c r="I1709" s="35" t="n">
        <x:f>'Controls'!$B$17-'Controls'!$B$13</x:f>
        <x:v>0.38</x:v>
      </x:c>
      <x:c r="J1709" s="35" t="n">
        <x:v>1</x:v>
      </x:c>
      <x:c r="K1709" s="35" t="n">
        <x:f>F1709*G1709*H1709*I1709*J1709</x:f>
        <x:v>15.675</x:v>
      </x:c>
      <x:c r="L1709" s="1" t="str">
        <x:v>Clear spans between column faces; no joint overlap</x:v>
      </x:c>
      <x:c r="M1709" s="1"/>
      <x:c r="N1709" s="1"/>
      <x:c r="O1709" s="1"/>
      <x:c r="P1709" s="1"/>
      <x:c r="Q1709" s="1"/>
    </x:row>
    <x:row r="1710" ht="22" customHeight="1">
      <x:c r="A1710" s="36" t="str">
        <x:v>M1703</x:v>
      </x:c>
      <x:c r="B1710" s="36" t="str">
        <x:v>FW02</x:v>
      </x:c>
      <x:c r="C1710" s="36" t="str">
        <x:v>T6</x:v>
      </x:c>
      <x:c r="D1710" s="36" t="str">
        <x:v>L08</x:v>
      </x:c>
      <x:c r="E1710" s="36" t="str">
        <x:v>Beam forms X</x:v>
      </x:c>
      <x:c r="F1710" s="37" t="n">
        <x:v>1</x:v>
      </x:c>
      <x:c r="G1710" s="37" t="n">
        <x:f>5*5*('Controls'!$B$10/5-'Controls'!$B$14)</x:f>
        <x:v>137.5</x:v>
      </x:c>
      <x:c r="H1710" s="37" t="n">
        <x:f>'Controls'!$B$16+2*('Controls'!$B$17-'Controls'!$B$13)</x:f>
        <x:v>1.06</x:v>
      </x:c>
      <x:c r="I1710" s="37" t="n">
        <x:v>1</x:v>
      </x:c>
      <x:c r="J1710" s="37" t="n">
        <x:v>1</x:v>
      </x:c>
      <x:c r="K1710" s="37" t="n">
        <x:f>F1710*G1710*H1710*I1710*J1710</x:f>
        <x:v>145.75</x:v>
      </x:c>
      <x:c r="L1710" s="36" t="str">
        <x:v>Soffit plus two downstand sides</x:v>
      </x:c>
      <x:c r="M1710" s="1"/>
      <x:c r="N1710" s="1"/>
      <x:c r="O1710" s="1"/>
      <x:c r="P1710" s="1"/>
      <x:c r="Q1710" s="1"/>
    </x:row>
    <x:row r="1711" ht="22" customHeight="1">
      <x:c r="A1711" s="1" t="str">
        <x:v>M1704</x:v>
      </x:c>
      <x:c r="B1711" s="1" t="str">
        <x:v>RC04</x:v>
      </x:c>
      <x:c r="C1711" s="1" t="str">
        <x:v>T6</x:v>
      </x:c>
      <x:c r="D1711" s="1" t="str">
        <x:v>L08</x:v>
      </x:c>
      <x:c r="E1711" s="1" t="str">
        <x:v>Beam downstands Y</x:v>
      </x:c>
      <x:c r="F1711" s="35" t="n">
        <x:v>1</x:v>
      </x:c>
      <x:c r="G1711" s="35" t="n">
        <x:f>6*4*('Controls'!$B$11/4-'Controls'!$B$15)</x:f>
        <x:v>132</x:v>
      </x:c>
      <x:c r="H1711" s="35" t="n">
        <x:f>'Controls'!$B$16</x:f>
        <x:v>0.3</x:v>
      </x:c>
      <x:c r="I1711" s="35" t="n">
        <x:f>'Controls'!$B$17-'Controls'!$B$13</x:f>
        <x:v>0.38</x:v>
      </x:c>
      <x:c r="J1711" s="35" t="n">
        <x:v>1</x:v>
      </x:c>
      <x:c r="K1711" s="35" t="n">
        <x:f>F1711*G1711*H1711*I1711*J1711</x:f>
        <x:v>15.048</x:v>
      </x:c>
      <x:c r="L1711" s="1" t="str">
        <x:v>Clear spans between column faces; no joint overlap</x:v>
      </x:c>
      <x:c r="M1711" s="1"/>
      <x:c r="N1711" s="1"/>
      <x:c r="O1711" s="1"/>
      <x:c r="P1711" s="1"/>
      <x:c r="Q1711" s="1"/>
    </x:row>
    <x:row r="1712" ht="22" customHeight="1">
      <x:c r="A1712" s="36" t="str">
        <x:v>M1705</x:v>
      </x:c>
      <x:c r="B1712" s="36" t="str">
        <x:v>FW02</x:v>
      </x:c>
      <x:c r="C1712" s="36" t="str">
        <x:v>T6</x:v>
      </x:c>
      <x:c r="D1712" s="36" t="str">
        <x:v>L08</x:v>
      </x:c>
      <x:c r="E1712" s="36" t="str">
        <x:v>Beam forms Y</x:v>
      </x:c>
      <x:c r="F1712" s="37" t="n">
        <x:v>1</x:v>
      </x:c>
      <x:c r="G1712" s="37" t="n">
        <x:f>6*4*('Controls'!$B$11/4-'Controls'!$B$15)</x:f>
        <x:v>132</x:v>
      </x:c>
      <x:c r="H1712" s="37" t="n">
        <x:f>'Controls'!$B$16+2*('Controls'!$B$17-'Controls'!$B$13)</x:f>
        <x:v>1.06</x:v>
      </x:c>
      <x:c r="I1712" s="37" t="n">
        <x:v>1</x:v>
      </x:c>
      <x:c r="J1712" s="37" t="n">
        <x:v>1</x:v>
      </x:c>
      <x:c r="K1712" s="37" t="n">
        <x:f>F1712*G1712*H1712*I1712*J1712</x:f>
        <x:v>139.92000000000002</x:v>
      </x:c>
      <x:c r="L1712" s="36" t="str">
        <x:v>Soffit plus two downstand sides</x:v>
      </x:c>
      <x:c r="M1712" s="1"/>
      <x:c r="N1712" s="1"/>
      <x:c r="O1712" s="1"/>
      <x:c r="P1712" s="1"/>
      <x:c r="Q1712" s="1"/>
    </x:row>
    <x:row r="1713" ht="22" customHeight="1">
      <x:c r="A1713" s="1" t="str">
        <x:v>M1706</x:v>
      </x:c>
      <x:c r="B1713" s="1" t="str">
        <x:v>RC05</x:v>
      </x:c>
      <x:c r="C1713" s="1" t="str">
        <x:v>T6</x:v>
      </x:c>
      <x:c r="D1713" s="1" t="str">
        <x:v>L08</x:v>
      </x:c>
      <x:c r="E1713" s="1" t="str">
        <x:v>Thirty columns, clear storey</x:v>
      </x:c>
      <x:c r="F1713" s="35" t="n">
        <x:v>30</x:v>
      </x:c>
      <x:c r="G1713" s="35" t="n">
        <x:f>'Controls'!$B$14</x:f>
        <x:v>0.5</x:v>
      </x:c>
      <x:c r="H1713" s="35" t="n">
        <x:f>'Controls'!$B$15</x:f>
        <x:v>0.5</x:v>
      </x:c>
      <x:c r="I1713" s="35" t="n">
        <x:f>'Controls'!$B$12-'Controls'!$B$13</x:f>
        <x:v>2.98</x:v>
      </x:c>
      <x:c r="J1713" s="35" t="n">
        <x:v>1</x:v>
      </x:c>
      <x:c r="K1713" s="35" t="n">
        <x:f>F1713*G1713*H1713*I1713*J1713</x:f>
        <x:v>22.35</x:v>
      </x:c>
      <x:c r="L1713" s="1" t="str">
        <x:v>Slab volume excluded from columns</x:v>
      </x:c>
      <x:c r="M1713" s="1"/>
      <x:c r="N1713" s="1"/>
      <x:c r="O1713" s="1"/>
      <x:c r="P1713" s="1"/>
      <x:c r="Q1713" s="1"/>
    </x:row>
    <x:row r="1714" ht="22" customHeight="1">
      <x:c r="A1714" s="36" t="str">
        <x:v>M1707</x:v>
      </x:c>
      <x:c r="B1714" s="36" t="str">
        <x:v>RC06</x:v>
      </x:c>
      <x:c r="C1714" s="36" t="str">
        <x:v>T6</x:v>
      </x:c>
      <x:c r="D1714" s="36" t="str">
        <x:v>L08</x:v>
      </x:c>
      <x:c r="E1714" s="36" t="str">
        <x:v>Core walls clear storey</x:v>
      </x:c>
      <x:c r="F1714" s="37" t="n">
        <x:v>1</x:v>
      </x:c>
      <x:c r="G1714" s="37" t="n">
        <x:f>'Controls'!$B$19</x:f>
        <x:v>24</x:v>
      </x:c>
      <x:c r="H1714" s="37" t="n">
        <x:f>'Controls'!$B$18</x:f>
        <x:v>0.25</x:v>
      </x:c>
      <x:c r="I1714" s="37" t="n">
        <x:f>'Controls'!$B$12-'Controls'!$B$13</x:f>
        <x:v>2.98</x:v>
      </x:c>
      <x:c r="J1714" s="37" t="n">
        <x:v>1</x:v>
      </x:c>
      <x:c r="K1714" s="37" t="n">
        <x:f>F1714*G1714*H1714*I1714*J1714</x:f>
        <x:v>17.88</x:v>
      </x:c>
      <x:c r="L1714" s="36" t="str">
        <x:v>Net clear wall length excludes corners</x:v>
      </x:c>
      <x:c r="M1714" s="1"/>
      <x:c r="N1714" s="1"/>
      <x:c r="O1714" s="1"/>
      <x:c r="P1714" s="1"/>
      <x:c r="Q1714" s="1"/>
    </x:row>
    <x:row r="1715" ht="22" customHeight="1">
      <x:c r="A1715" s="1" t="str">
        <x:v>M1708</x:v>
      </x:c>
      <x:c r="B1715" s="1" t="str">
        <x:v>RC07</x:v>
      </x:c>
      <x:c r="C1715" s="1" t="str">
        <x:v>T6</x:v>
      </x:c>
      <x:c r="D1715" s="1" t="str">
        <x:v>L08</x:v>
      </x:c>
      <x:c r="E1715" s="1" t="str">
        <x:v>Stair flights waist</x:v>
      </x:c>
      <x:c r="F1715" s="35" t="n">
        <x:v>2</x:v>
      </x:c>
      <x:c r="G1715" s="35" t="n">
        <x:v>4.1</x:v>
      </x:c>
      <x:c r="H1715" s="35" t="n">
        <x:v>1.2</x:v>
      </x:c>
      <x:c r="I1715" s="35" t="n">
        <x:v>0.18</x:v>
      </x:c>
      <x:c r="J1715" s="35" t="n">
        <x:v>1</x:v>
      </x:c>
      <x:c r="K1715" s="35" t="n">
        <x:f>F1715*G1715*H1715*I1715*J1715</x:f>
        <x:v>1.7711999999999997</x:v>
      </x:c>
      <x:c r="L1715" s="1" t="str">
        <x:v>Two flights; geometry separate from floor slab</x:v>
      </x:c>
      <x:c r="M1715" s="1"/>
      <x:c r="N1715" s="1"/>
      <x:c r="O1715" s="1"/>
      <x:c r="P1715" s="1"/>
      <x:c r="Q1715" s="1"/>
    </x:row>
    <x:row r="1716" ht="22" customHeight="1">
      <x:c r="A1716" s="36" t="str">
        <x:v>M1709</x:v>
      </x:c>
      <x:c r="B1716" s="36" t="str">
        <x:v>RC07</x:v>
      </x:c>
      <x:c r="C1716" s="36" t="str">
        <x:v>T6</x:v>
      </x:c>
      <x:c r="D1716" s="36" t="str">
        <x:v>L08</x:v>
      </x:c>
      <x:c r="E1716" s="36" t="str">
        <x:v>Stair landings</x:v>
      </x:c>
      <x:c r="F1716" s="37" t="n">
        <x:v>2</x:v>
      </x:c>
      <x:c r="G1716" s="37" t="n">
        <x:v>2</x:v>
      </x:c>
      <x:c r="H1716" s="37" t="n">
        <x:v>1.2</x:v>
      </x:c>
      <x:c r="I1716" s="37" t="n">
        <x:v>0.18</x:v>
      </x:c>
      <x:c r="J1716" s="37" t="n">
        <x:v>1</x:v>
      </x:c>
      <x:c r="K1716" s="37" t="n">
        <x:f>F1716*G1716*H1716*I1716*J1716</x:f>
        <x:v>0.864</x:v>
      </x:c>
      <x:c r="L1716" s="36" t="str">
        <x:v>Within stair opening</x:v>
      </x:c>
      <x:c r="M1716" s="1"/>
      <x:c r="N1716" s="1"/>
      <x:c r="O1716" s="1"/>
      <x:c r="P1716" s="1"/>
      <x:c r="Q1716" s="1"/>
    </x:row>
    <x:row r="1717" ht="22" customHeight="1">
      <x:c r="A1717" s="1" t="str">
        <x:v>M1710</x:v>
      </x:c>
      <x:c r="B1717" s="1" t="str">
        <x:v>FW01</x:v>
      </x:c>
      <x:c r="C1717" s="1" t="str">
        <x:v>T6</x:v>
      </x:c>
      <x:c r="D1717" s="1" t="str">
        <x:v>L08</x:v>
      </x:c>
      <x:c r="E1717" s="1" t="str">
        <x:v>Slab soffit gross</x:v>
      </x:c>
      <x:c r="F1717" s="35" t="n">
        <x:v>1</x:v>
      </x:c>
      <x:c r="G1717" s="35" t="n">
        <x:f>'Controls'!$B$10</x:f>
        <x:v>30</x:v>
      </x:c>
      <x:c r="H1717" s="35" t="n">
        <x:f>'Controls'!$B$11</x:f>
        <x:v>24</x:v>
      </x:c>
      <x:c r="I1717" s="35" t="n">
        <x:v>1</x:v>
      </x:c>
      <x:c r="J1717" s="35" t="n">
        <x:v>1</x:v>
      </x:c>
      <x:c r="K1717" s="35" t="n">
        <x:f>F1717*G1717*H1717*I1717*J1717</x:f>
        <x:v>720</x:v>
      </x:c>
      <x:c r="L1717" s="1" t="str">
        <x:v>Beam soffit deducted below</x:v>
      </x:c>
      <x:c r="M1717" s="1"/>
      <x:c r="N1717" s="1"/>
      <x:c r="O1717" s="1"/>
      <x:c r="P1717" s="1"/>
      <x:c r="Q1717" s="1"/>
    </x:row>
    <x:row r="1718" ht="22" customHeight="1">
      <x:c r="A1718" s="36" t="str">
        <x:v>M1711</x:v>
      </x:c>
      <x:c r="B1718" s="36" t="str">
        <x:v>FW01</x:v>
      </x:c>
      <x:c r="C1718" s="36" t="str">
        <x:v>T6</x:v>
      </x:c>
      <x:c r="D1718" s="36" t="str">
        <x:v>L08</x:v>
      </x:c>
      <x:c r="E1718" s="36" t="str">
        <x:v>Stair opening deduction</x:v>
      </x:c>
      <x:c r="F1718" s="37" t="n">
        <x:v>1</x:v>
      </x:c>
      <x:c r="G1718" s="37" t="n">
        <x:f>'Controls'!$B$20</x:f>
        <x:v>4</x:v>
      </x:c>
      <x:c r="H1718" s="37" t="n">
        <x:f>'Controls'!$B$21</x:f>
        <x:v>6</x:v>
      </x:c>
      <x:c r="I1718" s="37" t="n">
        <x:v>1</x:v>
      </x:c>
      <x:c r="J1718" s="37" t="n">
        <x:v>-1</x:v>
      </x:c>
      <x:c r="K1718" s="37" t="n">
        <x:f>F1718*G1718*H1718*I1718*J1718</x:f>
        <x:v>-24</x:v>
      </x:c>
      <x:c r="L1718" s="36" t="str">
        <x:v>OP-01</x:v>
      </x:c>
      <x:c r="M1718" s="1"/>
      <x:c r="N1718" s="1"/>
      <x:c r="O1718" s="1"/>
      <x:c r="P1718" s="1"/>
      <x:c r="Q1718" s="1"/>
    </x:row>
    <x:row r="1719" ht="22" customHeight="1">
      <x:c r="A1719" s="1" t="str">
        <x:v>M1712</x:v>
      </x:c>
      <x:c r="B1719" s="1" t="str">
        <x:v>FW01</x:v>
      </x:c>
      <x:c r="C1719" s="1" t="str">
        <x:v>T6</x:v>
      </x:c>
      <x:c r="D1719" s="1" t="str">
        <x:v>L08</x:v>
      </x:c>
      <x:c r="E1719" s="1" t="str">
        <x:v>Beam soffit deduction</x:v>
      </x:c>
      <x:c r="F1719" s="35" t="n">
        <x:v>1</x:v>
      </x:c>
      <x:c r="G1719" s="35" t="n">
        <x:f>5*5*('Controls'!$B$10/5-'Controls'!$B$14)+6*4*('Controls'!$B$11/4-'Controls'!$B$15)</x:f>
        <x:v>269.5</x:v>
      </x:c>
      <x:c r="H1719" s="35" t="n">
        <x:f>'Controls'!$B$16</x:f>
        <x:v>0.3</x:v>
      </x:c>
      <x:c r="I1719" s="35" t="n">
        <x:v>1</x:v>
      </x:c>
      <x:c r="J1719" s="35" t="n">
        <x:v>-1</x:v>
      </x:c>
      <x:c r="K1719" s="35" t="n">
        <x:f>F1719*G1719*H1719*I1719*J1719</x:f>
        <x:v>-80.85</x:v>
      </x:c>
      <x:c r="L1719" s="1" t="str">
        <x:v>Beam forms measured in FW02</x:v>
      </x:c>
      <x:c r="M1719" s="1"/>
      <x:c r="N1719" s="1"/>
      <x:c r="O1719" s="1"/>
      <x:c r="P1719" s="1"/>
      <x:c r="Q1719" s="1"/>
    </x:row>
    <x:row r="1720" ht="22" customHeight="1">
      <x:c r="A1720" s="36" t="str">
        <x:v>M1713</x:v>
      </x:c>
      <x:c r="B1720" s="36" t="str">
        <x:v>FW03</x:v>
      </x:c>
      <x:c r="C1720" s="36" t="str">
        <x:v>T6</x:v>
      </x:c>
      <x:c r="D1720" s="36" t="str">
        <x:v>L08</x:v>
      </x:c>
      <x:c r="E1720" s="36" t="str">
        <x:v>Column four faces</x:v>
      </x:c>
      <x:c r="F1720" s="37" t="n">
        <x:v>30</x:v>
      </x:c>
      <x:c r="G1720" s="37" t="n">
        <x:f>2*('Controls'!$B$14+'Controls'!$B$15)</x:f>
        <x:v>2</x:v>
      </x:c>
      <x:c r="H1720" s="37" t="n">
        <x:f>'Controls'!$B$12-'Controls'!$B$13</x:f>
        <x:v>2.98</x:v>
      </x:c>
      <x:c r="I1720" s="37" t="n">
        <x:v>1</x:v>
      </x:c>
      <x:c r="J1720" s="37" t="n">
        <x:v>1</x:v>
      </x:c>
      <x:c r="K1720" s="37" t="n">
        <x:f>F1720*G1720*H1720*I1720*J1720</x:f>
        <x:v>178.8</x:v>
      </x:c>
      <x:c r="L1720" s="36" t="str">
        <x:v>Clear floor-to-soffit</x:v>
      </x:c>
      <x:c r="M1720" s="1"/>
      <x:c r="N1720" s="1"/>
      <x:c r="O1720" s="1"/>
      <x:c r="P1720" s="1"/>
      <x:c r="Q1720" s="1"/>
    </x:row>
    <x:row r="1721" ht="22" customHeight="1">
      <x:c r="A1721" s="1" t="str">
        <x:v>M1714</x:v>
      </x:c>
      <x:c r="B1721" s="1" t="str">
        <x:v>FW04</x:v>
      </x:c>
      <x:c r="C1721" s="1" t="str">
        <x:v>T6</x:v>
      </x:c>
      <x:c r="D1721" s="1" t="str">
        <x:v>L08</x:v>
      </x:c>
      <x:c r="E1721" s="1" t="str">
        <x:v>Core wall two faces</x:v>
      </x:c>
      <x:c r="F1721" s="35" t="n">
        <x:v>2</x:v>
      </x:c>
      <x:c r="G1721" s="35" t="n">
        <x:f>'Controls'!$B$19</x:f>
        <x:v>24</x:v>
      </x:c>
      <x:c r="H1721" s="35" t="n">
        <x:f>'Controls'!$B$12-'Controls'!$B$13</x:f>
        <x:v>2.98</x:v>
      </x:c>
      <x:c r="I1721" s="35" t="n">
        <x:v>1</x:v>
      </x:c>
      <x:c r="J1721" s="35" t="n">
        <x:v>1</x:v>
      </x:c>
      <x:c r="K1721" s="35" t="n">
        <x:f>F1721*G1721*H1721*I1721*J1721</x:f>
        <x:v>143.04</x:v>
      </x:c>
      <x:c r="L1721" s="1" t="str">
        <x:v>Net perimeter, no repeated corners</x:v>
      </x:c>
      <x:c r="M1721" s="1"/>
      <x:c r="N1721" s="1"/>
      <x:c r="O1721" s="1"/>
      <x:c r="P1721" s="1"/>
      <x:c r="Q1721" s="1"/>
    </x:row>
    <x:row r="1722" ht="22" customHeight="1">
      <x:c r="A1722" s="36" t="str">
        <x:v>M1715</x:v>
      </x:c>
      <x:c r="B1722" s="36" t="str">
        <x:v>AR01</x:v>
      </x:c>
      <x:c r="C1722" s="36" t="str">
        <x:v>T6</x:v>
      </x:c>
      <x:c r="D1722" s="36" t="str">
        <x:v>L08</x:v>
      </x:c>
      <x:c r="E1722" s="36" t="str">
        <x:v>Partition walls gross</x:v>
      </x:c>
      <x:c r="F1722" s="37" t="n">
        <x:v>1</x:v>
      </x:c>
      <x:c r="G1722" s="37" t="n">
        <x:f>'Controls'!$B$45</x:f>
        <x:v>220</x:v>
      </x:c>
      <x:c r="H1722" s="37" t="n">
        <x:f>'Controls'!$B$12-'Controls'!$B$13</x:f>
        <x:v>2.98</x:v>
      </x:c>
      <x:c r="I1722" s="37" t="n">
        <x:f>'Controls'!$B$46</x:f>
        <x:v>0.15</x:v>
      </x:c>
      <x:c r="J1722" s="37" t="n">
        <x:v>1</x:v>
      </x:c>
      <x:c r="K1722" s="37" t="n">
        <x:f>F1722*G1722*H1722*I1722*J1722</x:f>
        <x:v>98.34</x:v>
      </x:c>
      <x:c r="L1722" s="36" t="str">
        <x:v>Net openings deducted below</x:v>
      </x:c>
      <x:c r="M1722" s="1"/>
      <x:c r="N1722" s="1"/>
      <x:c r="O1722" s="1"/>
      <x:c r="P1722" s="1"/>
      <x:c r="Q1722" s="1"/>
    </x:row>
    <x:row r="1723" ht="22" customHeight="1">
      <x:c r="A1723" s="1" t="str">
        <x:v>M1716</x:v>
      </x:c>
      <x:c r="B1723" s="1" t="str">
        <x:v>AR01</x:v>
      </x:c>
      <x:c r="C1723" s="1" t="str">
        <x:v>T6</x:v>
      </x:c>
      <x:c r="D1723" s="1" t="str">
        <x:v>L08</x:v>
      </x:c>
      <x:c r="E1723" s="1" t="str">
        <x:v>Internal doors deduction</x:v>
      </x:c>
      <x:c r="F1723" s="35" t="n">
        <x:f>'Controls'!$B$48</x:f>
        <x:v>28</x:v>
      </x:c>
      <x:c r="G1723" s="35" t="n">
        <x:f>'Controls'!$B$49</x:f>
        <x:v>0.9</x:v>
      </x:c>
      <x:c r="H1723" s="35" t="n">
        <x:f>'Controls'!$B$50</x:f>
        <x:v>2.1</x:v>
      </x:c>
      <x:c r="I1723" s="35" t="n">
        <x:f>'Controls'!$B$46</x:f>
        <x:v>0.15</x:v>
      </x:c>
      <x:c r="J1723" s="35" t="n">
        <x:v>-1</x:v>
      </x:c>
      <x:c r="K1723" s="35" t="n">
        <x:f>F1723*G1723*H1723*I1723*J1723</x:f>
        <x:v>-7.938</x:v>
      </x:c>
      <x:c r="L1723" s="1" t="str">
        <x:v>28 doors per floor, OP-02</x:v>
      </x:c>
      <x:c r="M1723" s="1"/>
      <x:c r="N1723" s="1"/>
      <x:c r="O1723" s="1"/>
      <x:c r="P1723" s="1"/>
      <x:c r="Q1723" s="1"/>
    </x:row>
    <x:row r="1724" ht="22" customHeight="1">
      <x:c r="A1724" s="36" t="str">
        <x:v>M1717</x:v>
      </x:c>
      <x:c r="B1724" s="36" t="str">
        <x:v>AR02</x:v>
      </x:c>
      <x:c r="C1724" s="36" t="str">
        <x:v>T6</x:v>
      </x:c>
      <x:c r="D1724" s="36" t="str">
        <x:v>L08</x:v>
      </x:c>
      <x:c r="E1724" s="36" t="str">
        <x:v>Internal plaster gross</x:v>
      </x:c>
      <x:c r="F1724" s="37" t="n">
        <x:v>2</x:v>
      </x:c>
      <x:c r="G1724" s="37" t="n">
        <x:f>'Controls'!$B$45</x:f>
        <x:v>220</x:v>
      </x:c>
      <x:c r="H1724" s="37" t="n">
        <x:f>'Controls'!$B$12-'Controls'!$B$13</x:f>
        <x:v>2.98</x:v>
      </x:c>
      <x:c r="I1724" s="37" t="n">
        <x:v>1</x:v>
      </x:c>
      <x:c r="J1724" s="37" t="n">
        <x:v>1</x:v>
      </x:c>
      <x:c r="K1724" s="37" t="n">
        <x:f>F1724*G1724*H1724*I1724*J1724</x:f>
        <x:v>1311.2</x:v>
      </x:c>
      <x:c r="L1724" s="36" t="str">
        <x:v>Both faces of partition walls</x:v>
      </x:c>
      <x:c r="M1724" s="1"/>
      <x:c r="N1724" s="1"/>
      <x:c r="O1724" s="1"/>
      <x:c r="P1724" s="1"/>
      <x:c r="Q1724" s="1"/>
    </x:row>
    <x:row r="1725" ht="22" customHeight="1">
      <x:c r="A1725" s="1" t="str">
        <x:v>M1718</x:v>
      </x:c>
      <x:c r="B1725" s="1" t="str">
        <x:v>AR02</x:v>
      </x:c>
      <x:c r="C1725" s="1" t="str">
        <x:v>T6</x:v>
      </x:c>
      <x:c r="D1725" s="1" t="str">
        <x:v>L08</x:v>
      </x:c>
      <x:c r="E1725" s="1" t="str">
        <x:v>Door area deduction both faces</x:v>
      </x:c>
      <x:c r="F1725" s="35" t="n">
        <x:f>2*'Controls'!$B$48</x:f>
        <x:v>56</x:v>
      </x:c>
      <x:c r="G1725" s="35" t="n">
        <x:f>'Controls'!$B$49</x:f>
        <x:v>0.9</x:v>
      </x:c>
      <x:c r="H1725" s="35" t="n">
        <x:f>'Controls'!$B$50</x:f>
        <x:v>2.1</x:v>
      </x:c>
      <x:c r="I1725" s="35" t="n">
        <x:v>1</x:v>
      </x:c>
      <x:c r="J1725" s="35" t="n">
        <x:v>-1</x:v>
      </x:c>
      <x:c r="K1725" s="35" t="n">
        <x:f>F1725*G1725*H1725*I1725*J1725</x:f>
        <x:v>-105.84</x:v>
      </x:c>
      <x:c r="L1725" s="1" t="str">
        <x:v>No plaster over openings</x:v>
      </x:c>
      <x:c r="M1725" s="1"/>
      <x:c r="N1725" s="1"/>
      <x:c r="O1725" s="1"/>
      <x:c r="P1725" s="1"/>
      <x:c r="Q1725" s="1"/>
    </x:row>
    <x:row r="1726" ht="22" customHeight="1">
      <x:c r="A1726" s="36" t="str">
        <x:v>M1719</x:v>
      </x:c>
      <x:c r="B1726" s="36" t="str">
        <x:v>AR03</x:v>
      </x:c>
      <x:c r="C1726" s="36" t="str">
        <x:v>T6</x:v>
      </x:c>
      <x:c r="D1726" s="36" t="str">
        <x:v>L08</x:v>
      </x:c>
      <x:c r="E1726" s="36" t="str">
        <x:v>Floor screed net</x:v>
      </x:c>
      <x:c r="F1726" s="37" t="n">
        <x:v>1</x:v>
      </x:c>
      <x:c r="G1726" s="37" t="n">
        <x:f>'Controls'!$B$10*'Controls'!$B$11-'Controls'!$B$20*'Controls'!$B$21</x:f>
        <x:v>696</x:v>
      </x:c>
      <x:c r="H1726" s="37" t="n">
        <x:v>1</x:v>
      </x:c>
      <x:c r="I1726" s="37" t="n">
        <x:v>1</x:v>
      </x:c>
      <x:c r="J1726" s="37" t="n">
        <x:v>1</x:v>
      </x:c>
      <x:c r="K1726" s="37" t="n">
        <x:f>F1726*G1726*H1726*I1726*J1726</x:f>
        <x:v>696</x:v>
      </x:c>
      <x:c r="L1726" s="36" t="str">
        <x:v>Net structural floor area</x:v>
      </x:c>
      <x:c r="M1726" s="1"/>
      <x:c r="N1726" s="1"/>
      <x:c r="O1726" s="1"/>
      <x:c r="P1726" s="1"/>
      <x:c r="Q1726" s="1"/>
    </x:row>
    <x:row r="1727" ht="22" customHeight="1">
      <x:c r="A1727" s="1" t="str">
        <x:v>M1720</x:v>
      </x:c>
      <x:c r="B1727" s="1" t="str">
        <x:v>AR04</x:v>
      </x:c>
      <x:c r="C1727" s="1" t="str">
        <x:v>T6</x:v>
      </x:c>
      <x:c r="D1727" s="1" t="str">
        <x:v>L08</x:v>
      </x:c>
      <x:c r="E1727" s="1" t="str">
        <x:v>Floor finish net</x:v>
      </x:c>
      <x:c r="F1727" s="35" t="n">
        <x:v>1</x:v>
      </x:c>
      <x:c r="G1727" s="35" t="n">
        <x:f>'Controls'!$B$10*'Controls'!$B$11-'Controls'!$B$20*'Controls'!$B$21</x:f>
        <x:v>696</x:v>
      </x:c>
      <x:c r="H1727" s="35" t="n">
        <x:v>1</x:v>
      </x:c>
      <x:c r="I1727" s="35" t="n">
        <x:v>1</x:v>
      </x:c>
      <x:c r="J1727" s="35" t="n">
        <x:v>1</x:v>
      </x:c>
      <x:c r="K1727" s="35" t="n">
        <x:f>F1727*G1727*H1727*I1727*J1727</x:f>
        <x:v>696</x:v>
      </x:c>
      <x:c r="L1727" s="1" t="str">
        <x:v>Waste excluded from BOQ</x:v>
      </x:c>
      <x:c r="M1727" s="1"/>
      <x:c r="N1727" s="1"/>
      <x:c r="O1727" s="1"/>
      <x:c r="P1727" s="1"/>
      <x:c r="Q1727" s="1"/>
    </x:row>
    <x:row r="1728" ht="22" customHeight="1">
      <x:c r="A1728" s="36" t="str">
        <x:v>M1721</x:v>
      </x:c>
      <x:c r="B1728" s="36" t="str">
        <x:v>AR05</x:v>
      </x:c>
      <x:c r="C1728" s="36" t="str">
        <x:v>T6</x:v>
      </x:c>
      <x:c r="D1728" s="36" t="str">
        <x:v>L08</x:v>
      </x:c>
      <x:c r="E1728" s="36" t="str">
        <x:v>Internal wall paint net</x:v>
      </x:c>
      <x:c r="F1728" s="37" t="n">
        <x:v>2</x:v>
      </x:c>
      <x:c r="G1728" s="37" t="n">
        <x:f>'Controls'!$B$45*('Controls'!$B$12-'Controls'!$B$13)-'Controls'!$B$48*'Controls'!$B$49*'Controls'!$B$50</x:f>
        <x:v>602.6800000000001</x:v>
      </x:c>
      <x:c r="H1728" s="37" t="n">
        <x:v>1</x:v>
      </x:c>
      <x:c r="I1728" s="37" t="n">
        <x:v>1</x:v>
      </x:c>
      <x:c r="J1728" s="37" t="n">
        <x:v>1</x:v>
      </x:c>
      <x:c r="K1728" s="37" t="n">
        <x:f>F1728*G1728*H1728*I1728*J1728</x:f>
        <x:v>1205.3600000000001</x:v>
      </x:c>
      <x:c r="L1728" s="36" t="str">
        <x:v>Finished area; two coats priced in rate</x:v>
      </x:c>
      <x:c r="M1728" s="1"/>
      <x:c r="N1728" s="1"/>
      <x:c r="O1728" s="1"/>
      <x:c r="P1728" s="1"/>
      <x:c r="Q1728" s="1"/>
    </x:row>
    <x:row r="1729" ht="22" customHeight="1">
      <x:c r="A1729" s="1" t="str">
        <x:v>M1722</x:v>
      </x:c>
      <x:c r="B1729" s="1" t="str">
        <x:v>AR06</x:v>
      </x:c>
      <x:c r="C1729" s="1" t="str">
        <x:v>T6</x:v>
      </x:c>
      <x:c r="D1729" s="1" t="str">
        <x:v>L08</x:v>
      </x:c>
      <x:c r="E1729" s="1" t="str">
        <x:v>Door sets</x:v>
      </x:c>
      <x:c r="F1729" s="35" t="n">
        <x:f>'Controls'!$B$48</x:f>
        <x:v>28</x:v>
      </x:c>
      <x:c r="G1729" s="35" t="n">
        <x:v>1</x:v>
      </x:c>
      <x:c r="H1729" s="35" t="n">
        <x:v>1</x:v>
      </x:c>
      <x:c r="I1729" s="35" t="n">
        <x:v>1</x:v>
      </x:c>
      <x:c r="J1729" s="35" t="n">
        <x:v>1</x:v>
      </x:c>
      <x:c r="K1729" s="35" t="n">
        <x:f>F1729*G1729*H1729*I1729*J1729</x:f>
        <x:v>28</x:v>
      </x:c>
      <x:c r="L1729" s="1" t="str">
        <x:v>Door count, not double face</x:v>
      </x:c>
      <x:c r="M1729" s="1"/>
      <x:c r="N1729" s="1"/>
      <x:c r="O1729" s="1"/>
      <x:c r="P1729" s="1"/>
      <x:c r="Q1729" s="1"/>
    </x:row>
    <x:row r="1730" ht="22" customHeight="1">
      <x:c r="A1730" s="36" t="str">
        <x:v>M1723</x:v>
      </x:c>
      <x:c r="B1730" s="36" t="str">
        <x:v>RC03</x:v>
      </x:c>
      <x:c r="C1730" s="36" t="str">
        <x:v>T6</x:v>
      </x:c>
      <x:c r="D1730" s="36" t="str">
        <x:v>L09</x:v>
      </x:c>
      <x:c r="E1730" s="36" t="str">
        <x:v>Floor slab gross</x:v>
      </x:c>
      <x:c r="F1730" s="37" t="n">
        <x:v>1</x:v>
      </x:c>
      <x:c r="G1730" s="37" t="n">
        <x:f>'Controls'!$B$10</x:f>
        <x:v>30</x:v>
      </x:c>
      <x:c r="H1730" s="37" t="n">
        <x:f>'Controls'!$B$11</x:f>
        <x:v>24</x:v>
      </x:c>
      <x:c r="I1730" s="37" t="n">
        <x:f>'Controls'!$B$13</x:f>
        <x:v>0.22</x:v>
      </x:c>
      <x:c r="J1730" s="37" t="n">
        <x:v>1</x:v>
      </x:c>
      <x:c r="K1730" s="37" t="n">
        <x:f>F1730*G1730*H1730*I1730*J1730</x:f>
        <x:v>158.4</x:v>
      </x:c>
      <x:c r="L1730" s="36" t="str">
        <x:v>Slab includes beam top flange; downstand separate</x:v>
      </x:c>
      <x:c r="M1730" s="1"/>
      <x:c r="N1730" s="1"/>
      <x:c r="O1730" s="1"/>
      <x:c r="P1730" s="1"/>
      <x:c r="Q1730" s="1"/>
    </x:row>
    <x:row r="1731" ht="22" customHeight="1">
      <x:c r="A1731" s="1" t="str">
        <x:v>M1724</x:v>
      </x:c>
      <x:c r="B1731" s="1" t="str">
        <x:v>RC03</x:v>
      </x:c>
      <x:c r="C1731" s="1" t="str">
        <x:v>T6</x:v>
      </x:c>
      <x:c r="D1731" s="1" t="str">
        <x:v>L09</x:v>
      </x:c>
      <x:c r="E1731" s="1" t="str">
        <x:v>Stair opening deduction</x:v>
      </x:c>
      <x:c r="F1731" s="35" t="n">
        <x:v>1</x:v>
      </x:c>
      <x:c r="G1731" s="35" t="n">
        <x:f>'Controls'!$B$20</x:f>
        <x:v>4</x:v>
      </x:c>
      <x:c r="H1731" s="35" t="n">
        <x:f>'Controls'!$B$21</x:f>
        <x:v>6</x:v>
      </x:c>
      <x:c r="I1731" s="35" t="n">
        <x:f>'Controls'!$B$13</x:f>
        <x:v>0.22</x:v>
      </x:c>
      <x:c r="J1731" s="35" t="n">
        <x:v>-1</x:v>
      </x:c>
      <x:c r="K1731" s="35" t="n">
        <x:f>F1731*G1731*H1731*I1731*J1731</x:f>
        <x:v>-5.28</x:v>
      </x:c>
      <x:c r="L1731" s="1" t="str">
        <x:v>Opening OP-01</x:v>
      </x:c>
      <x:c r="M1731" s="1"/>
      <x:c r="N1731" s="1"/>
      <x:c r="O1731" s="1"/>
      <x:c r="P1731" s="1"/>
      <x:c r="Q1731" s="1"/>
    </x:row>
    <x:row r="1732" ht="22" customHeight="1">
      <x:c r="A1732" s="36" t="str">
        <x:v>M1725</x:v>
      </x:c>
      <x:c r="B1732" s="36" t="str">
        <x:v>RC04</x:v>
      </x:c>
      <x:c r="C1732" s="36" t="str">
        <x:v>T6</x:v>
      </x:c>
      <x:c r="D1732" s="36" t="str">
        <x:v>L09</x:v>
      </x:c>
      <x:c r="E1732" s="36" t="str">
        <x:v>Beam downstands X</x:v>
      </x:c>
      <x:c r="F1732" s="37" t="n">
        <x:v>1</x:v>
      </x:c>
      <x:c r="G1732" s="37" t="n">
        <x:f>5*5*('Controls'!$B$10/5-'Controls'!$B$14)</x:f>
        <x:v>137.5</x:v>
      </x:c>
      <x:c r="H1732" s="37" t="n">
        <x:f>'Controls'!$B$16</x:f>
        <x:v>0.3</x:v>
      </x:c>
      <x:c r="I1732" s="37" t="n">
        <x:f>'Controls'!$B$17-'Controls'!$B$13</x:f>
        <x:v>0.38</x:v>
      </x:c>
      <x:c r="J1732" s="37" t="n">
        <x:v>1</x:v>
      </x:c>
      <x:c r="K1732" s="37" t="n">
        <x:f>F1732*G1732*H1732*I1732*J1732</x:f>
        <x:v>15.675</x:v>
      </x:c>
      <x:c r="L1732" s="36" t="str">
        <x:v>Clear spans between column faces; no joint overlap</x:v>
      </x:c>
      <x:c r="M1732" s="1"/>
      <x:c r="N1732" s="1"/>
      <x:c r="O1732" s="1"/>
      <x:c r="P1732" s="1"/>
      <x:c r="Q1732" s="1"/>
    </x:row>
    <x:row r="1733" ht="22" customHeight="1">
      <x:c r="A1733" s="1" t="str">
        <x:v>M1726</x:v>
      </x:c>
      <x:c r="B1733" s="1" t="str">
        <x:v>FW02</x:v>
      </x:c>
      <x:c r="C1733" s="1" t="str">
        <x:v>T6</x:v>
      </x:c>
      <x:c r="D1733" s="1" t="str">
        <x:v>L09</x:v>
      </x:c>
      <x:c r="E1733" s="1" t="str">
        <x:v>Beam forms X</x:v>
      </x:c>
      <x:c r="F1733" s="35" t="n">
        <x:v>1</x:v>
      </x:c>
      <x:c r="G1733" s="35" t="n">
        <x:f>5*5*('Controls'!$B$10/5-'Controls'!$B$14)</x:f>
        <x:v>137.5</x:v>
      </x:c>
      <x:c r="H1733" s="35" t="n">
        <x:f>'Controls'!$B$16+2*('Controls'!$B$17-'Controls'!$B$13)</x:f>
        <x:v>1.06</x:v>
      </x:c>
      <x:c r="I1733" s="35" t="n">
        <x:v>1</x:v>
      </x:c>
      <x:c r="J1733" s="35" t="n">
        <x:v>1</x:v>
      </x:c>
      <x:c r="K1733" s="35" t="n">
        <x:f>F1733*G1733*H1733*I1733*J1733</x:f>
        <x:v>145.75</x:v>
      </x:c>
      <x:c r="L1733" s="1" t="str">
        <x:v>Soffit plus two downstand sides</x:v>
      </x:c>
      <x:c r="M1733" s="1"/>
      <x:c r="N1733" s="1"/>
      <x:c r="O1733" s="1"/>
      <x:c r="P1733" s="1"/>
      <x:c r="Q1733" s="1"/>
    </x:row>
    <x:row r="1734" ht="22" customHeight="1">
      <x:c r="A1734" s="36" t="str">
        <x:v>M1727</x:v>
      </x:c>
      <x:c r="B1734" s="36" t="str">
        <x:v>RC04</x:v>
      </x:c>
      <x:c r="C1734" s="36" t="str">
        <x:v>T6</x:v>
      </x:c>
      <x:c r="D1734" s="36" t="str">
        <x:v>L09</x:v>
      </x:c>
      <x:c r="E1734" s="36" t="str">
        <x:v>Beam downstands Y</x:v>
      </x:c>
      <x:c r="F1734" s="37" t="n">
        <x:v>1</x:v>
      </x:c>
      <x:c r="G1734" s="37" t="n">
        <x:f>6*4*('Controls'!$B$11/4-'Controls'!$B$15)</x:f>
        <x:v>132</x:v>
      </x:c>
      <x:c r="H1734" s="37" t="n">
        <x:f>'Controls'!$B$16</x:f>
        <x:v>0.3</x:v>
      </x:c>
      <x:c r="I1734" s="37" t="n">
        <x:f>'Controls'!$B$17-'Controls'!$B$13</x:f>
        <x:v>0.38</x:v>
      </x:c>
      <x:c r="J1734" s="37" t="n">
        <x:v>1</x:v>
      </x:c>
      <x:c r="K1734" s="37" t="n">
        <x:f>F1734*G1734*H1734*I1734*J1734</x:f>
        <x:v>15.048</x:v>
      </x:c>
      <x:c r="L1734" s="36" t="str">
        <x:v>Clear spans between column faces; no joint overlap</x:v>
      </x:c>
      <x:c r="M1734" s="1"/>
      <x:c r="N1734" s="1"/>
      <x:c r="O1734" s="1"/>
      <x:c r="P1734" s="1"/>
      <x:c r="Q1734" s="1"/>
    </x:row>
    <x:row r="1735" ht="22" customHeight="1">
      <x:c r="A1735" s="1" t="str">
        <x:v>M1728</x:v>
      </x:c>
      <x:c r="B1735" s="1" t="str">
        <x:v>FW02</x:v>
      </x:c>
      <x:c r="C1735" s="1" t="str">
        <x:v>T6</x:v>
      </x:c>
      <x:c r="D1735" s="1" t="str">
        <x:v>L09</x:v>
      </x:c>
      <x:c r="E1735" s="1" t="str">
        <x:v>Beam forms Y</x:v>
      </x:c>
      <x:c r="F1735" s="35" t="n">
        <x:v>1</x:v>
      </x:c>
      <x:c r="G1735" s="35" t="n">
        <x:f>6*4*('Controls'!$B$11/4-'Controls'!$B$15)</x:f>
        <x:v>132</x:v>
      </x:c>
      <x:c r="H1735" s="35" t="n">
        <x:f>'Controls'!$B$16+2*('Controls'!$B$17-'Controls'!$B$13)</x:f>
        <x:v>1.06</x:v>
      </x:c>
      <x:c r="I1735" s="35" t="n">
        <x:v>1</x:v>
      </x:c>
      <x:c r="J1735" s="35" t="n">
        <x:v>1</x:v>
      </x:c>
      <x:c r="K1735" s="35" t="n">
        <x:f>F1735*G1735*H1735*I1735*J1735</x:f>
        <x:v>139.92000000000002</x:v>
      </x:c>
      <x:c r="L1735" s="1" t="str">
        <x:v>Soffit plus two downstand sides</x:v>
      </x:c>
      <x:c r="M1735" s="1"/>
      <x:c r="N1735" s="1"/>
      <x:c r="O1735" s="1"/>
      <x:c r="P1735" s="1"/>
      <x:c r="Q1735" s="1"/>
    </x:row>
    <x:row r="1736" ht="22" customHeight="1">
      <x:c r="A1736" s="36" t="str">
        <x:v>M1729</x:v>
      </x:c>
      <x:c r="B1736" s="36" t="str">
        <x:v>RC05</x:v>
      </x:c>
      <x:c r="C1736" s="36" t="str">
        <x:v>T6</x:v>
      </x:c>
      <x:c r="D1736" s="36" t="str">
        <x:v>L09</x:v>
      </x:c>
      <x:c r="E1736" s="36" t="str">
        <x:v>Thirty columns, clear storey</x:v>
      </x:c>
      <x:c r="F1736" s="37" t="n">
        <x:v>30</x:v>
      </x:c>
      <x:c r="G1736" s="37" t="n">
        <x:f>'Controls'!$B$14</x:f>
        <x:v>0.5</x:v>
      </x:c>
      <x:c r="H1736" s="37" t="n">
        <x:f>'Controls'!$B$15</x:f>
        <x:v>0.5</x:v>
      </x:c>
      <x:c r="I1736" s="37" t="n">
        <x:f>'Controls'!$B$12-'Controls'!$B$13</x:f>
        <x:v>2.98</x:v>
      </x:c>
      <x:c r="J1736" s="37" t="n">
        <x:v>1</x:v>
      </x:c>
      <x:c r="K1736" s="37" t="n">
        <x:f>F1736*G1736*H1736*I1736*J1736</x:f>
        <x:v>22.35</x:v>
      </x:c>
      <x:c r="L1736" s="36" t="str">
        <x:v>Slab volume excluded from columns</x:v>
      </x:c>
      <x:c r="M1736" s="1"/>
      <x:c r="N1736" s="1"/>
      <x:c r="O1736" s="1"/>
      <x:c r="P1736" s="1"/>
      <x:c r="Q1736" s="1"/>
    </x:row>
    <x:row r="1737" ht="22" customHeight="1">
      <x:c r="A1737" s="1" t="str">
        <x:v>M1730</x:v>
      </x:c>
      <x:c r="B1737" s="1" t="str">
        <x:v>RC06</x:v>
      </x:c>
      <x:c r="C1737" s="1" t="str">
        <x:v>T6</x:v>
      </x:c>
      <x:c r="D1737" s="1" t="str">
        <x:v>L09</x:v>
      </x:c>
      <x:c r="E1737" s="1" t="str">
        <x:v>Core walls clear storey</x:v>
      </x:c>
      <x:c r="F1737" s="35" t="n">
        <x:v>1</x:v>
      </x:c>
      <x:c r="G1737" s="35" t="n">
        <x:f>'Controls'!$B$19</x:f>
        <x:v>24</x:v>
      </x:c>
      <x:c r="H1737" s="35" t="n">
        <x:f>'Controls'!$B$18</x:f>
        <x:v>0.25</x:v>
      </x:c>
      <x:c r="I1737" s="35" t="n">
        <x:f>'Controls'!$B$12-'Controls'!$B$13</x:f>
        <x:v>2.98</x:v>
      </x:c>
      <x:c r="J1737" s="35" t="n">
        <x:v>1</x:v>
      </x:c>
      <x:c r="K1737" s="35" t="n">
        <x:f>F1737*G1737*H1737*I1737*J1737</x:f>
        <x:v>17.88</x:v>
      </x:c>
      <x:c r="L1737" s="1" t="str">
        <x:v>Net clear wall length excludes corners</x:v>
      </x:c>
      <x:c r="M1737" s="1"/>
      <x:c r="N1737" s="1"/>
      <x:c r="O1737" s="1"/>
      <x:c r="P1737" s="1"/>
      <x:c r="Q1737" s="1"/>
    </x:row>
    <x:row r="1738" ht="22" customHeight="1">
      <x:c r="A1738" s="36" t="str">
        <x:v>M1731</x:v>
      </x:c>
      <x:c r="B1738" s="36" t="str">
        <x:v>RC07</x:v>
      </x:c>
      <x:c r="C1738" s="36" t="str">
        <x:v>T6</x:v>
      </x:c>
      <x:c r="D1738" s="36" t="str">
        <x:v>L09</x:v>
      </x:c>
      <x:c r="E1738" s="36" t="str">
        <x:v>Stair flights waist</x:v>
      </x:c>
      <x:c r="F1738" s="37" t="n">
        <x:v>2</x:v>
      </x:c>
      <x:c r="G1738" s="37" t="n">
        <x:v>4.1</x:v>
      </x:c>
      <x:c r="H1738" s="37" t="n">
        <x:v>1.2</x:v>
      </x:c>
      <x:c r="I1738" s="37" t="n">
        <x:v>0.18</x:v>
      </x:c>
      <x:c r="J1738" s="37" t="n">
        <x:v>1</x:v>
      </x:c>
      <x:c r="K1738" s="37" t="n">
        <x:f>F1738*G1738*H1738*I1738*J1738</x:f>
        <x:v>1.7711999999999997</x:v>
      </x:c>
      <x:c r="L1738" s="36" t="str">
        <x:v>Two flights; geometry separate from floor slab</x:v>
      </x:c>
      <x:c r="M1738" s="1"/>
      <x:c r="N1738" s="1"/>
      <x:c r="O1738" s="1"/>
      <x:c r="P1738" s="1"/>
      <x:c r="Q1738" s="1"/>
    </x:row>
    <x:row r="1739" ht="22" customHeight="1">
      <x:c r="A1739" s="1" t="str">
        <x:v>M1732</x:v>
      </x:c>
      <x:c r="B1739" s="1" t="str">
        <x:v>RC07</x:v>
      </x:c>
      <x:c r="C1739" s="1" t="str">
        <x:v>T6</x:v>
      </x:c>
      <x:c r="D1739" s="1" t="str">
        <x:v>L09</x:v>
      </x:c>
      <x:c r="E1739" s="1" t="str">
        <x:v>Stair landings</x:v>
      </x:c>
      <x:c r="F1739" s="35" t="n">
        <x:v>2</x:v>
      </x:c>
      <x:c r="G1739" s="35" t="n">
        <x:v>2</x:v>
      </x:c>
      <x:c r="H1739" s="35" t="n">
        <x:v>1.2</x:v>
      </x:c>
      <x:c r="I1739" s="35" t="n">
        <x:v>0.18</x:v>
      </x:c>
      <x:c r="J1739" s="35" t="n">
        <x:v>1</x:v>
      </x:c>
      <x:c r="K1739" s="35" t="n">
        <x:f>F1739*G1739*H1739*I1739*J1739</x:f>
        <x:v>0.864</x:v>
      </x:c>
      <x:c r="L1739" s="1" t="str">
        <x:v>Within stair opening</x:v>
      </x:c>
      <x:c r="M1739" s="1"/>
      <x:c r="N1739" s="1"/>
      <x:c r="O1739" s="1"/>
      <x:c r="P1739" s="1"/>
      <x:c r="Q1739" s="1"/>
    </x:row>
    <x:row r="1740" ht="22" customHeight="1">
      <x:c r="A1740" s="36" t="str">
        <x:v>M1733</x:v>
      </x:c>
      <x:c r="B1740" s="36" t="str">
        <x:v>FW01</x:v>
      </x:c>
      <x:c r="C1740" s="36" t="str">
        <x:v>T6</x:v>
      </x:c>
      <x:c r="D1740" s="36" t="str">
        <x:v>L09</x:v>
      </x:c>
      <x:c r="E1740" s="36" t="str">
        <x:v>Slab soffit gross</x:v>
      </x:c>
      <x:c r="F1740" s="37" t="n">
        <x:v>1</x:v>
      </x:c>
      <x:c r="G1740" s="37" t="n">
        <x:f>'Controls'!$B$10</x:f>
        <x:v>30</x:v>
      </x:c>
      <x:c r="H1740" s="37" t="n">
        <x:f>'Controls'!$B$11</x:f>
        <x:v>24</x:v>
      </x:c>
      <x:c r="I1740" s="37" t="n">
        <x:v>1</x:v>
      </x:c>
      <x:c r="J1740" s="37" t="n">
        <x:v>1</x:v>
      </x:c>
      <x:c r="K1740" s="37" t="n">
        <x:f>F1740*G1740*H1740*I1740*J1740</x:f>
        <x:v>720</x:v>
      </x:c>
      <x:c r="L1740" s="36" t="str">
        <x:v>Beam soffit deducted below</x:v>
      </x:c>
      <x:c r="M1740" s="1"/>
      <x:c r="N1740" s="1"/>
      <x:c r="O1740" s="1"/>
      <x:c r="P1740" s="1"/>
      <x:c r="Q1740" s="1"/>
    </x:row>
    <x:row r="1741" ht="22" customHeight="1">
      <x:c r="A1741" s="1" t="str">
        <x:v>M1734</x:v>
      </x:c>
      <x:c r="B1741" s="1" t="str">
        <x:v>FW01</x:v>
      </x:c>
      <x:c r="C1741" s="1" t="str">
        <x:v>T6</x:v>
      </x:c>
      <x:c r="D1741" s="1" t="str">
        <x:v>L09</x:v>
      </x:c>
      <x:c r="E1741" s="1" t="str">
        <x:v>Stair opening deduction</x:v>
      </x:c>
      <x:c r="F1741" s="35" t="n">
        <x:v>1</x:v>
      </x:c>
      <x:c r="G1741" s="35" t="n">
        <x:f>'Controls'!$B$20</x:f>
        <x:v>4</x:v>
      </x:c>
      <x:c r="H1741" s="35" t="n">
        <x:f>'Controls'!$B$21</x:f>
        <x:v>6</x:v>
      </x:c>
      <x:c r="I1741" s="35" t="n">
        <x:v>1</x:v>
      </x:c>
      <x:c r="J1741" s="35" t="n">
        <x:v>-1</x:v>
      </x:c>
      <x:c r="K1741" s="35" t="n">
        <x:f>F1741*G1741*H1741*I1741*J1741</x:f>
        <x:v>-24</x:v>
      </x:c>
      <x:c r="L1741" s="1" t="str">
        <x:v>OP-01</x:v>
      </x:c>
      <x:c r="M1741" s="1"/>
      <x:c r="N1741" s="1"/>
      <x:c r="O1741" s="1"/>
      <x:c r="P1741" s="1"/>
      <x:c r="Q1741" s="1"/>
    </x:row>
    <x:row r="1742" ht="22" customHeight="1">
      <x:c r="A1742" s="36" t="str">
        <x:v>M1735</x:v>
      </x:c>
      <x:c r="B1742" s="36" t="str">
        <x:v>FW01</x:v>
      </x:c>
      <x:c r="C1742" s="36" t="str">
        <x:v>T6</x:v>
      </x:c>
      <x:c r="D1742" s="36" t="str">
        <x:v>L09</x:v>
      </x:c>
      <x:c r="E1742" s="36" t="str">
        <x:v>Beam soffit deduction</x:v>
      </x:c>
      <x:c r="F1742" s="37" t="n">
        <x:v>1</x:v>
      </x:c>
      <x:c r="G1742" s="37" t="n">
        <x:f>5*5*('Controls'!$B$10/5-'Controls'!$B$14)+6*4*('Controls'!$B$11/4-'Controls'!$B$15)</x:f>
        <x:v>269.5</x:v>
      </x:c>
      <x:c r="H1742" s="37" t="n">
        <x:f>'Controls'!$B$16</x:f>
        <x:v>0.3</x:v>
      </x:c>
      <x:c r="I1742" s="37" t="n">
        <x:v>1</x:v>
      </x:c>
      <x:c r="J1742" s="37" t="n">
        <x:v>-1</x:v>
      </x:c>
      <x:c r="K1742" s="37" t="n">
        <x:f>F1742*G1742*H1742*I1742*J1742</x:f>
        <x:v>-80.85</x:v>
      </x:c>
      <x:c r="L1742" s="36" t="str">
        <x:v>Beam forms measured in FW02</x:v>
      </x:c>
      <x:c r="M1742" s="1"/>
      <x:c r="N1742" s="1"/>
      <x:c r="O1742" s="1"/>
      <x:c r="P1742" s="1"/>
      <x:c r="Q1742" s="1"/>
    </x:row>
    <x:row r="1743" ht="22" customHeight="1">
      <x:c r="A1743" s="1" t="str">
        <x:v>M1736</x:v>
      </x:c>
      <x:c r="B1743" s="1" t="str">
        <x:v>FW03</x:v>
      </x:c>
      <x:c r="C1743" s="1" t="str">
        <x:v>T6</x:v>
      </x:c>
      <x:c r="D1743" s="1" t="str">
        <x:v>L09</x:v>
      </x:c>
      <x:c r="E1743" s="1" t="str">
        <x:v>Column four faces</x:v>
      </x:c>
      <x:c r="F1743" s="35" t="n">
        <x:v>30</x:v>
      </x:c>
      <x:c r="G1743" s="35" t="n">
        <x:f>2*('Controls'!$B$14+'Controls'!$B$15)</x:f>
        <x:v>2</x:v>
      </x:c>
      <x:c r="H1743" s="35" t="n">
        <x:f>'Controls'!$B$12-'Controls'!$B$13</x:f>
        <x:v>2.98</x:v>
      </x:c>
      <x:c r="I1743" s="35" t="n">
        <x:v>1</x:v>
      </x:c>
      <x:c r="J1743" s="35" t="n">
        <x:v>1</x:v>
      </x:c>
      <x:c r="K1743" s="35" t="n">
        <x:f>F1743*G1743*H1743*I1743*J1743</x:f>
        <x:v>178.8</x:v>
      </x:c>
      <x:c r="L1743" s="1" t="str">
        <x:v>Clear floor-to-soffit</x:v>
      </x:c>
      <x:c r="M1743" s="1"/>
      <x:c r="N1743" s="1"/>
      <x:c r="O1743" s="1"/>
      <x:c r="P1743" s="1"/>
      <x:c r="Q1743" s="1"/>
    </x:row>
    <x:row r="1744" ht="22" customHeight="1">
      <x:c r="A1744" s="36" t="str">
        <x:v>M1737</x:v>
      </x:c>
      <x:c r="B1744" s="36" t="str">
        <x:v>FW04</x:v>
      </x:c>
      <x:c r="C1744" s="36" t="str">
        <x:v>T6</x:v>
      </x:c>
      <x:c r="D1744" s="36" t="str">
        <x:v>L09</x:v>
      </x:c>
      <x:c r="E1744" s="36" t="str">
        <x:v>Core wall two faces</x:v>
      </x:c>
      <x:c r="F1744" s="37" t="n">
        <x:v>2</x:v>
      </x:c>
      <x:c r="G1744" s="37" t="n">
        <x:f>'Controls'!$B$19</x:f>
        <x:v>24</x:v>
      </x:c>
      <x:c r="H1744" s="37" t="n">
        <x:f>'Controls'!$B$12-'Controls'!$B$13</x:f>
        <x:v>2.98</x:v>
      </x:c>
      <x:c r="I1744" s="37" t="n">
        <x:v>1</x:v>
      </x:c>
      <x:c r="J1744" s="37" t="n">
        <x:v>1</x:v>
      </x:c>
      <x:c r="K1744" s="37" t="n">
        <x:f>F1744*G1744*H1744*I1744*J1744</x:f>
        <x:v>143.04</x:v>
      </x:c>
      <x:c r="L1744" s="36" t="str">
        <x:v>Net perimeter, no repeated corners</x:v>
      </x:c>
      <x:c r="M1744" s="1"/>
      <x:c r="N1744" s="1"/>
      <x:c r="O1744" s="1"/>
      <x:c r="P1744" s="1"/>
      <x:c r="Q1744" s="1"/>
    </x:row>
    <x:row r="1745" ht="22" customHeight="1">
      <x:c r="A1745" s="1" t="str">
        <x:v>M1738</x:v>
      </x:c>
      <x:c r="B1745" s="1" t="str">
        <x:v>AR01</x:v>
      </x:c>
      <x:c r="C1745" s="1" t="str">
        <x:v>T6</x:v>
      </x:c>
      <x:c r="D1745" s="1" t="str">
        <x:v>L09</x:v>
      </x:c>
      <x:c r="E1745" s="1" t="str">
        <x:v>Partition walls gross</x:v>
      </x:c>
      <x:c r="F1745" s="35" t="n">
        <x:v>1</x:v>
      </x:c>
      <x:c r="G1745" s="35" t="n">
        <x:f>'Controls'!$B$45</x:f>
        <x:v>220</x:v>
      </x:c>
      <x:c r="H1745" s="35" t="n">
        <x:f>'Controls'!$B$12-'Controls'!$B$13</x:f>
        <x:v>2.98</x:v>
      </x:c>
      <x:c r="I1745" s="35" t="n">
        <x:f>'Controls'!$B$46</x:f>
        <x:v>0.15</x:v>
      </x:c>
      <x:c r="J1745" s="35" t="n">
        <x:v>1</x:v>
      </x:c>
      <x:c r="K1745" s="35" t="n">
        <x:f>F1745*G1745*H1745*I1745*J1745</x:f>
        <x:v>98.34</x:v>
      </x:c>
      <x:c r="L1745" s="1" t="str">
        <x:v>Net openings deducted below</x:v>
      </x:c>
      <x:c r="M1745" s="1"/>
      <x:c r="N1745" s="1"/>
      <x:c r="O1745" s="1"/>
      <x:c r="P1745" s="1"/>
      <x:c r="Q1745" s="1"/>
    </x:row>
    <x:row r="1746" ht="22" customHeight="1">
      <x:c r="A1746" s="36" t="str">
        <x:v>M1739</x:v>
      </x:c>
      <x:c r="B1746" s="36" t="str">
        <x:v>AR01</x:v>
      </x:c>
      <x:c r="C1746" s="36" t="str">
        <x:v>T6</x:v>
      </x:c>
      <x:c r="D1746" s="36" t="str">
        <x:v>L09</x:v>
      </x:c>
      <x:c r="E1746" s="36" t="str">
        <x:v>Internal doors deduction</x:v>
      </x:c>
      <x:c r="F1746" s="37" t="n">
        <x:f>'Controls'!$B$48</x:f>
        <x:v>28</x:v>
      </x:c>
      <x:c r="G1746" s="37" t="n">
        <x:f>'Controls'!$B$49</x:f>
        <x:v>0.9</x:v>
      </x:c>
      <x:c r="H1746" s="37" t="n">
        <x:f>'Controls'!$B$50</x:f>
        <x:v>2.1</x:v>
      </x:c>
      <x:c r="I1746" s="37" t="n">
        <x:f>'Controls'!$B$46</x:f>
        <x:v>0.15</x:v>
      </x:c>
      <x:c r="J1746" s="37" t="n">
        <x:v>-1</x:v>
      </x:c>
      <x:c r="K1746" s="37" t="n">
        <x:f>F1746*G1746*H1746*I1746*J1746</x:f>
        <x:v>-7.938</x:v>
      </x:c>
      <x:c r="L1746" s="36" t="str">
        <x:v>28 doors per floor, OP-02</x:v>
      </x:c>
      <x:c r="M1746" s="1"/>
      <x:c r="N1746" s="1"/>
      <x:c r="O1746" s="1"/>
      <x:c r="P1746" s="1"/>
      <x:c r="Q1746" s="1"/>
    </x:row>
    <x:row r="1747" ht="22" customHeight="1">
      <x:c r="A1747" s="1" t="str">
        <x:v>M1740</x:v>
      </x:c>
      <x:c r="B1747" s="1" t="str">
        <x:v>AR02</x:v>
      </x:c>
      <x:c r="C1747" s="1" t="str">
        <x:v>T6</x:v>
      </x:c>
      <x:c r="D1747" s="1" t="str">
        <x:v>L09</x:v>
      </x:c>
      <x:c r="E1747" s="1" t="str">
        <x:v>Internal plaster gross</x:v>
      </x:c>
      <x:c r="F1747" s="35" t="n">
        <x:v>2</x:v>
      </x:c>
      <x:c r="G1747" s="35" t="n">
        <x:f>'Controls'!$B$45</x:f>
        <x:v>220</x:v>
      </x:c>
      <x:c r="H1747" s="35" t="n">
        <x:f>'Controls'!$B$12-'Controls'!$B$13</x:f>
        <x:v>2.98</x:v>
      </x:c>
      <x:c r="I1747" s="35" t="n">
        <x:v>1</x:v>
      </x:c>
      <x:c r="J1747" s="35" t="n">
        <x:v>1</x:v>
      </x:c>
      <x:c r="K1747" s="35" t="n">
        <x:f>F1747*G1747*H1747*I1747*J1747</x:f>
        <x:v>1311.2</x:v>
      </x:c>
      <x:c r="L1747" s="1" t="str">
        <x:v>Both faces of partition walls</x:v>
      </x:c>
      <x:c r="M1747" s="1"/>
      <x:c r="N1747" s="1"/>
      <x:c r="O1747" s="1"/>
      <x:c r="P1747" s="1"/>
      <x:c r="Q1747" s="1"/>
    </x:row>
    <x:row r="1748" ht="22" customHeight="1">
      <x:c r="A1748" s="36" t="str">
        <x:v>M1741</x:v>
      </x:c>
      <x:c r="B1748" s="36" t="str">
        <x:v>AR02</x:v>
      </x:c>
      <x:c r="C1748" s="36" t="str">
        <x:v>T6</x:v>
      </x:c>
      <x:c r="D1748" s="36" t="str">
        <x:v>L09</x:v>
      </x:c>
      <x:c r="E1748" s="36" t="str">
        <x:v>Door area deduction both faces</x:v>
      </x:c>
      <x:c r="F1748" s="37" t="n">
        <x:f>2*'Controls'!$B$48</x:f>
        <x:v>56</x:v>
      </x:c>
      <x:c r="G1748" s="37" t="n">
        <x:f>'Controls'!$B$49</x:f>
        <x:v>0.9</x:v>
      </x:c>
      <x:c r="H1748" s="37" t="n">
        <x:f>'Controls'!$B$50</x:f>
        <x:v>2.1</x:v>
      </x:c>
      <x:c r="I1748" s="37" t="n">
        <x:v>1</x:v>
      </x:c>
      <x:c r="J1748" s="37" t="n">
        <x:v>-1</x:v>
      </x:c>
      <x:c r="K1748" s="37" t="n">
        <x:f>F1748*G1748*H1748*I1748*J1748</x:f>
        <x:v>-105.84</x:v>
      </x:c>
      <x:c r="L1748" s="36" t="str">
        <x:v>No plaster over openings</x:v>
      </x:c>
      <x:c r="M1748" s="1"/>
      <x:c r="N1748" s="1"/>
      <x:c r="O1748" s="1"/>
      <x:c r="P1748" s="1"/>
      <x:c r="Q1748" s="1"/>
    </x:row>
    <x:row r="1749" ht="22" customHeight="1">
      <x:c r="A1749" s="1" t="str">
        <x:v>M1742</x:v>
      </x:c>
      <x:c r="B1749" s="1" t="str">
        <x:v>AR03</x:v>
      </x:c>
      <x:c r="C1749" s="1" t="str">
        <x:v>T6</x:v>
      </x:c>
      <x:c r="D1749" s="1" t="str">
        <x:v>L09</x:v>
      </x:c>
      <x:c r="E1749" s="1" t="str">
        <x:v>Floor screed net</x:v>
      </x:c>
      <x:c r="F1749" s="35" t="n">
        <x:v>1</x:v>
      </x:c>
      <x:c r="G1749" s="35" t="n">
        <x:f>'Controls'!$B$10*'Controls'!$B$11-'Controls'!$B$20*'Controls'!$B$21</x:f>
        <x:v>696</x:v>
      </x:c>
      <x:c r="H1749" s="35" t="n">
        <x:v>1</x:v>
      </x:c>
      <x:c r="I1749" s="35" t="n">
        <x:v>1</x:v>
      </x:c>
      <x:c r="J1749" s="35" t="n">
        <x:v>1</x:v>
      </x:c>
      <x:c r="K1749" s="35" t="n">
        <x:f>F1749*G1749*H1749*I1749*J1749</x:f>
        <x:v>696</x:v>
      </x:c>
      <x:c r="L1749" s="1" t="str">
        <x:v>Net structural floor area</x:v>
      </x:c>
      <x:c r="M1749" s="1"/>
      <x:c r="N1749" s="1"/>
      <x:c r="O1749" s="1"/>
      <x:c r="P1749" s="1"/>
      <x:c r="Q1749" s="1"/>
    </x:row>
    <x:row r="1750" ht="22" customHeight="1">
      <x:c r="A1750" s="36" t="str">
        <x:v>M1743</x:v>
      </x:c>
      <x:c r="B1750" s="36" t="str">
        <x:v>AR04</x:v>
      </x:c>
      <x:c r="C1750" s="36" t="str">
        <x:v>T6</x:v>
      </x:c>
      <x:c r="D1750" s="36" t="str">
        <x:v>L09</x:v>
      </x:c>
      <x:c r="E1750" s="36" t="str">
        <x:v>Floor finish net</x:v>
      </x:c>
      <x:c r="F1750" s="37" t="n">
        <x:v>1</x:v>
      </x:c>
      <x:c r="G1750" s="37" t="n">
        <x:f>'Controls'!$B$10*'Controls'!$B$11-'Controls'!$B$20*'Controls'!$B$21</x:f>
        <x:v>696</x:v>
      </x:c>
      <x:c r="H1750" s="37" t="n">
        <x:v>1</x:v>
      </x:c>
      <x:c r="I1750" s="37" t="n">
        <x:v>1</x:v>
      </x:c>
      <x:c r="J1750" s="37" t="n">
        <x:v>1</x:v>
      </x:c>
      <x:c r="K1750" s="37" t="n">
        <x:f>F1750*G1750*H1750*I1750*J1750</x:f>
        <x:v>696</x:v>
      </x:c>
      <x:c r="L1750" s="36" t="str">
        <x:v>Waste excluded from BOQ</x:v>
      </x:c>
      <x:c r="M1750" s="1"/>
      <x:c r="N1750" s="1"/>
      <x:c r="O1750" s="1"/>
      <x:c r="P1750" s="1"/>
      <x:c r="Q1750" s="1"/>
    </x:row>
    <x:row r="1751" ht="22" customHeight="1">
      <x:c r="A1751" s="1" t="str">
        <x:v>M1744</x:v>
      </x:c>
      <x:c r="B1751" s="1" t="str">
        <x:v>AR05</x:v>
      </x:c>
      <x:c r="C1751" s="1" t="str">
        <x:v>T6</x:v>
      </x:c>
      <x:c r="D1751" s="1" t="str">
        <x:v>L09</x:v>
      </x:c>
      <x:c r="E1751" s="1" t="str">
        <x:v>Internal wall paint net</x:v>
      </x:c>
      <x:c r="F1751" s="35" t="n">
        <x:v>2</x:v>
      </x:c>
      <x:c r="G1751" s="35" t="n">
        <x:f>'Controls'!$B$45*('Controls'!$B$12-'Controls'!$B$13)-'Controls'!$B$48*'Controls'!$B$49*'Controls'!$B$50</x:f>
        <x:v>602.6800000000001</x:v>
      </x:c>
      <x:c r="H1751" s="35" t="n">
        <x:v>1</x:v>
      </x:c>
      <x:c r="I1751" s="35" t="n">
        <x:v>1</x:v>
      </x:c>
      <x:c r="J1751" s="35" t="n">
        <x:v>1</x:v>
      </x:c>
      <x:c r="K1751" s="35" t="n">
        <x:f>F1751*G1751*H1751*I1751*J1751</x:f>
        <x:v>1205.3600000000001</x:v>
      </x:c>
      <x:c r="L1751" s="1" t="str">
        <x:v>Finished area; two coats priced in rate</x:v>
      </x:c>
      <x:c r="M1751" s="1"/>
      <x:c r="N1751" s="1"/>
      <x:c r="O1751" s="1"/>
      <x:c r="P1751" s="1"/>
      <x:c r="Q1751" s="1"/>
    </x:row>
    <x:row r="1752" ht="22" customHeight="1">
      <x:c r="A1752" s="36" t="str">
        <x:v>M1745</x:v>
      </x:c>
      <x:c r="B1752" s="36" t="str">
        <x:v>AR06</x:v>
      </x:c>
      <x:c r="C1752" s="36" t="str">
        <x:v>T6</x:v>
      </x:c>
      <x:c r="D1752" s="36" t="str">
        <x:v>L09</x:v>
      </x:c>
      <x:c r="E1752" s="36" t="str">
        <x:v>Door sets</x:v>
      </x:c>
      <x:c r="F1752" s="37" t="n">
        <x:f>'Controls'!$B$48</x:f>
        <x:v>28</x:v>
      </x:c>
      <x:c r="G1752" s="37" t="n">
        <x:v>1</x:v>
      </x:c>
      <x:c r="H1752" s="37" t="n">
        <x:v>1</x:v>
      </x:c>
      <x:c r="I1752" s="37" t="n">
        <x:v>1</x:v>
      </x:c>
      <x:c r="J1752" s="37" t="n">
        <x:v>1</x:v>
      </x:c>
      <x:c r="K1752" s="37" t="n">
        <x:f>F1752*G1752*H1752*I1752*J1752</x:f>
        <x:v>28</x:v>
      </x:c>
      <x:c r="L1752" s="36" t="str">
        <x:v>Door count, not double face</x:v>
      </x:c>
      <x:c r="M1752" s="1"/>
      <x:c r="N1752" s="1"/>
      <x:c r="O1752" s="1"/>
      <x:c r="P1752" s="1"/>
      <x:c r="Q1752" s="1"/>
    </x:row>
    <x:row r="1753" ht="22" customHeight="1">
      <x:c r="A1753" s="1" t="str">
        <x:v>M1746</x:v>
      </x:c>
      <x:c r="B1753" s="1" t="str">
        <x:v>RC03</x:v>
      </x:c>
      <x:c r="C1753" s="1" t="str">
        <x:v>T6</x:v>
      </x:c>
      <x:c r="D1753" s="1" t="str">
        <x:v>L10</x:v>
      </x:c>
      <x:c r="E1753" s="1" t="str">
        <x:v>Floor slab gross</x:v>
      </x:c>
      <x:c r="F1753" s="35" t="n">
        <x:v>1</x:v>
      </x:c>
      <x:c r="G1753" s="35" t="n">
        <x:f>'Controls'!$B$10</x:f>
        <x:v>30</x:v>
      </x:c>
      <x:c r="H1753" s="35" t="n">
        <x:f>'Controls'!$B$11</x:f>
        <x:v>24</x:v>
      </x:c>
      <x:c r="I1753" s="35" t="n">
        <x:f>'Controls'!$B$13</x:f>
        <x:v>0.22</x:v>
      </x:c>
      <x:c r="J1753" s="35" t="n">
        <x:v>1</x:v>
      </x:c>
      <x:c r="K1753" s="35" t="n">
        <x:f>F1753*G1753*H1753*I1753*J1753</x:f>
        <x:v>158.4</x:v>
      </x:c>
      <x:c r="L1753" s="1" t="str">
        <x:v>Slab includes beam top flange; downstand separate</x:v>
      </x:c>
      <x:c r="M1753" s="1"/>
      <x:c r="N1753" s="1"/>
      <x:c r="O1753" s="1"/>
      <x:c r="P1753" s="1"/>
      <x:c r="Q1753" s="1"/>
    </x:row>
    <x:row r="1754" ht="22" customHeight="1">
      <x:c r="A1754" s="36" t="str">
        <x:v>M1747</x:v>
      </x:c>
      <x:c r="B1754" s="36" t="str">
        <x:v>RC03</x:v>
      </x:c>
      <x:c r="C1754" s="36" t="str">
        <x:v>T6</x:v>
      </x:c>
      <x:c r="D1754" s="36" t="str">
        <x:v>L10</x:v>
      </x:c>
      <x:c r="E1754" s="36" t="str">
        <x:v>Stair opening deduction</x:v>
      </x:c>
      <x:c r="F1754" s="37" t="n">
        <x:v>1</x:v>
      </x:c>
      <x:c r="G1754" s="37" t="n">
        <x:f>'Controls'!$B$20</x:f>
        <x:v>4</x:v>
      </x:c>
      <x:c r="H1754" s="37" t="n">
        <x:f>'Controls'!$B$21</x:f>
        <x:v>6</x:v>
      </x:c>
      <x:c r="I1754" s="37" t="n">
        <x:f>'Controls'!$B$13</x:f>
        <x:v>0.22</x:v>
      </x:c>
      <x:c r="J1754" s="37" t="n">
        <x:v>-1</x:v>
      </x:c>
      <x:c r="K1754" s="37" t="n">
        <x:f>F1754*G1754*H1754*I1754*J1754</x:f>
        <x:v>-5.28</x:v>
      </x:c>
      <x:c r="L1754" s="36" t="str">
        <x:v>Opening OP-01</x:v>
      </x:c>
      <x:c r="M1754" s="1"/>
      <x:c r="N1754" s="1"/>
      <x:c r="O1754" s="1"/>
      <x:c r="P1754" s="1"/>
      <x:c r="Q1754" s="1"/>
    </x:row>
    <x:row r="1755" ht="22" customHeight="1">
      <x:c r="A1755" s="1" t="str">
        <x:v>M1748</x:v>
      </x:c>
      <x:c r="B1755" s="1" t="str">
        <x:v>RC04</x:v>
      </x:c>
      <x:c r="C1755" s="1" t="str">
        <x:v>T6</x:v>
      </x:c>
      <x:c r="D1755" s="1" t="str">
        <x:v>L10</x:v>
      </x:c>
      <x:c r="E1755" s="1" t="str">
        <x:v>Beam downstands X</x:v>
      </x:c>
      <x:c r="F1755" s="35" t="n">
        <x:v>1</x:v>
      </x:c>
      <x:c r="G1755" s="35" t="n">
        <x:f>5*5*('Controls'!$B$10/5-'Controls'!$B$14)</x:f>
        <x:v>137.5</x:v>
      </x:c>
      <x:c r="H1755" s="35" t="n">
        <x:f>'Controls'!$B$16</x:f>
        <x:v>0.3</x:v>
      </x:c>
      <x:c r="I1755" s="35" t="n">
        <x:f>'Controls'!$B$17-'Controls'!$B$13</x:f>
        <x:v>0.38</x:v>
      </x:c>
      <x:c r="J1755" s="35" t="n">
        <x:v>1</x:v>
      </x:c>
      <x:c r="K1755" s="35" t="n">
        <x:f>F1755*G1755*H1755*I1755*J1755</x:f>
        <x:v>15.675</x:v>
      </x:c>
      <x:c r="L1755" s="1" t="str">
        <x:v>Clear spans between column faces; no joint overlap</x:v>
      </x:c>
      <x:c r="M1755" s="1"/>
      <x:c r="N1755" s="1"/>
      <x:c r="O1755" s="1"/>
      <x:c r="P1755" s="1"/>
      <x:c r="Q1755" s="1"/>
    </x:row>
    <x:row r="1756" ht="22" customHeight="1">
      <x:c r="A1756" s="36" t="str">
        <x:v>M1749</x:v>
      </x:c>
      <x:c r="B1756" s="36" t="str">
        <x:v>FW02</x:v>
      </x:c>
      <x:c r="C1756" s="36" t="str">
        <x:v>T6</x:v>
      </x:c>
      <x:c r="D1756" s="36" t="str">
        <x:v>L10</x:v>
      </x:c>
      <x:c r="E1756" s="36" t="str">
        <x:v>Beam forms X</x:v>
      </x:c>
      <x:c r="F1756" s="37" t="n">
        <x:v>1</x:v>
      </x:c>
      <x:c r="G1756" s="37" t="n">
        <x:f>5*5*('Controls'!$B$10/5-'Controls'!$B$14)</x:f>
        <x:v>137.5</x:v>
      </x:c>
      <x:c r="H1756" s="37" t="n">
        <x:f>'Controls'!$B$16+2*('Controls'!$B$17-'Controls'!$B$13)</x:f>
        <x:v>1.06</x:v>
      </x:c>
      <x:c r="I1756" s="37" t="n">
        <x:v>1</x:v>
      </x:c>
      <x:c r="J1756" s="37" t="n">
        <x:v>1</x:v>
      </x:c>
      <x:c r="K1756" s="37" t="n">
        <x:f>F1756*G1756*H1756*I1756*J1756</x:f>
        <x:v>145.75</x:v>
      </x:c>
      <x:c r="L1756" s="36" t="str">
        <x:v>Soffit plus two downstand sides</x:v>
      </x:c>
      <x:c r="M1756" s="1"/>
      <x:c r="N1756" s="1"/>
      <x:c r="O1756" s="1"/>
      <x:c r="P1756" s="1"/>
      <x:c r="Q1756" s="1"/>
    </x:row>
    <x:row r="1757" ht="22" customHeight="1">
      <x:c r="A1757" s="1" t="str">
        <x:v>M1750</x:v>
      </x:c>
      <x:c r="B1757" s="1" t="str">
        <x:v>RC04</x:v>
      </x:c>
      <x:c r="C1757" s="1" t="str">
        <x:v>T6</x:v>
      </x:c>
      <x:c r="D1757" s="1" t="str">
        <x:v>L10</x:v>
      </x:c>
      <x:c r="E1757" s="1" t="str">
        <x:v>Beam downstands Y</x:v>
      </x:c>
      <x:c r="F1757" s="35" t="n">
        <x:v>1</x:v>
      </x:c>
      <x:c r="G1757" s="35" t="n">
        <x:f>6*4*('Controls'!$B$11/4-'Controls'!$B$15)</x:f>
        <x:v>132</x:v>
      </x:c>
      <x:c r="H1757" s="35" t="n">
        <x:f>'Controls'!$B$16</x:f>
        <x:v>0.3</x:v>
      </x:c>
      <x:c r="I1757" s="35" t="n">
        <x:f>'Controls'!$B$17-'Controls'!$B$13</x:f>
        <x:v>0.38</x:v>
      </x:c>
      <x:c r="J1757" s="35" t="n">
        <x:v>1</x:v>
      </x:c>
      <x:c r="K1757" s="35" t="n">
        <x:f>F1757*G1757*H1757*I1757*J1757</x:f>
        <x:v>15.048</x:v>
      </x:c>
      <x:c r="L1757" s="1" t="str">
        <x:v>Clear spans between column faces; no joint overlap</x:v>
      </x:c>
      <x:c r="M1757" s="1"/>
      <x:c r="N1757" s="1"/>
      <x:c r="O1757" s="1"/>
      <x:c r="P1757" s="1"/>
      <x:c r="Q1757" s="1"/>
    </x:row>
    <x:row r="1758" ht="22" customHeight="1">
      <x:c r="A1758" s="36" t="str">
        <x:v>M1751</x:v>
      </x:c>
      <x:c r="B1758" s="36" t="str">
        <x:v>FW02</x:v>
      </x:c>
      <x:c r="C1758" s="36" t="str">
        <x:v>T6</x:v>
      </x:c>
      <x:c r="D1758" s="36" t="str">
        <x:v>L10</x:v>
      </x:c>
      <x:c r="E1758" s="36" t="str">
        <x:v>Beam forms Y</x:v>
      </x:c>
      <x:c r="F1758" s="37" t="n">
        <x:v>1</x:v>
      </x:c>
      <x:c r="G1758" s="37" t="n">
        <x:f>6*4*('Controls'!$B$11/4-'Controls'!$B$15)</x:f>
        <x:v>132</x:v>
      </x:c>
      <x:c r="H1758" s="37" t="n">
        <x:f>'Controls'!$B$16+2*('Controls'!$B$17-'Controls'!$B$13)</x:f>
        <x:v>1.06</x:v>
      </x:c>
      <x:c r="I1758" s="37" t="n">
        <x:v>1</x:v>
      </x:c>
      <x:c r="J1758" s="37" t="n">
        <x:v>1</x:v>
      </x:c>
      <x:c r="K1758" s="37" t="n">
        <x:f>F1758*G1758*H1758*I1758*J1758</x:f>
        <x:v>139.92000000000002</x:v>
      </x:c>
      <x:c r="L1758" s="36" t="str">
        <x:v>Soffit plus two downstand sides</x:v>
      </x:c>
      <x:c r="M1758" s="1"/>
      <x:c r="N1758" s="1"/>
      <x:c r="O1758" s="1"/>
      <x:c r="P1758" s="1"/>
      <x:c r="Q1758" s="1"/>
    </x:row>
    <x:row r="1759" ht="22" customHeight="1">
      <x:c r="A1759" s="1" t="str">
        <x:v>M1752</x:v>
      </x:c>
      <x:c r="B1759" s="1" t="str">
        <x:v>RC05</x:v>
      </x:c>
      <x:c r="C1759" s="1" t="str">
        <x:v>T6</x:v>
      </x:c>
      <x:c r="D1759" s="1" t="str">
        <x:v>L10</x:v>
      </x:c>
      <x:c r="E1759" s="1" t="str">
        <x:v>Thirty columns, clear storey</x:v>
      </x:c>
      <x:c r="F1759" s="35" t="n">
        <x:v>30</x:v>
      </x:c>
      <x:c r="G1759" s="35" t="n">
        <x:f>'Controls'!$B$14</x:f>
        <x:v>0.5</x:v>
      </x:c>
      <x:c r="H1759" s="35" t="n">
        <x:f>'Controls'!$B$15</x:f>
        <x:v>0.5</x:v>
      </x:c>
      <x:c r="I1759" s="35" t="n">
        <x:f>'Controls'!$B$12-'Controls'!$B$13</x:f>
        <x:v>2.98</x:v>
      </x:c>
      <x:c r="J1759" s="35" t="n">
        <x:v>1</x:v>
      </x:c>
      <x:c r="K1759" s="35" t="n">
        <x:f>F1759*G1759*H1759*I1759*J1759</x:f>
        <x:v>22.35</x:v>
      </x:c>
      <x:c r="L1759" s="1" t="str">
        <x:v>Slab volume excluded from columns</x:v>
      </x:c>
      <x:c r="M1759" s="1"/>
      <x:c r="N1759" s="1"/>
      <x:c r="O1759" s="1"/>
      <x:c r="P1759" s="1"/>
      <x:c r="Q1759" s="1"/>
    </x:row>
    <x:row r="1760" ht="22" customHeight="1">
      <x:c r="A1760" s="36" t="str">
        <x:v>M1753</x:v>
      </x:c>
      <x:c r="B1760" s="36" t="str">
        <x:v>RC06</x:v>
      </x:c>
      <x:c r="C1760" s="36" t="str">
        <x:v>T6</x:v>
      </x:c>
      <x:c r="D1760" s="36" t="str">
        <x:v>L10</x:v>
      </x:c>
      <x:c r="E1760" s="36" t="str">
        <x:v>Core walls clear storey</x:v>
      </x:c>
      <x:c r="F1760" s="37" t="n">
        <x:v>1</x:v>
      </x:c>
      <x:c r="G1760" s="37" t="n">
        <x:f>'Controls'!$B$19</x:f>
        <x:v>24</x:v>
      </x:c>
      <x:c r="H1760" s="37" t="n">
        <x:f>'Controls'!$B$18</x:f>
        <x:v>0.25</x:v>
      </x:c>
      <x:c r="I1760" s="37" t="n">
        <x:f>'Controls'!$B$12-'Controls'!$B$13</x:f>
        <x:v>2.98</x:v>
      </x:c>
      <x:c r="J1760" s="37" t="n">
        <x:v>1</x:v>
      </x:c>
      <x:c r="K1760" s="37" t="n">
        <x:f>F1760*G1760*H1760*I1760*J1760</x:f>
        <x:v>17.88</x:v>
      </x:c>
      <x:c r="L1760" s="36" t="str">
        <x:v>Net clear wall length excludes corners</x:v>
      </x:c>
      <x:c r="M1760" s="1"/>
      <x:c r="N1760" s="1"/>
      <x:c r="O1760" s="1"/>
      <x:c r="P1760" s="1"/>
      <x:c r="Q1760" s="1"/>
    </x:row>
    <x:row r="1761" ht="22" customHeight="1">
      <x:c r="A1761" s="1" t="str">
        <x:v>M1754</x:v>
      </x:c>
      <x:c r="B1761" s="1" t="str">
        <x:v>RC07</x:v>
      </x:c>
      <x:c r="C1761" s="1" t="str">
        <x:v>T6</x:v>
      </x:c>
      <x:c r="D1761" s="1" t="str">
        <x:v>L10</x:v>
      </x:c>
      <x:c r="E1761" s="1" t="str">
        <x:v>Stair flights waist</x:v>
      </x:c>
      <x:c r="F1761" s="35" t="n">
        <x:v>2</x:v>
      </x:c>
      <x:c r="G1761" s="35" t="n">
        <x:v>4.1</x:v>
      </x:c>
      <x:c r="H1761" s="35" t="n">
        <x:v>1.2</x:v>
      </x:c>
      <x:c r="I1761" s="35" t="n">
        <x:v>0.18</x:v>
      </x:c>
      <x:c r="J1761" s="35" t="n">
        <x:v>1</x:v>
      </x:c>
      <x:c r="K1761" s="35" t="n">
        <x:f>F1761*G1761*H1761*I1761*J1761</x:f>
        <x:v>1.7711999999999997</x:v>
      </x:c>
      <x:c r="L1761" s="1" t="str">
        <x:v>Two flights; geometry separate from floor slab</x:v>
      </x:c>
      <x:c r="M1761" s="1"/>
      <x:c r="N1761" s="1"/>
      <x:c r="O1761" s="1"/>
      <x:c r="P1761" s="1"/>
      <x:c r="Q1761" s="1"/>
    </x:row>
    <x:row r="1762" ht="22" customHeight="1">
      <x:c r="A1762" s="36" t="str">
        <x:v>M1755</x:v>
      </x:c>
      <x:c r="B1762" s="36" t="str">
        <x:v>RC07</x:v>
      </x:c>
      <x:c r="C1762" s="36" t="str">
        <x:v>T6</x:v>
      </x:c>
      <x:c r="D1762" s="36" t="str">
        <x:v>L10</x:v>
      </x:c>
      <x:c r="E1762" s="36" t="str">
        <x:v>Stair landings</x:v>
      </x:c>
      <x:c r="F1762" s="37" t="n">
        <x:v>2</x:v>
      </x:c>
      <x:c r="G1762" s="37" t="n">
        <x:v>2</x:v>
      </x:c>
      <x:c r="H1762" s="37" t="n">
        <x:v>1.2</x:v>
      </x:c>
      <x:c r="I1762" s="37" t="n">
        <x:v>0.18</x:v>
      </x:c>
      <x:c r="J1762" s="37" t="n">
        <x:v>1</x:v>
      </x:c>
      <x:c r="K1762" s="37" t="n">
        <x:f>F1762*G1762*H1762*I1762*J1762</x:f>
        <x:v>0.864</x:v>
      </x:c>
      <x:c r="L1762" s="36" t="str">
        <x:v>Within stair opening</x:v>
      </x:c>
      <x:c r="M1762" s="1"/>
      <x:c r="N1762" s="1"/>
      <x:c r="O1762" s="1"/>
      <x:c r="P1762" s="1"/>
      <x:c r="Q1762" s="1"/>
    </x:row>
    <x:row r="1763" ht="22" customHeight="1">
      <x:c r="A1763" s="1" t="str">
        <x:v>M1756</x:v>
      </x:c>
      <x:c r="B1763" s="1" t="str">
        <x:v>FW01</x:v>
      </x:c>
      <x:c r="C1763" s="1" t="str">
        <x:v>T6</x:v>
      </x:c>
      <x:c r="D1763" s="1" t="str">
        <x:v>L10</x:v>
      </x:c>
      <x:c r="E1763" s="1" t="str">
        <x:v>Slab soffit gross</x:v>
      </x:c>
      <x:c r="F1763" s="35" t="n">
        <x:v>1</x:v>
      </x:c>
      <x:c r="G1763" s="35" t="n">
        <x:f>'Controls'!$B$10</x:f>
        <x:v>30</x:v>
      </x:c>
      <x:c r="H1763" s="35" t="n">
        <x:f>'Controls'!$B$11</x:f>
        <x:v>24</x:v>
      </x:c>
      <x:c r="I1763" s="35" t="n">
        <x:v>1</x:v>
      </x:c>
      <x:c r="J1763" s="35" t="n">
        <x:v>1</x:v>
      </x:c>
      <x:c r="K1763" s="35" t="n">
        <x:f>F1763*G1763*H1763*I1763*J1763</x:f>
        <x:v>720</x:v>
      </x:c>
      <x:c r="L1763" s="1" t="str">
        <x:v>Beam soffit deducted below</x:v>
      </x:c>
      <x:c r="M1763" s="1"/>
      <x:c r="N1763" s="1"/>
      <x:c r="O1763" s="1"/>
      <x:c r="P1763" s="1"/>
      <x:c r="Q1763" s="1"/>
    </x:row>
    <x:row r="1764" ht="22" customHeight="1">
      <x:c r="A1764" s="36" t="str">
        <x:v>M1757</x:v>
      </x:c>
      <x:c r="B1764" s="36" t="str">
        <x:v>FW01</x:v>
      </x:c>
      <x:c r="C1764" s="36" t="str">
        <x:v>T6</x:v>
      </x:c>
      <x:c r="D1764" s="36" t="str">
        <x:v>L10</x:v>
      </x:c>
      <x:c r="E1764" s="36" t="str">
        <x:v>Stair opening deduction</x:v>
      </x:c>
      <x:c r="F1764" s="37" t="n">
        <x:v>1</x:v>
      </x:c>
      <x:c r="G1764" s="37" t="n">
        <x:f>'Controls'!$B$20</x:f>
        <x:v>4</x:v>
      </x:c>
      <x:c r="H1764" s="37" t="n">
        <x:f>'Controls'!$B$21</x:f>
        <x:v>6</x:v>
      </x:c>
      <x:c r="I1764" s="37" t="n">
        <x:v>1</x:v>
      </x:c>
      <x:c r="J1764" s="37" t="n">
        <x:v>-1</x:v>
      </x:c>
      <x:c r="K1764" s="37" t="n">
        <x:f>F1764*G1764*H1764*I1764*J1764</x:f>
        <x:v>-24</x:v>
      </x:c>
      <x:c r="L1764" s="36" t="str">
        <x:v>OP-01</x:v>
      </x:c>
      <x:c r="M1764" s="1"/>
      <x:c r="N1764" s="1"/>
      <x:c r="O1764" s="1"/>
      <x:c r="P1764" s="1"/>
      <x:c r="Q1764" s="1"/>
    </x:row>
    <x:row r="1765" ht="22" customHeight="1">
      <x:c r="A1765" s="1" t="str">
        <x:v>M1758</x:v>
      </x:c>
      <x:c r="B1765" s="1" t="str">
        <x:v>FW01</x:v>
      </x:c>
      <x:c r="C1765" s="1" t="str">
        <x:v>T6</x:v>
      </x:c>
      <x:c r="D1765" s="1" t="str">
        <x:v>L10</x:v>
      </x:c>
      <x:c r="E1765" s="1" t="str">
        <x:v>Beam soffit deduction</x:v>
      </x:c>
      <x:c r="F1765" s="35" t="n">
        <x:v>1</x:v>
      </x:c>
      <x:c r="G1765" s="35" t="n">
        <x:f>5*5*('Controls'!$B$10/5-'Controls'!$B$14)+6*4*('Controls'!$B$11/4-'Controls'!$B$15)</x:f>
        <x:v>269.5</x:v>
      </x:c>
      <x:c r="H1765" s="35" t="n">
        <x:f>'Controls'!$B$16</x:f>
        <x:v>0.3</x:v>
      </x:c>
      <x:c r="I1765" s="35" t="n">
        <x:v>1</x:v>
      </x:c>
      <x:c r="J1765" s="35" t="n">
        <x:v>-1</x:v>
      </x:c>
      <x:c r="K1765" s="35" t="n">
        <x:f>F1765*G1765*H1765*I1765*J1765</x:f>
        <x:v>-80.85</x:v>
      </x:c>
      <x:c r="L1765" s="1" t="str">
        <x:v>Beam forms measured in FW02</x:v>
      </x:c>
      <x:c r="M1765" s="1"/>
      <x:c r="N1765" s="1"/>
      <x:c r="O1765" s="1"/>
      <x:c r="P1765" s="1"/>
      <x:c r="Q1765" s="1"/>
    </x:row>
    <x:row r="1766" ht="22" customHeight="1">
      <x:c r="A1766" s="36" t="str">
        <x:v>M1759</x:v>
      </x:c>
      <x:c r="B1766" s="36" t="str">
        <x:v>FW03</x:v>
      </x:c>
      <x:c r="C1766" s="36" t="str">
        <x:v>T6</x:v>
      </x:c>
      <x:c r="D1766" s="36" t="str">
        <x:v>L10</x:v>
      </x:c>
      <x:c r="E1766" s="36" t="str">
        <x:v>Column four faces</x:v>
      </x:c>
      <x:c r="F1766" s="37" t="n">
        <x:v>30</x:v>
      </x:c>
      <x:c r="G1766" s="37" t="n">
        <x:f>2*('Controls'!$B$14+'Controls'!$B$15)</x:f>
        <x:v>2</x:v>
      </x:c>
      <x:c r="H1766" s="37" t="n">
        <x:f>'Controls'!$B$12-'Controls'!$B$13</x:f>
        <x:v>2.98</x:v>
      </x:c>
      <x:c r="I1766" s="37" t="n">
        <x:v>1</x:v>
      </x:c>
      <x:c r="J1766" s="37" t="n">
        <x:v>1</x:v>
      </x:c>
      <x:c r="K1766" s="37" t="n">
        <x:f>F1766*G1766*H1766*I1766*J1766</x:f>
        <x:v>178.8</x:v>
      </x:c>
      <x:c r="L1766" s="36" t="str">
        <x:v>Clear floor-to-soffit</x:v>
      </x:c>
      <x:c r="M1766" s="1"/>
      <x:c r="N1766" s="1"/>
      <x:c r="O1766" s="1"/>
      <x:c r="P1766" s="1"/>
      <x:c r="Q1766" s="1"/>
    </x:row>
    <x:row r="1767" ht="22" customHeight="1">
      <x:c r="A1767" s="1" t="str">
        <x:v>M1760</x:v>
      </x:c>
      <x:c r="B1767" s="1" t="str">
        <x:v>FW04</x:v>
      </x:c>
      <x:c r="C1767" s="1" t="str">
        <x:v>T6</x:v>
      </x:c>
      <x:c r="D1767" s="1" t="str">
        <x:v>L10</x:v>
      </x:c>
      <x:c r="E1767" s="1" t="str">
        <x:v>Core wall two faces</x:v>
      </x:c>
      <x:c r="F1767" s="35" t="n">
        <x:v>2</x:v>
      </x:c>
      <x:c r="G1767" s="35" t="n">
        <x:f>'Controls'!$B$19</x:f>
        <x:v>24</x:v>
      </x:c>
      <x:c r="H1767" s="35" t="n">
        <x:f>'Controls'!$B$12-'Controls'!$B$13</x:f>
        <x:v>2.98</x:v>
      </x:c>
      <x:c r="I1767" s="35" t="n">
        <x:v>1</x:v>
      </x:c>
      <x:c r="J1767" s="35" t="n">
        <x:v>1</x:v>
      </x:c>
      <x:c r="K1767" s="35" t="n">
        <x:f>F1767*G1767*H1767*I1767*J1767</x:f>
        <x:v>143.04</x:v>
      </x:c>
      <x:c r="L1767" s="1" t="str">
        <x:v>Net perimeter, no repeated corners</x:v>
      </x:c>
      <x:c r="M1767" s="1"/>
      <x:c r="N1767" s="1"/>
      <x:c r="O1767" s="1"/>
      <x:c r="P1767" s="1"/>
      <x:c r="Q1767" s="1"/>
    </x:row>
    <x:row r="1768" ht="22" customHeight="1">
      <x:c r="A1768" s="36" t="str">
        <x:v>M1761</x:v>
      </x:c>
      <x:c r="B1768" s="36" t="str">
        <x:v>AR01</x:v>
      </x:c>
      <x:c r="C1768" s="36" t="str">
        <x:v>T6</x:v>
      </x:c>
      <x:c r="D1768" s="36" t="str">
        <x:v>L10</x:v>
      </x:c>
      <x:c r="E1768" s="36" t="str">
        <x:v>Partition walls gross</x:v>
      </x:c>
      <x:c r="F1768" s="37" t="n">
        <x:v>1</x:v>
      </x:c>
      <x:c r="G1768" s="37" t="n">
        <x:f>'Controls'!$B$45</x:f>
        <x:v>220</x:v>
      </x:c>
      <x:c r="H1768" s="37" t="n">
        <x:f>'Controls'!$B$12-'Controls'!$B$13</x:f>
        <x:v>2.98</x:v>
      </x:c>
      <x:c r="I1768" s="37" t="n">
        <x:f>'Controls'!$B$46</x:f>
        <x:v>0.15</x:v>
      </x:c>
      <x:c r="J1768" s="37" t="n">
        <x:v>1</x:v>
      </x:c>
      <x:c r="K1768" s="37" t="n">
        <x:f>F1768*G1768*H1768*I1768*J1768</x:f>
        <x:v>98.34</x:v>
      </x:c>
      <x:c r="L1768" s="36" t="str">
        <x:v>Net openings deducted below</x:v>
      </x:c>
      <x:c r="M1768" s="1"/>
      <x:c r="N1768" s="1"/>
      <x:c r="O1768" s="1"/>
      <x:c r="P1768" s="1"/>
      <x:c r="Q1768" s="1"/>
    </x:row>
    <x:row r="1769" ht="22" customHeight="1">
      <x:c r="A1769" s="1" t="str">
        <x:v>M1762</x:v>
      </x:c>
      <x:c r="B1769" s="1" t="str">
        <x:v>AR01</x:v>
      </x:c>
      <x:c r="C1769" s="1" t="str">
        <x:v>T6</x:v>
      </x:c>
      <x:c r="D1769" s="1" t="str">
        <x:v>L10</x:v>
      </x:c>
      <x:c r="E1769" s="1" t="str">
        <x:v>Internal doors deduction</x:v>
      </x:c>
      <x:c r="F1769" s="35" t="n">
        <x:f>'Controls'!$B$48</x:f>
        <x:v>28</x:v>
      </x:c>
      <x:c r="G1769" s="35" t="n">
        <x:f>'Controls'!$B$49</x:f>
        <x:v>0.9</x:v>
      </x:c>
      <x:c r="H1769" s="35" t="n">
        <x:f>'Controls'!$B$50</x:f>
        <x:v>2.1</x:v>
      </x:c>
      <x:c r="I1769" s="35" t="n">
        <x:f>'Controls'!$B$46</x:f>
        <x:v>0.15</x:v>
      </x:c>
      <x:c r="J1769" s="35" t="n">
        <x:v>-1</x:v>
      </x:c>
      <x:c r="K1769" s="35" t="n">
        <x:f>F1769*G1769*H1769*I1769*J1769</x:f>
        <x:v>-7.938</x:v>
      </x:c>
      <x:c r="L1769" s="1" t="str">
        <x:v>28 doors per floor, OP-02</x:v>
      </x:c>
      <x:c r="M1769" s="1"/>
      <x:c r="N1769" s="1"/>
      <x:c r="O1769" s="1"/>
      <x:c r="P1769" s="1"/>
      <x:c r="Q1769" s="1"/>
    </x:row>
    <x:row r="1770" ht="22" customHeight="1">
      <x:c r="A1770" s="36" t="str">
        <x:v>M1763</x:v>
      </x:c>
      <x:c r="B1770" s="36" t="str">
        <x:v>AR02</x:v>
      </x:c>
      <x:c r="C1770" s="36" t="str">
        <x:v>T6</x:v>
      </x:c>
      <x:c r="D1770" s="36" t="str">
        <x:v>L10</x:v>
      </x:c>
      <x:c r="E1770" s="36" t="str">
        <x:v>Internal plaster gross</x:v>
      </x:c>
      <x:c r="F1770" s="37" t="n">
        <x:v>2</x:v>
      </x:c>
      <x:c r="G1770" s="37" t="n">
        <x:f>'Controls'!$B$45</x:f>
        <x:v>220</x:v>
      </x:c>
      <x:c r="H1770" s="37" t="n">
        <x:f>'Controls'!$B$12-'Controls'!$B$13</x:f>
        <x:v>2.98</x:v>
      </x:c>
      <x:c r="I1770" s="37" t="n">
        <x:v>1</x:v>
      </x:c>
      <x:c r="J1770" s="37" t="n">
        <x:v>1</x:v>
      </x:c>
      <x:c r="K1770" s="37" t="n">
        <x:f>F1770*G1770*H1770*I1770*J1770</x:f>
        <x:v>1311.2</x:v>
      </x:c>
      <x:c r="L1770" s="36" t="str">
        <x:v>Both faces of partition walls</x:v>
      </x:c>
      <x:c r="M1770" s="1"/>
      <x:c r="N1770" s="1"/>
      <x:c r="O1770" s="1"/>
      <x:c r="P1770" s="1"/>
      <x:c r="Q1770" s="1"/>
    </x:row>
    <x:row r="1771" ht="22" customHeight="1">
      <x:c r="A1771" s="1" t="str">
        <x:v>M1764</x:v>
      </x:c>
      <x:c r="B1771" s="1" t="str">
        <x:v>AR02</x:v>
      </x:c>
      <x:c r="C1771" s="1" t="str">
        <x:v>T6</x:v>
      </x:c>
      <x:c r="D1771" s="1" t="str">
        <x:v>L10</x:v>
      </x:c>
      <x:c r="E1771" s="1" t="str">
        <x:v>Door area deduction both faces</x:v>
      </x:c>
      <x:c r="F1771" s="35" t="n">
        <x:f>2*'Controls'!$B$48</x:f>
        <x:v>56</x:v>
      </x:c>
      <x:c r="G1771" s="35" t="n">
        <x:f>'Controls'!$B$49</x:f>
        <x:v>0.9</x:v>
      </x:c>
      <x:c r="H1771" s="35" t="n">
        <x:f>'Controls'!$B$50</x:f>
        <x:v>2.1</x:v>
      </x:c>
      <x:c r="I1771" s="35" t="n">
        <x:v>1</x:v>
      </x:c>
      <x:c r="J1771" s="35" t="n">
        <x:v>-1</x:v>
      </x:c>
      <x:c r="K1771" s="35" t="n">
        <x:f>F1771*G1771*H1771*I1771*J1771</x:f>
        <x:v>-105.84</x:v>
      </x:c>
      <x:c r="L1771" s="1" t="str">
        <x:v>No plaster over openings</x:v>
      </x:c>
      <x:c r="M1771" s="1"/>
      <x:c r="N1771" s="1"/>
      <x:c r="O1771" s="1"/>
      <x:c r="P1771" s="1"/>
      <x:c r="Q1771" s="1"/>
    </x:row>
    <x:row r="1772" ht="22" customHeight="1">
      <x:c r="A1772" s="36" t="str">
        <x:v>M1765</x:v>
      </x:c>
      <x:c r="B1772" s="36" t="str">
        <x:v>AR03</x:v>
      </x:c>
      <x:c r="C1772" s="36" t="str">
        <x:v>T6</x:v>
      </x:c>
      <x:c r="D1772" s="36" t="str">
        <x:v>L10</x:v>
      </x:c>
      <x:c r="E1772" s="36" t="str">
        <x:v>Floor screed net</x:v>
      </x:c>
      <x:c r="F1772" s="37" t="n">
        <x:v>1</x:v>
      </x:c>
      <x:c r="G1772" s="37" t="n">
        <x:f>'Controls'!$B$10*'Controls'!$B$11-'Controls'!$B$20*'Controls'!$B$21</x:f>
        <x:v>696</x:v>
      </x:c>
      <x:c r="H1772" s="37" t="n">
        <x:v>1</x:v>
      </x:c>
      <x:c r="I1772" s="37" t="n">
        <x:v>1</x:v>
      </x:c>
      <x:c r="J1772" s="37" t="n">
        <x:v>1</x:v>
      </x:c>
      <x:c r="K1772" s="37" t="n">
        <x:f>F1772*G1772*H1772*I1772*J1772</x:f>
        <x:v>696</x:v>
      </x:c>
      <x:c r="L1772" s="36" t="str">
        <x:v>Net structural floor area</x:v>
      </x:c>
      <x:c r="M1772" s="1"/>
      <x:c r="N1772" s="1"/>
      <x:c r="O1772" s="1"/>
      <x:c r="P1772" s="1"/>
      <x:c r="Q1772" s="1"/>
    </x:row>
    <x:row r="1773" ht="22" customHeight="1">
      <x:c r="A1773" s="1" t="str">
        <x:v>M1766</x:v>
      </x:c>
      <x:c r="B1773" s="1" t="str">
        <x:v>AR04</x:v>
      </x:c>
      <x:c r="C1773" s="1" t="str">
        <x:v>T6</x:v>
      </x:c>
      <x:c r="D1773" s="1" t="str">
        <x:v>L10</x:v>
      </x:c>
      <x:c r="E1773" s="1" t="str">
        <x:v>Floor finish net</x:v>
      </x:c>
      <x:c r="F1773" s="35" t="n">
        <x:v>1</x:v>
      </x:c>
      <x:c r="G1773" s="35" t="n">
        <x:f>'Controls'!$B$10*'Controls'!$B$11-'Controls'!$B$20*'Controls'!$B$21</x:f>
        <x:v>696</x:v>
      </x:c>
      <x:c r="H1773" s="35" t="n">
        <x:v>1</x:v>
      </x:c>
      <x:c r="I1773" s="35" t="n">
        <x:v>1</x:v>
      </x:c>
      <x:c r="J1773" s="35" t="n">
        <x:v>1</x:v>
      </x:c>
      <x:c r="K1773" s="35" t="n">
        <x:f>F1773*G1773*H1773*I1773*J1773</x:f>
        <x:v>696</x:v>
      </x:c>
      <x:c r="L1773" s="1" t="str">
        <x:v>Waste excluded from BOQ</x:v>
      </x:c>
      <x:c r="M1773" s="1"/>
      <x:c r="N1773" s="1"/>
      <x:c r="O1773" s="1"/>
      <x:c r="P1773" s="1"/>
      <x:c r="Q1773" s="1"/>
    </x:row>
    <x:row r="1774" ht="22" customHeight="1">
      <x:c r="A1774" s="36" t="str">
        <x:v>M1767</x:v>
      </x:c>
      <x:c r="B1774" s="36" t="str">
        <x:v>AR05</x:v>
      </x:c>
      <x:c r="C1774" s="36" t="str">
        <x:v>T6</x:v>
      </x:c>
      <x:c r="D1774" s="36" t="str">
        <x:v>L10</x:v>
      </x:c>
      <x:c r="E1774" s="36" t="str">
        <x:v>Internal wall paint net</x:v>
      </x:c>
      <x:c r="F1774" s="37" t="n">
        <x:v>2</x:v>
      </x:c>
      <x:c r="G1774" s="37" t="n">
        <x:f>'Controls'!$B$45*('Controls'!$B$12-'Controls'!$B$13)-'Controls'!$B$48*'Controls'!$B$49*'Controls'!$B$50</x:f>
        <x:v>602.6800000000001</x:v>
      </x:c>
      <x:c r="H1774" s="37" t="n">
        <x:v>1</x:v>
      </x:c>
      <x:c r="I1774" s="37" t="n">
        <x:v>1</x:v>
      </x:c>
      <x:c r="J1774" s="37" t="n">
        <x:v>1</x:v>
      </x:c>
      <x:c r="K1774" s="37" t="n">
        <x:f>F1774*G1774*H1774*I1774*J1774</x:f>
        <x:v>1205.3600000000001</x:v>
      </x:c>
      <x:c r="L1774" s="36" t="str">
        <x:v>Finished area; two coats priced in rate</x:v>
      </x:c>
      <x:c r="M1774" s="1"/>
      <x:c r="N1774" s="1"/>
      <x:c r="O1774" s="1"/>
      <x:c r="P1774" s="1"/>
      <x:c r="Q1774" s="1"/>
    </x:row>
    <x:row r="1775" ht="22" customHeight="1">
      <x:c r="A1775" s="1" t="str">
        <x:v>M1768</x:v>
      </x:c>
      <x:c r="B1775" s="1" t="str">
        <x:v>AR06</x:v>
      </x:c>
      <x:c r="C1775" s="1" t="str">
        <x:v>T6</x:v>
      </x:c>
      <x:c r="D1775" s="1" t="str">
        <x:v>L10</x:v>
      </x:c>
      <x:c r="E1775" s="1" t="str">
        <x:v>Door sets</x:v>
      </x:c>
      <x:c r="F1775" s="35" t="n">
        <x:f>'Controls'!$B$48</x:f>
        <x:v>28</x:v>
      </x:c>
      <x:c r="G1775" s="35" t="n">
        <x:v>1</x:v>
      </x:c>
      <x:c r="H1775" s="35" t="n">
        <x:v>1</x:v>
      </x:c>
      <x:c r="I1775" s="35" t="n">
        <x:v>1</x:v>
      </x:c>
      <x:c r="J1775" s="35" t="n">
        <x:v>1</x:v>
      </x:c>
      <x:c r="K1775" s="35" t="n">
        <x:f>F1775*G1775*H1775*I1775*J1775</x:f>
        <x:v>28</x:v>
      </x:c>
      <x:c r="L1775" s="1" t="str">
        <x:v>Door count, not double face</x:v>
      </x:c>
      <x:c r="M1775" s="1"/>
      <x:c r="N1775" s="1"/>
      <x:c r="O1775" s="1"/>
      <x:c r="P1775" s="1"/>
      <x:c r="Q1775" s="1"/>
    </x:row>
    <x:row r="1776" ht="22" customHeight="1">
      <x:c r="A1776" s="36" t="str">
        <x:v>M1769</x:v>
      </x:c>
      <x:c r="B1776" s="36" t="str">
        <x:v>RC03</x:v>
      </x:c>
      <x:c r="C1776" s="36" t="str">
        <x:v>T6</x:v>
      </x:c>
      <x:c r="D1776" s="36" t="str">
        <x:v>L11</x:v>
      </x:c>
      <x:c r="E1776" s="36" t="str">
        <x:v>Floor slab gross</x:v>
      </x:c>
      <x:c r="F1776" s="37" t="n">
        <x:v>1</x:v>
      </x:c>
      <x:c r="G1776" s="37" t="n">
        <x:f>'Controls'!$B$10</x:f>
        <x:v>30</x:v>
      </x:c>
      <x:c r="H1776" s="37" t="n">
        <x:f>'Controls'!$B$11</x:f>
        <x:v>24</x:v>
      </x:c>
      <x:c r="I1776" s="37" t="n">
        <x:f>'Controls'!$B$13</x:f>
        <x:v>0.22</x:v>
      </x:c>
      <x:c r="J1776" s="37" t="n">
        <x:v>1</x:v>
      </x:c>
      <x:c r="K1776" s="37" t="n">
        <x:f>F1776*G1776*H1776*I1776*J1776</x:f>
        <x:v>158.4</x:v>
      </x:c>
      <x:c r="L1776" s="36" t="str">
        <x:v>Slab includes beam top flange; downstand separate</x:v>
      </x:c>
      <x:c r="M1776" s="1"/>
      <x:c r="N1776" s="1"/>
      <x:c r="O1776" s="1"/>
      <x:c r="P1776" s="1"/>
      <x:c r="Q1776" s="1"/>
    </x:row>
    <x:row r="1777" ht="22" customHeight="1">
      <x:c r="A1777" s="1" t="str">
        <x:v>M1770</x:v>
      </x:c>
      <x:c r="B1777" s="1" t="str">
        <x:v>RC03</x:v>
      </x:c>
      <x:c r="C1777" s="1" t="str">
        <x:v>T6</x:v>
      </x:c>
      <x:c r="D1777" s="1" t="str">
        <x:v>L11</x:v>
      </x:c>
      <x:c r="E1777" s="1" t="str">
        <x:v>Stair opening deduction</x:v>
      </x:c>
      <x:c r="F1777" s="35" t="n">
        <x:v>1</x:v>
      </x:c>
      <x:c r="G1777" s="35" t="n">
        <x:f>'Controls'!$B$20</x:f>
        <x:v>4</x:v>
      </x:c>
      <x:c r="H1777" s="35" t="n">
        <x:f>'Controls'!$B$21</x:f>
        <x:v>6</x:v>
      </x:c>
      <x:c r="I1777" s="35" t="n">
        <x:f>'Controls'!$B$13</x:f>
        <x:v>0.22</x:v>
      </x:c>
      <x:c r="J1777" s="35" t="n">
        <x:v>-1</x:v>
      </x:c>
      <x:c r="K1777" s="35" t="n">
        <x:f>F1777*G1777*H1777*I1777*J1777</x:f>
        <x:v>-5.28</x:v>
      </x:c>
      <x:c r="L1777" s="1" t="str">
        <x:v>Opening OP-01</x:v>
      </x:c>
      <x:c r="M1777" s="1"/>
      <x:c r="N1777" s="1"/>
      <x:c r="O1777" s="1"/>
      <x:c r="P1777" s="1"/>
      <x:c r="Q1777" s="1"/>
    </x:row>
    <x:row r="1778" ht="22" customHeight="1">
      <x:c r="A1778" s="36" t="str">
        <x:v>M1771</x:v>
      </x:c>
      <x:c r="B1778" s="36" t="str">
        <x:v>RC04</x:v>
      </x:c>
      <x:c r="C1778" s="36" t="str">
        <x:v>T6</x:v>
      </x:c>
      <x:c r="D1778" s="36" t="str">
        <x:v>L11</x:v>
      </x:c>
      <x:c r="E1778" s="36" t="str">
        <x:v>Beam downstands X</x:v>
      </x:c>
      <x:c r="F1778" s="37" t="n">
        <x:v>1</x:v>
      </x:c>
      <x:c r="G1778" s="37" t="n">
        <x:f>5*5*('Controls'!$B$10/5-'Controls'!$B$14)</x:f>
        <x:v>137.5</x:v>
      </x:c>
      <x:c r="H1778" s="37" t="n">
        <x:f>'Controls'!$B$16</x:f>
        <x:v>0.3</x:v>
      </x:c>
      <x:c r="I1778" s="37" t="n">
        <x:f>'Controls'!$B$17-'Controls'!$B$13</x:f>
        <x:v>0.38</x:v>
      </x:c>
      <x:c r="J1778" s="37" t="n">
        <x:v>1</x:v>
      </x:c>
      <x:c r="K1778" s="37" t="n">
        <x:f>F1778*G1778*H1778*I1778*J1778</x:f>
        <x:v>15.675</x:v>
      </x:c>
      <x:c r="L1778" s="36" t="str">
        <x:v>Clear spans between column faces; no joint overlap</x:v>
      </x:c>
      <x:c r="M1778" s="1"/>
      <x:c r="N1778" s="1"/>
      <x:c r="O1778" s="1"/>
      <x:c r="P1778" s="1"/>
      <x:c r="Q1778" s="1"/>
    </x:row>
    <x:row r="1779" ht="22" customHeight="1">
      <x:c r="A1779" s="1" t="str">
        <x:v>M1772</x:v>
      </x:c>
      <x:c r="B1779" s="1" t="str">
        <x:v>FW02</x:v>
      </x:c>
      <x:c r="C1779" s="1" t="str">
        <x:v>T6</x:v>
      </x:c>
      <x:c r="D1779" s="1" t="str">
        <x:v>L11</x:v>
      </x:c>
      <x:c r="E1779" s="1" t="str">
        <x:v>Beam forms X</x:v>
      </x:c>
      <x:c r="F1779" s="35" t="n">
        <x:v>1</x:v>
      </x:c>
      <x:c r="G1779" s="35" t="n">
        <x:f>5*5*('Controls'!$B$10/5-'Controls'!$B$14)</x:f>
        <x:v>137.5</x:v>
      </x:c>
      <x:c r="H1779" s="35" t="n">
        <x:f>'Controls'!$B$16+2*('Controls'!$B$17-'Controls'!$B$13)</x:f>
        <x:v>1.06</x:v>
      </x:c>
      <x:c r="I1779" s="35" t="n">
        <x:v>1</x:v>
      </x:c>
      <x:c r="J1779" s="35" t="n">
        <x:v>1</x:v>
      </x:c>
      <x:c r="K1779" s="35" t="n">
        <x:f>F1779*G1779*H1779*I1779*J1779</x:f>
        <x:v>145.75</x:v>
      </x:c>
      <x:c r="L1779" s="1" t="str">
        <x:v>Soffit plus two downstand sides</x:v>
      </x:c>
      <x:c r="M1779" s="1"/>
      <x:c r="N1779" s="1"/>
      <x:c r="O1779" s="1"/>
      <x:c r="P1779" s="1"/>
      <x:c r="Q1779" s="1"/>
    </x:row>
    <x:row r="1780" ht="22" customHeight="1">
      <x:c r="A1780" s="36" t="str">
        <x:v>M1773</x:v>
      </x:c>
      <x:c r="B1780" s="36" t="str">
        <x:v>RC04</x:v>
      </x:c>
      <x:c r="C1780" s="36" t="str">
        <x:v>T6</x:v>
      </x:c>
      <x:c r="D1780" s="36" t="str">
        <x:v>L11</x:v>
      </x:c>
      <x:c r="E1780" s="36" t="str">
        <x:v>Beam downstands Y</x:v>
      </x:c>
      <x:c r="F1780" s="37" t="n">
        <x:v>1</x:v>
      </x:c>
      <x:c r="G1780" s="37" t="n">
        <x:f>6*4*('Controls'!$B$11/4-'Controls'!$B$15)</x:f>
        <x:v>132</x:v>
      </x:c>
      <x:c r="H1780" s="37" t="n">
        <x:f>'Controls'!$B$16</x:f>
        <x:v>0.3</x:v>
      </x:c>
      <x:c r="I1780" s="37" t="n">
        <x:f>'Controls'!$B$17-'Controls'!$B$13</x:f>
        <x:v>0.38</x:v>
      </x:c>
      <x:c r="J1780" s="37" t="n">
        <x:v>1</x:v>
      </x:c>
      <x:c r="K1780" s="37" t="n">
        <x:f>F1780*G1780*H1780*I1780*J1780</x:f>
        <x:v>15.048</x:v>
      </x:c>
      <x:c r="L1780" s="36" t="str">
        <x:v>Clear spans between column faces; no joint overlap</x:v>
      </x:c>
      <x:c r="M1780" s="1"/>
      <x:c r="N1780" s="1"/>
      <x:c r="O1780" s="1"/>
      <x:c r="P1780" s="1"/>
      <x:c r="Q1780" s="1"/>
    </x:row>
    <x:row r="1781" ht="22" customHeight="1">
      <x:c r="A1781" s="1" t="str">
        <x:v>M1774</x:v>
      </x:c>
      <x:c r="B1781" s="1" t="str">
        <x:v>FW02</x:v>
      </x:c>
      <x:c r="C1781" s="1" t="str">
        <x:v>T6</x:v>
      </x:c>
      <x:c r="D1781" s="1" t="str">
        <x:v>L11</x:v>
      </x:c>
      <x:c r="E1781" s="1" t="str">
        <x:v>Beam forms Y</x:v>
      </x:c>
      <x:c r="F1781" s="35" t="n">
        <x:v>1</x:v>
      </x:c>
      <x:c r="G1781" s="35" t="n">
        <x:f>6*4*('Controls'!$B$11/4-'Controls'!$B$15)</x:f>
        <x:v>132</x:v>
      </x:c>
      <x:c r="H1781" s="35" t="n">
        <x:f>'Controls'!$B$16+2*('Controls'!$B$17-'Controls'!$B$13)</x:f>
        <x:v>1.06</x:v>
      </x:c>
      <x:c r="I1781" s="35" t="n">
        <x:v>1</x:v>
      </x:c>
      <x:c r="J1781" s="35" t="n">
        <x:v>1</x:v>
      </x:c>
      <x:c r="K1781" s="35" t="n">
        <x:f>F1781*G1781*H1781*I1781*J1781</x:f>
        <x:v>139.92000000000002</x:v>
      </x:c>
      <x:c r="L1781" s="1" t="str">
        <x:v>Soffit plus two downstand sides</x:v>
      </x:c>
      <x:c r="M1781" s="1"/>
      <x:c r="N1781" s="1"/>
      <x:c r="O1781" s="1"/>
      <x:c r="P1781" s="1"/>
      <x:c r="Q1781" s="1"/>
    </x:row>
    <x:row r="1782" ht="22" customHeight="1">
      <x:c r="A1782" s="36" t="str">
        <x:v>M1775</x:v>
      </x:c>
      <x:c r="B1782" s="36" t="str">
        <x:v>RC05</x:v>
      </x:c>
      <x:c r="C1782" s="36" t="str">
        <x:v>T6</x:v>
      </x:c>
      <x:c r="D1782" s="36" t="str">
        <x:v>L11</x:v>
      </x:c>
      <x:c r="E1782" s="36" t="str">
        <x:v>Thirty columns, clear storey</x:v>
      </x:c>
      <x:c r="F1782" s="37" t="n">
        <x:v>30</x:v>
      </x:c>
      <x:c r="G1782" s="37" t="n">
        <x:f>'Controls'!$B$14</x:f>
        <x:v>0.5</x:v>
      </x:c>
      <x:c r="H1782" s="37" t="n">
        <x:f>'Controls'!$B$15</x:f>
        <x:v>0.5</x:v>
      </x:c>
      <x:c r="I1782" s="37" t="n">
        <x:f>'Controls'!$B$12-'Controls'!$B$13</x:f>
        <x:v>2.98</x:v>
      </x:c>
      <x:c r="J1782" s="37" t="n">
        <x:v>1</x:v>
      </x:c>
      <x:c r="K1782" s="37" t="n">
        <x:f>F1782*G1782*H1782*I1782*J1782</x:f>
        <x:v>22.35</x:v>
      </x:c>
      <x:c r="L1782" s="36" t="str">
        <x:v>Slab volume excluded from columns</x:v>
      </x:c>
      <x:c r="M1782" s="1"/>
      <x:c r="N1782" s="1"/>
      <x:c r="O1782" s="1"/>
      <x:c r="P1782" s="1"/>
      <x:c r="Q1782" s="1"/>
    </x:row>
    <x:row r="1783" ht="22" customHeight="1">
      <x:c r="A1783" s="1" t="str">
        <x:v>M1776</x:v>
      </x:c>
      <x:c r="B1783" s="1" t="str">
        <x:v>RC06</x:v>
      </x:c>
      <x:c r="C1783" s="1" t="str">
        <x:v>T6</x:v>
      </x:c>
      <x:c r="D1783" s="1" t="str">
        <x:v>L11</x:v>
      </x:c>
      <x:c r="E1783" s="1" t="str">
        <x:v>Core walls clear storey</x:v>
      </x:c>
      <x:c r="F1783" s="35" t="n">
        <x:v>1</x:v>
      </x:c>
      <x:c r="G1783" s="35" t="n">
        <x:f>'Controls'!$B$19</x:f>
        <x:v>24</x:v>
      </x:c>
      <x:c r="H1783" s="35" t="n">
        <x:f>'Controls'!$B$18</x:f>
        <x:v>0.25</x:v>
      </x:c>
      <x:c r="I1783" s="35" t="n">
        <x:f>'Controls'!$B$12-'Controls'!$B$13</x:f>
        <x:v>2.98</x:v>
      </x:c>
      <x:c r="J1783" s="35" t="n">
        <x:v>1</x:v>
      </x:c>
      <x:c r="K1783" s="35" t="n">
        <x:f>F1783*G1783*H1783*I1783*J1783</x:f>
        <x:v>17.88</x:v>
      </x:c>
      <x:c r="L1783" s="1" t="str">
        <x:v>Net clear wall length excludes corners</x:v>
      </x:c>
      <x:c r="M1783" s="1"/>
      <x:c r="N1783" s="1"/>
      <x:c r="O1783" s="1"/>
      <x:c r="P1783" s="1"/>
      <x:c r="Q1783" s="1"/>
    </x:row>
    <x:row r="1784" ht="22" customHeight="1">
      <x:c r="A1784" s="36" t="str">
        <x:v>M1777</x:v>
      </x:c>
      <x:c r="B1784" s="36" t="str">
        <x:v>RC07</x:v>
      </x:c>
      <x:c r="C1784" s="36" t="str">
        <x:v>T6</x:v>
      </x:c>
      <x:c r="D1784" s="36" t="str">
        <x:v>L11</x:v>
      </x:c>
      <x:c r="E1784" s="36" t="str">
        <x:v>Stair flights waist</x:v>
      </x:c>
      <x:c r="F1784" s="37" t="n">
        <x:v>2</x:v>
      </x:c>
      <x:c r="G1784" s="37" t="n">
        <x:v>4.1</x:v>
      </x:c>
      <x:c r="H1784" s="37" t="n">
        <x:v>1.2</x:v>
      </x:c>
      <x:c r="I1784" s="37" t="n">
        <x:v>0.18</x:v>
      </x:c>
      <x:c r="J1784" s="37" t="n">
        <x:v>1</x:v>
      </x:c>
      <x:c r="K1784" s="37" t="n">
        <x:f>F1784*G1784*H1784*I1784*J1784</x:f>
        <x:v>1.7711999999999997</x:v>
      </x:c>
      <x:c r="L1784" s="36" t="str">
        <x:v>Two flights; geometry separate from floor slab</x:v>
      </x:c>
      <x:c r="M1784" s="1"/>
      <x:c r="N1784" s="1"/>
      <x:c r="O1784" s="1"/>
      <x:c r="P1784" s="1"/>
      <x:c r="Q1784" s="1"/>
    </x:row>
    <x:row r="1785" ht="22" customHeight="1">
      <x:c r="A1785" s="1" t="str">
        <x:v>M1778</x:v>
      </x:c>
      <x:c r="B1785" s="1" t="str">
        <x:v>RC07</x:v>
      </x:c>
      <x:c r="C1785" s="1" t="str">
        <x:v>T6</x:v>
      </x:c>
      <x:c r="D1785" s="1" t="str">
        <x:v>L11</x:v>
      </x:c>
      <x:c r="E1785" s="1" t="str">
        <x:v>Stair landings</x:v>
      </x:c>
      <x:c r="F1785" s="35" t="n">
        <x:v>2</x:v>
      </x:c>
      <x:c r="G1785" s="35" t="n">
        <x:v>2</x:v>
      </x:c>
      <x:c r="H1785" s="35" t="n">
        <x:v>1.2</x:v>
      </x:c>
      <x:c r="I1785" s="35" t="n">
        <x:v>0.18</x:v>
      </x:c>
      <x:c r="J1785" s="35" t="n">
        <x:v>1</x:v>
      </x:c>
      <x:c r="K1785" s="35" t="n">
        <x:f>F1785*G1785*H1785*I1785*J1785</x:f>
        <x:v>0.864</x:v>
      </x:c>
      <x:c r="L1785" s="1" t="str">
        <x:v>Within stair opening</x:v>
      </x:c>
      <x:c r="M1785" s="1"/>
      <x:c r="N1785" s="1"/>
      <x:c r="O1785" s="1"/>
      <x:c r="P1785" s="1"/>
      <x:c r="Q1785" s="1"/>
    </x:row>
    <x:row r="1786" ht="22" customHeight="1">
      <x:c r="A1786" s="36" t="str">
        <x:v>M1779</x:v>
      </x:c>
      <x:c r="B1786" s="36" t="str">
        <x:v>FW01</x:v>
      </x:c>
      <x:c r="C1786" s="36" t="str">
        <x:v>T6</x:v>
      </x:c>
      <x:c r="D1786" s="36" t="str">
        <x:v>L11</x:v>
      </x:c>
      <x:c r="E1786" s="36" t="str">
        <x:v>Slab soffit gross</x:v>
      </x:c>
      <x:c r="F1786" s="37" t="n">
        <x:v>1</x:v>
      </x:c>
      <x:c r="G1786" s="37" t="n">
        <x:f>'Controls'!$B$10</x:f>
        <x:v>30</x:v>
      </x:c>
      <x:c r="H1786" s="37" t="n">
        <x:f>'Controls'!$B$11</x:f>
        <x:v>24</x:v>
      </x:c>
      <x:c r="I1786" s="37" t="n">
        <x:v>1</x:v>
      </x:c>
      <x:c r="J1786" s="37" t="n">
        <x:v>1</x:v>
      </x:c>
      <x:c r="K1786" s="37" t="n">
        <x:f>F1786*G1786*H1786*I1786*J1786</x:f>
        <x:v>720</x:v>
      </x:c>
      <x:c r="L1786" s="36" t="str">
        <x:v>Beam soffit deducted below</x:v>
      </x:c>
      <x:c r="M1786" s="1"/>
      <x:c r="N1786" s="1"/>
      <x:c r="O1786" s="1"/>
      <x:c r="P1786" s="1"/>
      <x:c r="Q1786" s="1"/>
    </x:row>
    <x:row r="1787" ht="22" customHeight="1">
      <x:c r="A1787" s="1" t="str">
        <x:v>M1780</x:v>
      </x:c>
      <x:c r="B1787" s="1" t="str">
        <x:v>FW01</x:v>
      </x:c>
      <x:c r="C1787" s="1" t="str">
        <x:v>T6</x:v>
      </x:c>
      <x:c r="D1787" s="1" t="str">
        <x:v>L11</x:v>
      </x:c>
      <x:c r="E1787" s="1" t="str">
        <x:v>Stair opening deduction</x:v>
      </x:c>
      <x:c r="F1787" s="35" t="n">
        <x:v>1</x:v>
      </x:c>
      <x:c r="G1787" s="35" t="n">
        <x:f>'Controls'!$B$20</x:f>
        <x:v>4</x:v>
      </x:c>
      <x:c r="H1787" s="35" t="n">
        <x:f>'Controls'!$B$21</x:f>
        <x:v>6</x:v>
      </x:c>
      <x:c r="I1787" s="35" t="n">
        <x:v>1</x:v>
      </x:c>
      <x:c r="J1787" s="35" t="n">
        <x:v>-1</x:v>
      </x:c>
      <x:c r="K1787" s="35" t="n">
        <x:f>F1787*G1787*H1787*I1787*J1787</x:f>
        <x:v>-24</x:v>
      </x:c>
      <x:c r="L1787" s="1" t="str">
        <x:v>OP-01</x:v>
      </x:c>
      <x:c r="M1787" s="1"/>
      <x:c r="N1787" s="1"/>
      <x:c r="O1787" s="1"/>
      <x:c r="P1787" s="1"/>
      <x:c r="Q1787" s="1"/>
    </x:row>
    <x:row r="1788" ht="22" customHeight="1">
      <x:c r="A1788" s="36" t="str">
        <x:v>M1781</x:v>
      </x:c>
      <x:c r="B1788" s="36" t="str">
        <x:v>FW01</x:v>
      </x:c>
      <x:c r="C1788" s="36" t="str">
        <x:v>T6</x:v>
      </x:c>
      <x:c r="D1788" s="36" t="str">
        <x:v>L11</x:v>
      </x:c>
      <x:c r="E1788" s="36" t="str">
        <x:v>Beam soffit deduction</x:v>
      </x:c>
      <x:c r="F1788" s="37" t="n">
        <x:v>1</x:v>
      </x:c>
      <x:c r="G1788" s="37" t="n">
        <x:f>5*5*('Controls'!$B$10/5-'Controls'!$B$14)+6*4*('Controls'!$B$11/4-'Controls'!$B$15)</x:f>
        <x:v>269.5</x:v>
      </x:c>
      <x:c r="H1788" s="37" t="n">
        <x:f>'Controls'!$B$16</x:f>
        <x:v>0.3</x:v>
      </x:c>
      <x:c r="I1788" s="37" t="n">
        <x:v>1</x:v>
      </x:c>
      <x:c r="J1788" s="37" t="n">
        <x:v>-1</x:v>
      </x:c>
      <x:c r="K1788" s="37" t="n">
        <x:f>F1788*G1788*H1788*I1788*J1788</x:f>
        <x:v>-80.85</x:v>
      </x:c>
      <x:c r="L1788" s="36" t="str">
        <x:v>Beam forms measured in FW02</x:v>
      </x:c>
      <x:c r="M1788" s="1"/>
      <x:c r="N1788" s="1"/>
      <x:c r="O1788" s="1"/>
      <x:c r="P1788" s="1"/>
      <x:c r="Q1788" s="1"/>
    </x:row>
    <x:row r="1789" ht="22" customHeight="1">
      <x:c r="A1789" s="1" t="str">
        <x:v>M1782</x:v>
      </x:c>
      <x:c r="B1789" s="1" t="str">
        <x:v>FW03</x:v>
      </x:c>
      <x:c r="C1789" s="1" t="str">
        <x:v>T6</x:v>
      </x:c>
      <x:c r="D1789" s="1" t="str">
        <x:v>L11</x:v>
      </x:c>
      <x:c r="E1789" s="1" t="str">
        <x:v>Column four faces</x:v>
      </x:c>
      <x:c r="F1789" s="35" t="n">
        <x:v>30</x:v>
      </x:c>
      <x:c r="G1789" s="35" t="n">
        <x:f>2*('Controls'!$B$14+'Controls'!$B$15)</x:f>
        <x:v>2</x:v>
      </x:c>
      <x:c r="H1789" s="35" t="n">
        <x:f>'Controls'!$B$12-'Controls'!$B$13</x:f>
        <x:v>2.98</x:v>
      </x:c>
      <x:c r="I1789" s="35" t="n">
        <x:v>1</x:v>
      </x:c>
      <x:c r="J1789" s="35" t="n">
        <x:v>1</x:v>
      </x:c>
      <x:c r="K1789" s="35" t="n">
        <x:f>F1789*G1789*H1789*I1789*J1789</x:f>
        <x:v>178.8</x:v>
      </x:c>
      <x:c r="L1789" s="1" t="str">
        <x:v>Clear floor-to-soffit</x:v>
      </x:c>
      <x:c r="M1789" s="1"/>
      <x:c r="N1789" s="1"/>
      <x:c r="O1789" s="1"/>
      <x:c r="P1789" s="1"/>
      <x:c r="Q1789" s="1"/>
    </x:row>
    <x:row r="1790" ht="22" customHeight="1">
      <x:c r="A1790" s="36" t="str">
        <x:v>M1783</x:v>
      </x:c>
      <x:c r="B1790" s="36" t="str">
        <x:v>FW04</x:v>
      </x:c>
      <x:c r="C1790" s="36" t="str">
        <x:v>T6</x:v>
      </x:c>
      <x:c r="D1790" s="36" t="str">
        <x:v>L11</x:v>
      </x:c>
      <x:c r="E1790" s="36" t="str">
        <x:v>Core wall two faces</x:v>
      </x:c>
      <x:c r="F1790" s="37" t="n">
        <x:v>2</x:v>
      </x:c>
      <x:c r="G1790" s="37" t="n">
        <x:f>'Controls'!$B$19</x:f>
        <x:v>24</x:v>
      </x:c>
      <x:c r="H1790" s="37" t="n">
        <x:f>'Controls'!$B$12-'Controls'!$B$13</x:f>
        <x:v>2.98</x:v>
      </x:c>
      <x:c r="I1790" s="37" t="n">
        <x:v>1</x:v>
      </x:c>
      <x:c r="J1790" s="37" t="n">
        <x:v>1</x:v>
      </x:c>
      <x:c r="K1790" s="37" t="n">
        <x:f>F1790*G1790*H1790*I1790*J1790</x:f>
        <x:v>143.04</x:v>
      </x:c>
      <x:c r="L1790" s="36" t="str">
        <x:v>Net perimeter, no repeated corners</x:v>
      </x:c>
      <x:c r="M1790" s="1"/>
      <x:c r="N1790" s="1"/>
      <x:c r="O1790" s="1"/>
      <x:c r="P1790" s="1"/>
      <x:c r="Q1790" s="1"/>
    </x:row>
    <x:row r="1791" ht="22" customHeight="1">
      <x:c r="A1791" s="1" t="str">
        <x:v>M1784</x:v>
      </x:c>
      <x:c r="B1791" s="1" t="str">
        <x:v>AR01</x:v>
      </x:c>
      <x:c r="C1791" s="1" t="str">
        <x:v>T6</x:v>
      </x:c>
      <x:c r="D1791" s="1" t="str">
        <x:v>L11</x:v>
      </x:c>
      <x:c r="E1791" s="1" t="str">
        <x:v>Partition walls gross</x:v>
      </x:c>
      <x:c r="F1791" s="35" t="n">
        <x:v>1</x:v>
      </x:c>
      <x:c r="G1791" s="35" t="n">
        <x:f>'Controls'!$B$45</x:f>
        <x:v>220</x:v>
      </x:c>
      <x:c r="H1791" s="35" t="n">
        <x:f>'Controls'!$B$12-'Controls'!$B$13</x:f>
        <x:v>2.98</x:v>
      </x:c>
      <x:c r="I1791" s="35" t="n">
        <x:f>'Controls'!$B$46</x:f>
        <x:v>0.15</x:v>
      </x:c>
      <x:c r="J1791" s="35" t="n">
        <x:v>1</x:v>
      </x:c>
      <x:c r="K1791" s="35" t="n">
        <x:f>F1791*G1791*H1791*I1791*J1791</x:f>
        <x:v>98.34</x:v>
      </x:c>
      <x:c r="L1791" s="1" t="str">
        <x:v>Net openings deducted below</x:v>
      </x:c>
      <x:c r="M1791" s="1"/>
      <x:c r="N1791" s="1"/>
      <x:c r="O1791" s="1"/>
      <x:c r="P1791" s="1"/>
      <x:c r="Q1791" s="1"/>
    </x:row>
    <x:row r="1792" ht="22" customHeight="1">
      <x:c r="A1792" s="36" t="str">
        <x:v>M1785</x:v>
      </x:c>
      <x:c r="B1792" s="36" t="str">
        <x:v>AR01</x:v>
      </x:c>
      <x:c r="C1792" s="36" t="str">
        <x:v>T6</x:v>
      </x:c>
      <x:c r="D1792" s="36" t="str">
        <x:v>L11</x:v>
      </x:c>
      <x:c r="E1792" s="36" t="str">
        <x:v>Internal doors deduction</x:v>
      </x:c>
      <x:c r="F1792" s="37" t="n">
        <x:f>'Controls'!$B$48</x:f>
        <x:v>28</x:v>
      </x:c>
      <x:c r="G1792" s="37" t="n">
        <x:f>'Controls'!$B$49</x:f>
        <x:v>0.9</x:v>
      </x:c>
      <x:c r="H1792" s="37" t="n">
        <x:f>'Controls'!$B$50</x:f>
        <x:v>2.1</x:v>
      </x:c>
      <x:c r="I1792" s="37" t="n">
        <x:f>'Controls'!$B$46</x:f>
        <x:v>0.15</x:v>
      </x:c>
      <x:c r="J1792" s="37" t="n">
        <x:v>-1</x:v>
      </x:c>
      <x:c r="K1792" s="37" t="n">
        <x:f>F1792*G1792*H1792*I1792*J1792</x:f>
        <x:v>-7.938</x:v>
      </x:c>
      <x:c r="L1792" s="36" t="str">
        <x:v>28 doors per floor, OP-02</x:v>
      </x:c>
      <x:c r="M1792" s="1"/>
      <x:c r="N1792" s="1"/>
      <x:c r="O1792" s="1"/>
      <x:c r="P1792" s="1"/>
      <x:c r="Q1792" s="1"/>
    </x:row>
    <x:row r="1793" ht="22" customHeight="1">
      <x:c r="A1793" s="1" t="str">
        <x:v>M1786</x:v>
      </x:c>
      <x:c r="B1793" s="1" t="str">
        <x:v>AR02</x:v>
      </x:c>
      <x:c r="C1793" s="1" t="str">
        <x:v>T6</x:v>
      </x:c>
      <x:c r="D1793" s="1" t="str">
        <x:v>L11</x:v>
      </x:c>
      <x:c r="E1793" s="1" t="str">
        <x:v>Internal plaster gross</x:v>
      </x:c>
      <x:c r="F1793" s="35" t="n">
        <x:v>2</x:v>
      </x:c>
      <x:c r="G1793" s="35" t="n">
        <x:f>'Controls'!$B$45</x:f>
        <x:v>220</x:v>
      </x:c>
      <x:c r="H1793" s="35" t="n">
        <x:f>'Controls'!$B$12-'Controls'!$B$13</x:f>
        <x:v>2.98</x:v>
      </x:c>
      <x:c r="I1793" s="35" t="n">
        <x:v>1</x:v>
      </x:c>
      <x:c r="J1793" s="35" t="n">
        <x:v>1</x:v>
      </x:c>
      <x:c r="K1793" s="35" t="n">
        <x:f>F1793*G1793*H1793*I1793*J1793</x:f>
        <x:v>1311.2</x:v>
      </x:c>
      <x:c r="L1793" s="1" t="str">
        <x:v>Both faces of partition walls</x:v>
      </x:c>
      <x:c r="M1793" s="1"/>
      <x:c r="N1793" s="1"/>
      <x:c r="O1793" s="1"/>
      <x:c r="P1793" s="1"/>
      <x:c r="Q1793" s="1"/>
    </x:row>
    <x:row r="1794" ht="22" customHeight="1">
      <x:c r="A1794" s="36" t="str">
        <x:v>M1787</x:v>
      </x:c>
      <x:c r="B1794" s="36" t="str">
        <x:v>AR02</x:v>
      </x:c>
      <x:c r="C1794" s="36" t="str">
        <x:v>T6</x:v>
      </x:c>
      <x:c r="D1794" s="36" t="str">
        <x:v>L11</x:v>
      </x:c>
      <x:c r="E1794" s="36" t="str">
        <x:v>Door area deduction both faces</x:v>
      </x:c>
      <x:c r="F1794" s="37" t="n">
        <x:f>2*'Controls'!$B$48</x:f>
        <x:v>56</x:v>
      </x:c>
      <x:c r="G1794" s="37" t="n">
        <x:f>'Controls'!$B$49</x:f>
        <x:v>0.9</x:v>
      </x:c>
      <x:c r="H1794" s="37" t="n">
        <x:f>'Controls'!$B$50</x:f>
        <x:v>2.1</x:v>
      </x:c>
      <x:c r="I1794" s="37" t="n">
        <x:v>1</x:v>
      </x:c>
      <x:c r="J1794" s="37" t="n">
        <x:v>-1</x:v>
      </x:c>
      <x:c r="K1794" s="37" t="n">
        <x:f>F1794*G1794*H1794*I1794*J1794</x:f>
        <x:v>-105.84</x:v>
      </x:c>
      <x:c r="L1794" s="36" t="str">
        <x:v>No plaster over openings</x:v>
      </x:c>
      <x:c r="M1794" s="1"/>
      <x:c r="N1794" s="1"/>
      <x:c r="O1794" s="1"/>
      <x:c r="P1794" s="1"/>
      <x:c r="Q1794" s="1"/>
    </x:row>
    <x:row r="1795" ht="22" customHeight="1">
      <x:c r="A1795" s="1" t="str">
        <x:v>M1788</x:v>
      </x:c>
      <x:c r="B1795" s="1" t="str">
        <x:v>AR03</x:v>
      </x:c>
      <x:c r="C1795" s="1" t="str">
        <x:v>T6</x:v>
      </x:c>
      <x:c r="D1795" s="1" t="str">
        <x:v>L11</x:v>
      </x:c>
      <x:c r="E1795" s="1" t="str">
        <x:v>Floor screed net</x:v>
      </x:c>
      <x:c r="F1795" s="35" t="n">
        <x:v>1</x:v>
      </x:c>
      <x:c r="G1795" s="35" t="n">
        <x:f>'Controls'!$B$10*'Controls'!$B$11-'Controls'!$B$20*'Controls'!$B$21</x:f>
        <x:v>696</x:v>
      </x:c>
      <x:c r="H1795" s="35" t="n">
        <x:v>1</x:v>
      </x:c>
      <x:c r="I1795" s="35" t="n">
        <x:v>1</x:v>
      </x:c>
      <x:c r="J1795" s="35" t="n">
        <x:v>1</x:v>
      </x:c>
      <x:c r="K1795" s="35" t="n">
        <x:f>F1795*G1795*H1795*I1795*J1795</x:f>
        <x:v>696</x:v>
      </x:c>
      <x:c r="L1795" s="1" t="str">
        <x:v>Net structural floor area</x:v>
      </x:c>
      <x:c r="M1795" s="1"/>
      <x:c r="N1795" s="1"/>
      <x:c r="O1795" s="1"/>
      <x:c r="P1795" s="1"/>
      <x:c r="Q1795" s="1"/>
    </x:row>
    <x:row r="1796" ht="22" customHeight="1">
      <x:c r="A1796" s="36" t="str">
        <x:v>M1789</x:v>
      </x:c>
      <x:c r="B1796" s="36" t="str">
        <x:v>AR04</x:v>
      </x:c>
      <x:c r="C1796" s="36" t="str">
        <x:v>T6</x:v>
      </x:c>
      <x:c r="D1796" s="36" t="str">
        <x:v>L11</x:v>
      </x:c>
      <x:c r="E1796" s="36" t="str">
        <x:v>Floor finish net</x:v>
      </x:c>
      <x:c r="F1796" s="37" t="n">
        <x:v>1</x:v>
      </x:c>
      <x:c r="G1796" s="37" t="n">
        <x:f>'Controls'!$B$10*'Controls'!$B$11-'Controls'!$B$20*'Controls'!$B$21</x:f>
        <x:v>696</x:v>
      </x:c>
      <x:c r="H1796" s="37" t="n">
        <x:v>1</x:v>
      </x:c>
      <x:c r="I1796" s="37" t="n">
        <x:v>1</x:v>
      </x:c>
      <x:c r="J1796" s="37" t="n">
        <x:v>1</x:v>
      </x:c>
      <x:c r="K1796" s="37" t="n">
        <x:f>F1796*G1796*H1796*I1796*J1796</x:f>
        <x:v>696</x:v>
      </x:c>
      <x:c r="L1796" s="36" t="str">
        <x:v>Waste excluded from BOQ</x:v>
      </x:c>
      <x:c r="M1796" s="1"/>
      <x:c r="N1796" s="1"/>
      <x:c r="O1796" s="1"/>
      <x:c r="P1796" s="1"/>
      <x:c r="Q1796" s="1"/>
    </x:row>
    <x:row r="1797" ht="22" customHeight="1">
      <x:c r="A1797" s="1" t="str">
        <x:v>M1790</x:v>
      </x:c>
      <x:c r="B1797" s="1" t="str">
        <x:v>AR05</x:v>
      </x:c>
      <x:c r="C1797" s="1" t="str">
        <x:v>T6</x:v>
      </x:c>
      <x:c r="D1797" s="1" t="str">
        <x:v>L11</x:v>
      </x:c>
      <x:c r="E1797" s="1" t="str">
        <x:v>Internal wall paint net</x:v>
      </x:c>
      <x:c r="F1797" s="35" t="n">
        <x:v>2</x:v>
      </x:c>
      <x:c r="G1797" s="35" t="n">
        <x:f>'Controls'!$B$45*('Controls'!$B$12-'Controls'!$B$13)-'Controls'!$B$48*'Controls'!$B$49*'Controls'!$B$50</x:f>
        <x:v>602.6800000000001</x:v>
      </x:c>
      <x:c r="H1797" s="35" t="n">
        <x:v>1</x:v>
      </x:c>
      <x:c r="I1797" s="35" t="n">
        <x:v>1</x:v>
      </x:c>
      <x:c r="J1797" s="35" t="n">
        <x:v>1</x:v>
      </x:c>
      <x:c r="K1797" s="35" t="n">
        <x:f>F1797*G1797*H1797*I1797*J1797</x:f>
        <x:v>1205.3600000000001</x:v>
      </x:c>
      <x:c r="L1797" s="1" t="str">
        <x:v>Finished area; two coats priced in rate</x:v>
      </x:c>
      <x:c r="M1797" s="1"/>
      <x:c r="N1797" s="1"/>
      <x:c r="O1797" s="1"/>
      <x:c r="P1797" s="1"/>
      <x:c r="Q1797" s="1"/>
    </x:row>
    <x:row r="1798" ht="22" customHeight="1">
      <x:c r="A1798" s="36" t="str">
        <x:v>M1791</x:v>
      </x:c>
      <x:c r="B1798" s="36" t="str">
        <x:v>AR06</x:v>
      </x:c>
      <x:c r="C1798" s="36" t="str">
        <x:v>T6</x:v>
      </x:c>
      <x:c r="D1798" s="36" t="str">
        <x:v>L11</x:v>
      </x:c>
      <x:c r="E1798" s="36" t="str">
        <x:v>Door sets</x:v>
      </x:c>
      <x:c r="F1798" s="37" t="n">
        <x:f>'Controls'!$B$48</x:f>
        <x:v>28</x:v>
      </x:c>
      <x:c r="G1798" s="37" t="n">
        <x:v>1</x:v>
      </x:c>
      <x:c r="H1798" s="37" t="n">
        <x:v>1</x:v>
      </x:c>
      <x:c r="I1798" s="37" t="n">
        <x:v>1</x:v>
      </x:c>
      <x:c r="J1798" s="37" t="n">
        <x:v>1</x:v>
      </x:c>
      <x:c r="K1798" s="37" t="n">
        <x:f>F1798*G1798*H1798*I1798*J1798</x:f>
        <x:v>28</x:v>
      </x:c>
      <x:c r="L1798" s="36" t="str">
        <x:v>Door count, not double face</x:v>
      </x:c>
      <x:c r="M1798" s="1"/>
      <x:c r="N1798" s="1"/>
      <x:c r="O1798" s="1"/>
      <x:c r="P1798" s="1"/>
      <x:c r="Q1798" s="1"/>
    </x:row>
    <x:row r="1799" ht="22" customHeight="1">
      <x:c r="A1799" s="1" t="str">
        <x:v>M1792</x:v>
      </x:c>
      <x:c r="B1799" s="1" t="str">
        <x:v>RC03</x:v>
      </x:c>
      <x:c r="C1799" s="1" t="str">
        <x:v>T6</x:v>
      </x:c>
      <x:c r="D1799" s="1" t="str">
        <x:v>L12</x:v>
      </x:c>
      <x:c r="E1799" s="1" t="str">
        <x:v>Floor slab gross</x:v>
      </x:c>
      <x:c r="F1799" s="35" t="n">
        <x:v>1</x:v>
      </x:c>
      <x:c r="G1799" s="35" t="n">
        <x:f>'Controls'!$B$10</x:f>
        <x:v>30</x:v>
      </x:c>
      <x:c r="H1799" s="35" t="n">
        <x:f>'Controls'!$B$11</x:f>
        <x:v>24</x:v>
      </x:c>
      <x:c r="I1799" s="35" t="n">
        <x:f>'Controls'!$B$13</x:f>
        <x:v>0.22</x:v>
      </x:c>
      <x:c r="J1799" s="35" t="n">
        <x:v>1</x:v>
      </x:c>
      <x:c r="K1799" s="35" t="n">
        <x:f>F1799*G1799*H1799*I1799*J1799</x:f>
        <x:v>158.4</x:v>
      </x:c>
      <x:c r="L1799" s="1" t="str">
        <x:v>Slab includes beam top flange; downstand separate</x:v>
      </x:c>
      <x:c r="M1799" s="1"/>
      <x:c r="N1799" s="1"/>
      <x:c r="O1799" s="1"/>
      <x:c r="P1799" s="1"/>
      <x:c r="Q1799" s="1"/>
    </x:row>
    <x:row r="1800" ht="22" customHeight="1">
      <x:c r="A1800" s="36" t="str">
        <x:v>M1793</x:v>
      </x:c>
      <x:c r="B1800" s="36" t="str">
        <x:v>RC03</x:v>
      </x:c>
      <x:c r="C1800" s="36" t="str">
        <x:v>T6</x:v>
      </x:c>
      <x:c r="D1800" s="36" t="str">
        <x:v>L12</x:v>
      </x:c>
      <x:c r="E1800" s="36" t="str">
        <x:v>Stair opening deduction</x:v>
      </x:c>
      <x:c r="F1800" s="37" t="n">
        <x:v>1</x:v>
      </x:c>
      <x:c r="G1800" s="37" t="n">
        <x:f>'Controls'!$B$20</x:f>
        <x:v>4</x:v>
      </x:c>
      <x:c r="H1800" s="37" t="n">
        <x:f>'Controls'!$B$21</x:f>
        <x:v>6</x:v>
      </x:c>
      <x:c r="I1800" s="37" t="n">
        <x:f>'Controls'!$B$13</x:f>
        <x:v>0.22</x:v>
      </x:c>
      <x:c r="J1800" s="37" t="n">
        <x:v>-1</x:v>
      </x:c>
      <x:c r="K1800" s="37" t="n">
        <x:f>F1800*G1800*H1800*I1800*J1800</x:f>
        <x:v>-5.28</x:v>
      </x:c>
      <x:c r="L1800" s="36" t="str">
        <x:v>Opening OP-01</x:v>
      </x:c>
      <x:c r="M1800" s="1"/>
      <x:c r="N1800" s="1"/>
      <x:c r="O1800" s="1"/>
      <x:c r="P1800" s="1"/>
      <x:c r="Q1800" s="1"/>
    </x:row>
    <x:row r="1801" ht="22" customHeight="1">
      <x:c r="A1801" s="1" t="str">
        <x:v>M1794</x:v>
      </x:c>
      <x:c r="B1801" s="1" t="str">
        <x:v>RC04</x:v>
      </x:c>
      <x:c r="C1801" s="1" t="str">
        <x:v>T6</x:v>
      </x:c>
      <x:c r="D1801" s="1" t="str">
        <x:v>L12</x:v>
      </x:c>
      <x:c r="E1801" s="1" t="str">
        <x:v>Beam downstands X</x:v>
      </x:c>
      <x:c r="F1801" s="35" t="n">
        <x:v>1</x:v>
      </x:c>
      <x:c r="G1801" s="35" t="n">
        <x:f>5*5*('Controls'!$B$10/5-'Controls'!$B$14)</x:f>
        <x:v>137.5</x:v>
      </x:c>
      <x:c r="H1801" s="35" t="n">
        <x:f>'Controls'!$B$16</x:f>
        <x:v>0.3</x:v>
      </x:c>
      <x:c r="I1801" s="35" t="n">
        <x:f>'Controls'!$B$17-'Controls'!$B$13</x:f>
        <x:v>0.38</x:v>
      </x:c>
      <x:c r="J1801" s="35" t="n">
        <x:v>1</x:v>
      </x:c>
      <x:c r="K1801" s="35" t="n">
        <x:f>F1801*G1801*H1801*I1801*J1801</x:f>
        <x:v>15.675</x:v>
      </x:c>
      <x:c r="L1801" s="1" t="str">
        <x:v>Clear spans between column faces; no joint overlap</x:v>
      </x:c>
      <x:c r="M1801" s="1"/>
      <x:c r="N1801" s="1"/>
      <x:c r="O1801" s="1"/>
      <x:c r="P1801" s="1"/>
      <x:c r="Q1801" s="1"/>
    </x:row>
    <x:row r="1802" ht="22" customHeight="1">
      <x:c r="A1802" s="36" t="str">
        <x:v>M1795</x:v>
      </x:c>
      <x:c r="B1802" s="36" t="str">
        <x:v>FW02</x:v>
      </x:c>
      <x:c r="C1802" s="36" t="str">
        <x:v>T6</x:v>
      </x:c>
      <x:c r="D1802" s="36" t="str">
        <x:v>L12</x:v>
      </x:c>
      <x:c r="E1802" s="36" t="str">
        <x:v>Beam forms X</x:v>
      </x:c>
      <x:c r="F1802" s="37" t="n">
        <x:v>1</x:v>
      </x:c>
      <x:c r="G1802" s="37" t="n">
        <x:f>5*5*('Controls'!$B$10/5-'Controls'!$B$14)</x:f>
        <x:v>137.5</x:v>
      </x:c>
      <x:c r="H1802" s="37" t="n">
        <x:f>'Controls'!$B$16+2*('Controls'!$B$17-'Controls'!$B$13)</x:f>
        <x:v>1.06</x:v>
      </x:c>
      <x:c r="I1802" s="37" t="n">
        <x:v>1</x:v>
      </x:c>
      <x:c r="J1802" s="37" t="n">
        <x:v>1</x:v>
      </x:c>
      <x:c r="K1802" s="37" t="n">
        <x:f>F1802*G1802*H1802*I1802*J1802</x:f>
        <x:v>145.75</x:v>
      </x:c>
      <x:c r="L1802" s="36" t="str">
        <x:v>Soffit plus two downstand sides</x:v>
      </x:c>
      <x:c r="M1802" s="1"/>
      <x:c r="N1802" s="1"/>
      <x:c r="O1802" s="1"/>
      <x:c r="P1802" s="1"/>
      <x:c r="Q1802" s="1"/>
    </x:row>
    <x:row r="1803" ht="22" customHeight="1">
      <x:c r="A1803" s="1" t="str">
        <x:v>M1796</x:v>
      </x:c>
      <x:c r="B1803" s="1" t="str">
        <x:v>RC04</x:v>
      </x:c>
      <x:c r="C1803" s="1" t="str">
        <x:v>T6</x:v>
      </x:c>
      <x:c r="D1803" s="1" t="str">
        <x:v>L12</x:v>
      </x:c>
      <x:c r="E1803" s="1" t="str">
        <x:v>Beam downstands Y</x:v>
      </x:c>
      <x:c r="F1803" s="35" t="n">
        <x:v>1</x:v>
      </x:c>
      <x:c r="G1803" s="35" t="n">
        <x:f>6*4*('Controls'!$B$11/4-'Controls'!$B$15)</x:f>
        <x:v>132</x:v>
      </x:c>
      <x:c r="H1803" s="35" t="n">
        <x:f>'Controls'!$B$16</x:f>
        <x:v>0.3</x:v>
      </x:c>
      <x:c r="I1803" s="35" t="n">
        <x:f>'Controls'!$B$17-'Controls'!$B$13</x:f>
        <x:v>0.38</x:v>
      </x:c>
      <x:c r="J1803" s="35" t="n">
        <x:v>1</x:v>
      </x:c>
      <x:c r="K1803" s="35" t="n">
        <x:f>F1803*G1803*H1803*I1803*J1803</x:f>
        <x:v>15.048</x:v>
      </x:c>
      <x:c r="L1803" s="1" t="str">
        <x:v>Clear spans between column faces; no joint overlap</x:v>
      </x:c>
      <x:c r="M1803" s="1"/>
      <x:c r="N1803" s="1"/>
      <x:c r="O1803" s="1"/>
      <x:c r="P1803" s="1"/>
      <x:c r="Q1803" s="1"/>
    </x:row>
    <x:row r="1804" ht="22" customHeight="1">
      <x:c r="A1804" s="36" t="str">
        <x:v>M1797</x:v>
      </x:c>
      <x:c r="B1804" s="36" t="str">
        <x:v>FW02</x:v>
      </x:c>
      <x:c r="C1804" s="36" t="str">
        <x:v>T6</x:v>
      </x:c>
      <x:c r="D1804" s="36" t="str">
        <x:v>L12</x:v>
      </x:c>
      <x:c r="E1804" s="36" t="str">
        <x:v>Beam forms Y</x:v>
      </x:c>
      <x:c r="F1804" s="37" t="n">
        <x:v>1</x:v>
      </x:c>
      <x:c r="G1804" s="37" t="n">
        <x:f>6*4*('Controls'!$B$11/4-'Controls'!$B$15)</x:f>
        <x:v>132</x:v>
      </x:c>
      <x:c r="H1804" s="37" t="n">
        <x:f>'Controls'!$B$16+2*('Controls'!$B$17-'Controls'!$B$13)</x:f>
        <x:v>1.06</x:v>
      </x:c>
      <x:c r="I1804" s="37" t="n">
        <x:v>1</x:v>
      </x:c>
      <x:c r="J1804" s="37" t="n">
        <x:v>1</x:v>
      </x:c>
      <x:c r="K1804" s="37" t="n">
        <x:f>F1804*G1804*H1804*I1804*J1804</x:f>
        <x:v>139.92000000000002</x:v>
      </x:c>
      <x:c r="L1804" s="36" t="str">
        <x:v>Soffit plus two downstand sides</x:v>
      </x:c>
      <x:c r="M1804" s="1"/>
      <x:c r="N1804" s="1"/>
      <x:c r="O1804" s="1"/>
      <x:c r="P1804" s="1"/>
      <x:c r="Q1804" s="1"/>
    </x:row>
    <x:row r="1805" ht="22" customHeight="1">
      <x:c r="A1805" s="1" t="str">
        <x:v>M1798</x:v>
      </x:c>
      <x:c r="B1805" s="1" t="str">
        <x:v>RC05</x:v>
      </x:c>
      <x:c r="C1805" s="1" t="str">
        <x:v>T6</x:v>
      </x:c>
      <x:c r="D1805" s="1" t="str">
        <x:v>L12</x:v>
      </x:c>
      <x:c r="E1805" s="1" t="str">
        <x:v>Thirty columns, clear storey</x:v>
      </x:c>
      <x:c r="F1805" s="35" t="n">
        <x:v>30</x:v>
      </x:c>
      <x:c r="G1805" s="35" t="n">
        <x:f>'Controls'!$B$14</x:f>
        <x:v>0.5</x:v>
      </x:c>
      <x:c r="H1805" s="35" t="n">
        <x:f>'Controls'!$B$15</x:f>
        <x:v>0.5</x:v>
      </x:c>
      <x:c r="I1805" s="35" t="n">
        <x:f>'Controls'!$B$12-'Controls'!$B$13</x:f>
        <x:v>2.98</x:v>
      </x:c>
      <x:c r="J1805" s="35" t="n">
        <x:v>1</x:v>
      </x:c>
      <x:c r="K1805" s="35" t="n">
        <x:f>F1805*G1805*H1805*I1805*J1805</x:f>
        <x:v>22.35</x:v>
      </x:c>
      <x:c r="L1805" s="1" t="str">
        <x:v>Slab volume excluded from columns</x:v>
      </x:c>
      <x:c r="M1805" s="1"/>
      <x:c r="N1805" s="1"/>
      <x:c r="O1805" s="1"/>
      <x:c r="P1805" s="1"/>
      <x:c r="Q1805" s="1"/>
    </x:row>
    <x:row r="1806" ht="22" customHeight="1">
      <x:c r="A1806" s="36" t="str">
        <x:v>M1799</x:v>
      </x:c>
      <x:c r="B1806" s="36" t="str">
        <x:v>RC06</x:v>
      </x:c>
      <x:c r="C1806" s="36" t="str">
        <x:v>T6</x:v>
      </x:c>
      <x:c r="D1806" s="36" t="str">
        <x:v>L12</x:v>
      </x:c>
      <x:c r="E1806" s="36" t="str">
        <x:v>Core walls clear storey</x:v>
      </x:c>
      <x:c r="F1806" s="37" t="n">
        <x:v>1</x:v>
      </x:c>
      <x:c r="G1806" s="37" t="n">
        <x:f>'Controls'!$B$19</x:f>
        <x:v>24</x:v>
      </x:c>
      <x:c r="H1806" s="37" t="n">
        <x:f>'Controls'!$B$18</x:f>
        <x:v>0.25</x:v>
      </x:c>
      <x:c r="I1806" s="37" t="n">
        <x:f>'Controls'!$B$12-'Controls'!$B$13</x:f>
        <x:v>2.98</x:v>
      </x:c>
      <x:c r="J1806" s="37" t="n">
        <x:v>1</x:v>
      </x:c>
      <x:c r="K1806" s="37" t="n">
        <x:f>F1806*G1806*H1806*I1806*J1806</x:f>
        <x:v>17.88</x:v>
      </x:c>
      <x:c r="L1806" s="36" t="str">
        <x:v>Net clear wall length excludes corners</x:v>
      </x:c>
      <x:c r="M1806" s="1"/>
      <x:c r="N1806" s="1"/>
      <x:c r="O1806" s="1"/>
      <x:c r="P1806" s="1"/>
      <x:c r="Q1806" s="1"/>
    </x:row>
    <x:row r="1807" ht="22" customHeight="1">
      <x:c r="A1807" s="1" t="str">
        <x:v>M1800</x:v>
      </x:c>
      <x:c r="B1807" s="1" t="str">
        <x:v>RC07</x:v>
      </x:c>
      <x:c r="C1807" s="1" t="str">
        <x:v>T6</x:v>
      </x:c>
      <x:c r="D1807" s="1" t="str">
        <x:v>L12</x:v>
      </x:c>
      <x:c r="E1807" s="1" t="str">
        <x:v>Stair flights waist</x:v>
      </x:c>
      <x:c r="F1807" s="35" t="n">
        <x:v>2</x:v>
      </x:c>
      <x:c r="G1807" s="35" t="n">
        <x:v>4.1</x:v>
      </x:c>
      <x:c r="H1807" s="35" t="n">
        <x:v>1.2</x:v>
      </x:c>
      <x:c r="I1807" s="35" t="n">
        <x:v>0.18</x:v>
      </x:c>
      <x:c r="J1807" s="35" t="n">
        <x:v>1</x:v>
      </x:c>
      <x:c r="K1807" s="35" t="n">
        <x:f>F1807*G1807*H1807*I1807*J1807</x:f>
        <x:v>1.7711999999999997</x:v>
      </x:c>
      <x:c r="L1807" s="1" t="str">
        <x:v>Two flights; geometry separate from floor slab</x:v>
      </x:c>
      <x:c r="M1807" s="1"/>
      <x:c r="N1807" s="1"/>
      <x:c r="O1807" s="1"/>
      <x:c r="P1807" s="1"/>
      <x:c r="Q1807" s="1"/>
    </x:row>
    <x:row r="1808" ht="22" customHeight="1">
      <x:c r="A1808" s="36" t="str">
        <x:v>M1801</x:v>
      </x:c>
      <x:c r="B1808" s="36" t="str">
        <x:v>RC07</x:v>
      </x:c>
      <x:c r="C1808" s="36" t="str">
        <x:v>T6</x:v>
      </x:c>
      <x:c r="D1808" s="36" t="str">
        <x:v>L12</x:v>
      </x:c>
      <x:c r="E1808" s="36" t="str">
        <x:v>Stair landings</x:v>
      </x:c>
      <x:c r="F1808" s="37" t="n">
        <x:v>2</x:v>
      </x:c>
      <x:c r="G1808" s="37" t="n">
        <x:v>2</x:v>
      </x:c>
      <x:c r="H1808" s="37" t="n">
        <x:v>1.2</x:v>
      </x:c>
      <x:c r="I1808" s="37" t="n">
        <x:v>0.18</x:v>
      </x:c>
      <x:c r="J1808" s="37" t="n">
        <x:v>1</x:v>
      </x:c>
      <x:c r="K1808" s="37" t="n">
        <x:f>F1808*G1808*H1808*I1808*J1808</x:f>
        <x:v>0.864</x:v>
      </x:c>
      <x:c r="L1808" s="36" t="str">
        <x:v>Within stair opening</x:v>
      </x:c>
      <x:c r="M1808" s="1"/>
      <x:c r="N1808" s="1"/>
      <x:c r="O1808" s="1"/>
      <x:c r="P1808" s="1"/>
      <x:c r="Q1808" s="1"/>
    </x:row>
    <x:row r="1809" ht="22" customHeight="1">
      <x:c r="A1809" s="1" t="str">
        <x:v>M1802</x:v>
      </x:c>
      <x:c r="B1809" s="1" t="str">
        <x:v>FW01</x:v>
      </x:c>
      <x:c r="C1809" s="1" t="str">
        <x:v>T6</x:v>
      </x:c>
      <x:c r="D1809" s="1" t="str">
        <x:v>L12</x:v>
      </x:c>
      <x:c r="E1809" s="1" t="str">
        <x:v>Slab soffit gross</x:v>
      </x:c>
      <x:c r="F1809" s="35" t="n">
        <x:v>1</x:v>
      </x:c>
      <x:c r="G1809" s="35" t="n">
        <x:f>'Controls'!$B$10</x:f>
        <x:v>30</x:v>
      </x:c>
      <x:c r="H1809" s="35" t="n">
        <x:f>'Controls'!$B$11</x:f>
        <x:v>24</x:v>
      </x:c>
      <x:c r="I1809" s="35" t="n">
        <x:v>1</x:v>
      </x:c>
      <x:c r="J1809" s="35" t="n">
        <x:v>1</x:v>
      </x:c>
      <x:c r="K1809" s="35" t="n">
        <x:f>F1809*G1809*H1809*I1809*J1809</x:f>
        <x:v>720</x:v>
      </x:c>
      <x:c r="L1809" s="1" t="str">
        <x:v>Beam soffit deducted below</x:v>
      </x:c>
      <x:c r="M1809" s="1"/>
      <x:c r="N1809" s="1"/>
      <x:c r="O1809" s="1"/>
      <x:c r="P1809" s="1"/>
      <x:c r="Q1809" s="1"/>
    </x:row>
    <x:row r="1810" ht="22" customHeight="1">
      <x:c r="A1810" s="36" t="str">
        <x:v>M1803</x:v>
      </x:c>
      <x:c r="B1810" s="36" t="str">
        <x:v>FW01</x:v>
      </x:c>
      <x:c r="C1810" s="36" t="str">
        <x:v>T6</x:v>
      </x:c>
      <x:c r="D1810" s="36" t="str">
        <x:v>L12</x:v>
      </x:c>
      <x:c r="E1810" s="36" t="str">
        <x:v>Stair opening deduction</x:v>
      </x:c>
      <x:c r="F1810" s="37" t="n">
        <x:v>1</x:v>
      </x:c>
      <x:c r="G1810" s="37" t="n">
        <x:f>'Controls'!$B$20</x:f>
        <x:v>4</x:v>
      </x:c>
      <x:c r="H1810" s="37" t="n">
        <x:f>'Controls'!$B$21</x:f>
        <x:v>6</x:v>
      </x:c>
      <x:c r="I1810" s="37" t="n">
        <x:v>1</x:v>
      </x:c>
      <x:c r="J1810" s="37" t="n">
        <x:v>-1</x:v>
      </x:c>
      <x:c r="K1810" s="37" t="n">
        <x:f>F1810*G1810*H1810*I1810*J1810</x:f>
        <x:v>-24</x:v>
      </x:c>
      <x:c r="L1810" s="36" t="str">
        <x:v>OP-01</x:v>
      </x:c>
      <x:c r="M1810" s="1"/>
      <x:c r="N1810" s="1"/>
      <x:c r="O1810" s="1"/>
      <x:c r="P1810" s="1"/>
      <x:c r="Q1810" s="1"/>
    </x:row>
    <x:row r="1811" ht="22" customHeight="1">
      <x:c r="A1811" s="1" t="str">
        <x:v>M1804</x:v>
      </x:c>
      <x:c r="B1811" s="1" t="str">
        <x:v>FW01</x:v>
      </x:c>
      <x:c r="C1811" s="1" t="str">
        <x:v>T6</x:v>
      </x:c>
      <x:c r="D1811" s="1" t="str">
        <x:v>L12</x:v>
      </x:c>
      <x:c r="E1811" s="1" t="str">
        <x:v>Beam soffit deduction</x:v>
      </x:c>
      <x:c r="F1811" s="35" t="n">
        <x:v>1</x:v>
      </x:c>
      <x:c r="G1811" s="35" t="n">
        <x:f>5*5*('Controls'!$B$10/5-'Controls'!$B$14)+6*4*('Controls'!$B$11/4-'Controls'!$B$15)</x:f>
        <x:v>269.5</x:v>
      </x:c>
      <x:c r="H1811" s="35" t="n">
        <x:f>'Controls'!$B$16</x:f>
        <x:v>0.3</x:v>
      </x:c>
      <x:c r="I1811" s="35" t="n">
        <x:v>1</x:v>
      </x:c>
      <x:c r="J1811" s="35" t="n">
        <x:v>-1</x:v>
      </x:c>
      <x:c r="K1811" s="35" t="n">
        <x:f>F1811*G1811*H1811*I1811*J1811</x:f>
        <x:v>-80.85</x:v>
      </x:c>
      <x:c r="L1811" s="1" t="str">
        <x:v>Beam forms measured in FW02</x:v>
      </x:c>
      <x:c r="M1811" s="1"/>
      <x:c r="N1811" s="1"/>
      <x:c r="O1811" s="1"/>
      <x:c r="P1811" s="1"/>
      <x:c r="Q1811" s="1"/>
    </x:row>
    <x:row r="1812" ht="22" customHeight="1">
      <x:c r="A1812" s="36" t="str">
        <x:v>M1805</x:v>
      </x:c>
      <x:c r="B1812" s="36" t="str">
        <x:v>FW03</x:v>
      </x:c>
      <x:c r="C1812" s="36" t="str">
        <x:v>T6</x:v>
      </x:c>
      <x:c r="D1812" s="36" t="str">
        <x:v>L12</x:v>
      </x:c>
      <x:c r="E1812" s="36" t="str">
        <x:v>Column four faces</x:v>
      </x:c>
      <x:c r="F1812" s="37" t="n">
        <x:v>30</x:v>
      </x:c>
      <x:c r="G1812" s="37" t="n">
        <x:f>2*('Controls'!$B$14+'Controls'!$B$15)</x:f>
        <x:v>2</x:v>
      </x:c>
      <x:c r="H1812" s="37" t="n">
        <x:f>'Controls'!$B$12-'Controls'!$B$13</x:f>
        <x:v>2.98</x:v>
      </x:c>
      <x:c r="I1812" s="37" t="n">
        <x:v>1</x:v>
      </x:c>
      <x:c r="J1812" s="37" t="n">
        <x:v>1</x:v>
      </x:c>
      <x:c r="K1812" s="37" t="n">
        <x:f>F1812*G1812*H1812*I1812*J1812</x:f>
        <x:v>178.8</x:v>
      </x:c>
      <x:c r="L1812" s="36" t="str">
        <x:v>Clear floor-to-soffit</x:v>
      </x:c>
      <x:c r="M1812" s="1"/>
      <x:c r="N1812" s="1"/>
      <x:c r="O1812" s="1"/>
      <x:c r="P1812" s="1"/>
      <x:c r="Q1812" s="1"/>
    </x:row>
    <x:row r="1813" ht="22" customHeight="1">
      <x:c r="A1813" s="1" t="str">
        <x:v>M1806</x:v>
      </x:c>
      <x:c r="B1813" s="1" t="str">
        <x:v>FW04</x:v>
      </x:c>
      <x:c r="C1813" s="1" t="str">
        <x:v>T6</x:v>
      </x:c>
      <x:c r="D1813" s="1" t="str">
        <x:v>L12</x:v>
      </x:c>
      <x:c r="E1813" s="1" t="str">
        <x:v>Core wall two faces</x:v>
      </x:c>
      <x:c r="F1813" s="35" t="n">
        <x:v>2</x:v>
      </x:c>
      <x:c r="G1813" s="35" t="n">
        <x:f>'Controls'!$B$19</x:f>
        <x:v>24</x:v>
      </x:c>
      <x:c r="H1813" s="35" t="n">
        <x:f>'Controls'!$B$12-'Controls'!$B$13</x:f>
        <x:v>2.98</x:v>
      </x:c>
      <x:c r="I1813" s="35" t="n">
        <x:v>1</x:v>
      </x:c>
      <x:c r="J1813" s="35" t="n">
        <x:v>1</x:v>
      </x:c>
      <x:c r="K1813" s="35" t="n">
        <x:f>F1813*G1813*H1813*I1813*J1813</x:f>
        <x:v>143.04</x:v>
      </x:c>
      <x:c r="L1813" s="1" t="str">
        <x:v>Net perimeter, no repeated corners</x:v>
      </x:c>
      <x:c r="M1813" s="1"/>
      <x:c r="N1813" s="1"/>
      <x:c r="O1813" s="1"/>
      <x:c r="P1813" s="1"/>
      <x:c r="Q1813" s="1"/>
    </x:row>
    <x:row r="1814" ht="22" customHeight="1">
      <x:c r="A1814" s="36" t="str">
        <x:v>M1807</x:v>
      </x:c>
      <x:c r="B1814" s="36" t="str">
        <x:v>AR01</x:v>
      </x:c>
      <x:c r="C1814" s="36" t="str">
        <x:v>T6</x:v>
      </x:c>
      <x:c r="D1814" s="36" t="str">
        <x:v>L12</x:v>
      </x:c>
      <x:c r="E1814" s="36" t="str">
        <x:v>Partition walls gross</x:v>
      </x:c>
      <x:c r="F1814" s="37" t="n">
        <x:v>1</x:v>
      </x:c>
      <x:c r="G1814" s="37" t="n">
        <x:f>'Controls'!$B$45</x:f>
        <x:v>220</x:v>
      </x:c>
      <x:c r="H1814" s="37" t="n">
        <x:f>'Controls'!$B$12-'Controls'!$B$13</x:f>
        <x:v>2.98</x:v>
      </x:c>
      <x:c r="I1814" s="37" t="n">
        <x:f>'Controls'!$B$46</x:f>
        <x:v>0.15</x:v>
      </x:c>
      <x:c r="J1814" s="37" t="n">
        <x:v>1</x:v>
      </x:c>
      <x:c r="K1814" s="37" t="n">
        <x:f>F1814*G1814*H1814*I1814*J1814</x:f>
        <x:v>98.34</x:v>
      </x:c>
      <x:c r="L1814" s="36" t="str">
        <x:v>Net openings deducted below</x:v>
      </x:c>
      <x:c r="M1814" s="1"/>
      <x:c r="N1814" s="1"/>
      <x:c r="O1814" s="1"/>
      <x:c r="P1814" s="1"/>
      <x:c r="Q1814" s="1"/>
    </x:row>
    <x:row r="1815" ht="22" customHeight="1">
      <x:c r="A1815" s="1" t="str">
        <x:v>M1808</x:v>
      </x:c>
      <x:c r="B1815" s="1" t="str">
        <x:v>AR01</x:v>
      </x:c>
      <x:c r="C1815" s="1" t="str">
        <x:v>T6</x:v>
      </x:c>
      <x:c r="D1815" s="1" t="str">
        <x:v>L12</x:v>
      </x:c>
      <x:c r="E1815" s="1" t="str">
        <x:v>Internal doors deduction</x:v>
      </x:c>
      <x:c r="F1815" s="35" t="n">
        <x:f>'Controls'!$B$48</x:f>
        <x:v>28</x:v>
      </x:c>
      <x:c r="G1815" s="35" t="n">
        <x:f>'Controls'!$B$49</x:f>
        <x:v>0.9</x:v>
      </x:c>
      <x:c r="H1815" s="35" t="n">
        <x:f>'Controls'!$B$50</x:f>
        <x:v>2.1</x:v>
      </x:c>
      <x:c r="I1815" s="35" t="n">
        <x:f>'Controls'!$B$46</x:f>
        <x:v>0.15</x:v>
      </x:c>
      <x:c r="J1815" s="35" t="n">
        <x:v>-1</x:v>
      </x:c>
      <x:c r="K1815" s="35" t="n">
        <x:f>F1815*G1815*H1815*I1815*J1815</x:f>
        <x:v>-7.938</x:v>
      </x:c>
      <x:c r="L1815" s="1" t="str">
        <x:v>28 doors per floor, OP-02</x:v>
      </x:c>
      <x:c r="M1815" s="1"/>
      <x:c r="N1815" s="1"/>
      <x:c r="O1815" s="1"/>
      <x:c r="P1815" s="1"/>
      <x:c r="Q1815" s="1"/>
    </x:row>
    <x:row r="1816" ht="22" customHeight="1">
      <x:c r="A1816" s="36" t="str">
        <x:v>M1809</x:v>
      </x:c>
      <x:c r="B1816" s="36" t="str">
        <x:v>AR02</x:v>
      </x:c>
      <x:c r="C1816" s="36" t="str">
        <x:v>T6</x:v>
      </x:c>
      <x:c r="D1816" s="36" t="str">
        <x:v>L12</x:v>
      </x:c>
      <x:c r="E1816" s="36" t="str">
        <x:v>Internal plaster gross</x:v>
      </x:c>
      <x:c r="F1816" s="37" t="n">
        <x:v>2</x:v>
      </x:c>
      <x:c r="G1816" s="37" t="n">
        <x:f>'Controls'!$B$45</x:f>
        <x:v>220</x:v>
      </x:c>
      <x:c r="H1816" s="37" t="n">
        <x:f>'Controls'!$B$12-'Controls'!$B$13</x:f>
        <x:v>2.98</x:v>
      </x:c>
      <x:c r="I1816" s="37" t="n">
        <x:v>1</x:v>
      </x:c>
      <x:c r="J1816" s="37" t="n">
        <x:v>1</x:v>
      </x:c>
      <x:c r="K1816" s="37" t="n">
        <x:f>F1816*G1816*H1816*I1816*J1816</x:f>
        <x:v>1311.2</x:v>
      </x:c>
      <x:c r="L1816" s="36" t="str">
        <x:v>Both faces of partition walls</x:v>
      </x:c>
      <x:c r="M1816" s="1"/>
      <x:c r="N1816" s="1"/>
      <x:c r="O1816" s="1"/>
      <x:c r="P1816" s="1"/>
      <x:c r="Q1816" s="1"/>
    </x:row>
    <x:row r="1817" ht="22" customHeight="1">
      <x:c r="A1817" s="1" t="str">
        <x:v>M1810</x:v>
      </x:c>
      <x:c r="B1817" s="1" t="str">
        <x:v>AR02</x:v>
      </x:c>
      <x:c r="C1817" s="1" t="str">
        <x:v>T6</x:v>
      </x:c>
      <x:c r="D1817" s="1" t="str">
        <x:v>L12</x:v>
      </x:c>
      <x:c r="E1817" s="1" t="str">
        <x:v>Door area deduction both faces</x:v>
      </x:c>
      <x:c r="F1817" s="35" t="n">
        <x:f>2*'Controls'!$B$48</x:f>
        <x:v>56</x:v>
      </x:c>
      <x:c r="G1817" s="35" t="n">
        <x:f>'Controls'!$B$49</x:f>
        <x:v>0.9</x:v>
      </x:c>
      <x:c r="H1817" s="35" t="n">
        <x:f>'Controls'!$B$50</x:f>
        <x:v>2.1</x:v>
      </x:c>
      <x:c r="I1817" s="35" t="n">
        <x:v>1</x:v>
      </x:c>
      <x:c r="J1817" s="35" t="n">
        <x:v>-1</x:v>
      </x:c>
      <x:c r="K1817" s="35" t="n">
        <x:f>F1817*G1817*H1817*I1817*J1817</x:f>
        <x:v>-105.84</x:v>
      </x:c>
      <x:c r="L1817" s="1" t="str">
        <x:v>No plaster over openings</x:v>
      </x:c>
      <x:c r="M1817" s="1"/>
      <x:c r="N1817" s="1"/>
      <x:c r="O1817" s="1"/>
      <x:c r="P1817" s="1"/>
      <x:c r="Q1817" s="1"/>
    </x:row>
    <x:row r="1818" ht="22" customHeight="1">
      <x:c r="A1818" s="36" t="str">
        <x:v>M1811</x:v>
      </x:c>
      <x:c r="B1818" s="36" t="str">
        <x:v>AR03</x:v>
      </x:c>
      <x:c r="C1818" s="36" t="str">
        <x:v>T6</x:v>
      </x:c>
      <x:c r="D1818" s="36" t="str">
        <x:v>L12</x:v>
      </x:c>
      <x:c r="E1818" s="36" t="str">
        <x:v>Floor screed net</x:v>
      </x:c>
      <x:c r="F1818" s="37" t="n">
        <x:v>1</x:v>
      </x:c>
      <x:c r="G1818" s="37" t="n">
        <x:f>'Controls'!$B$10*'Controls'!$B$11-'Controls'!$B$20*'Controls'!$B$21</x:f>
        <x:v>696</x:v>
      </x:c>
      <x:c r="H1818" s="37" t="n">
        <x:v>1</x:v>
      </x:c>
      <x:c r="I1818" s="37" t="n">
        <x:v>1</x:v>
      </x:c>
      <x:c r="J1818" s="37" t="n">
        <x:v>1</x:v>
      </x:c>
      <x:c r="K1818" s="37" t="n">
        <x:f>F1818*G1818*H1818*I1818*J1818</x:f>
        <x:v>696</x:v>
      </x:c>
      <x:c r="L1818" s="36" t="str">
        <x:v>Net structural floor area</x:v>
      </x:c>
      <x:c r="M1818" s="1"/>
      <x:c r="N1818" s="1"/>
      <x:c r="O1818" s="1"/>
      <x:c r="P1818" s="1"/>
      <x:c r="Q1818" s="1"/>
    </x:row>
    <x:row r="1819" ht="22" customHeight="1">
      <x:c r="A1819" s="1" t="str">
        <x:v>M1812</x:v>
      </x:c>
      <x:c r="B1819" s="1" t="str">
        <x:v>AR04</x:v>
      </x:c>
      <x:c r="C1819" s="1" t="str">
        <x:v>T6</x:v>
      </x:c>
      <x:c r="D1819" s="1" t="str">
        <x:v>L12</x:v>
      </x:c>
      <x:c r="E1819" s="1" t="str">
        <x:v>Floor finish net</x:v>
      </x:c>
      <x:c r="F1819" s="35" t="n">
        <x:v>1</x:v>
      </x:c>
      <x:c r="G1819" s="35" t="n">
        <x:f>'Controls'!$B$10*'Controls'!$B$11-'Controls'!$B$20*'Controls'!$B$21</x:f>
        <x:v>696</x:v>
      </x:c>
      <x:c r="H1819" s="35" t="n">
        <x:v>1</x:v>
      </x:c>
      <x:c r="I1819" s="35" t="n">
        <x:v>1</x:v>
      </x:c>
      <x:c r="J1819" s="35" t="n">
        <x:v>1</x:v>
      </x:c>
      <x:c r="K1819" s="35" t="n">
        <x:f>F1819*G1819*H1819*I1819*J1819</x:f>
        <x:v>696</x:v>
      </x:c>
      <x:c r="L1819" s="1" t="str">
        <x:v>Waste excluded from BOQ</x:v>
      </x:c>
      <x:c r="M1819" s="1"/>
      <x:c r="N1819" s="1"/>
      <x:c r="O1819" s="1"/>
      <x:c r="P1819" s="1"/>
      <x:c r="Q1819" s="1"/>
    </x:row>
    <x:row r="1820" ht="22" customHeight="1">
      <x:c r="A1820" s="36" t="str">
        <x:v>M1813</x:v>
      </x:c>
      <x:c r="B1820" s="36" t="str">
        <x:v>AR05</x:v>
      </x:c>
      <x:c r="C1820" s="36" t="str">
        <x:v>T6</x:v>
      </x:c>
      <x:c r="D1820" s="36" t="str">
        <x:v>L12</x:v>
      </x:c>
      <x:c r="E1820" s="36" t="str">
        <x:v>Internal wall paint net</x:v>
      </x:c>
      <x:c r="F1820" s="37" t="n">
        <x:v>2</x:v>
      </x:c>
      <x:c r="G1820" s="37" t="n">
        <x:f>'Controls'!$B$45*('Controls'!$B$12-'Controls'!$B$13)-'Controls'!$B$48*'Controls'!$B$49*'Controls'!$B$50</x:f>
        <x:v>602.6800000000001</x:v>
      </x:c>
      <x:c r="H1820" s="37" t="n">
        <x:v>1</x:v>
      </x:c>
      <x:c r="I1820" s="37" t="n">
        <x:v>1</x:v>
      </x:c>
      <x:c r="J1820" s="37" t="n">
        <x:v>1</x:v>
      </x:c>
      <x:c r="K1820" s="37" t="n">
        <x:f>F1820*G1820*H1820*I1820*J1820</x:f>
        <x:v>1205.3600000000001</x:v>
      </x:c>
      <x:c r="L1820" s="36" t="str">
        <x:v>Finished area; two coats priced in rate</x:v>
      </x:c>
      <x:c r="M1820" s="1"/>
      <x:c r="N1820" s="1"/>
      <x:c r="O1820" s="1"/>
      <x:c r="P1820" s="1"/>
      <x:c r="Q1820" s="1"/>
    </x:row>
    <x:row r="1821" ht="22" customHeight="1">
      <x:c r="A1821" s="1" t="str">
        <x:v>M1814</x:v>
      </x:c>
      <x:c r="B1821" s="1" t="str">
        <x:v>AR06</x:v>
      </x:c>
      <x:c r="C1821" s="1" t="str">
        <x:v>T6</x:v>
      </x:c>
      <x:c r="D1821" s="1" t="str">
        <x:v>L12</x:v>
      </x:c>
      <x:c r="E1821" s="1" t="str">
        <x:v>Door sets</x:v>
      </x:c>
      <x:c r="F1821" s="35" t="n">
        <x:f>'Controls'!$B$48</x:f>
        <x:v>28</x:v>
      </x:c>
      <x:c r="G1821" s="35" t="n">
        <x:v>1</x:v>
      </x:c>
      <x:c r="H1821" s="35" t="n">
        <x:v>1</x:v>
      </x:c>
      <x:c r="I1821" s="35" t="n">
        <x:v>1</x:v>
      </x:c>
      <x:c r="J1821" s="35" t="n">
        <x:v>1</x:v>
      </x:c>
      <x:c r="K1821" s="35" t="n">
        <x:f>F1821*G1821*H1821*I1821*J1821</x:f>
        <x:v>28</x:v>
      </x:c>
      <x:c r="L1821" s="1" t="str">
        <x:v>Door count, not double face</x:v>
      </x:c>
      <x:c r="M1821" s="1"/>
      <x:c r="N1821" s="1"/>
      <x:c r="O1821" s="1"/>
      <x:c r="P1821" s="1"/>
      <x:c r="Q1821" s="1"/>
    </x:row>
    <x:row r="1822" ht="22" customHeight="1">
      <x:c r="A1822" s="36" t="str">
        <x:v>M1815</x:v>
      </x:c>
      <x:c r="B1822" s="36" t="str">
        <x:v>EN02</x:v>
      </x:c>
      <x:c r="C1822" s="36" t="str">
        <x:v>T1</x:v>
      </x:c>
      <x:c r="D1822" s="36" t="str">
        <x:v>ROOF</x:v>
      </x:c>
      <x:c r="E1822" s="36" t="str">
        <x:v>Tower roof membrane</x:v>
      </x:c>
      <x:c r="F1822" s="37" t="n">
        <x:v>1</x:v>
      </x:c>
      <x:c r="G1822" s="37" t="n">
        <x:f>'Controls'!$B$10</x:f>
        <x:v>30</x:v>
      </x:c>
      <x:c r="H1822" s="37" t="n">
        <x:f>'Controls'!$B$11</x:f>
        <x:v>24</x:v>
      </x:c>
      <x:c r="I1822" s="37" t="n">
        <x:v>1</x:v>
      </x:c>
      <x:c r="J1822" s="37" t="n">
        <x:v>1</x:v>
      </x:c>
      <x:c r="K1822" s="37" t="n">
        <x:f>F1822*G1822*H1822*I1822*J1822</x:f>
        <x:v>720</x:v>
      </x:c>
      <x:c r="L1822" s="36" t="str">
        <x:v>Roof opening covered by stair enclosure, gross footprint</x:v>
      </x:c>
      <x:c r="M1822" s="1"/>
      <x:c r="N1822" s="1"/>
      <x:c r="O1822" s="1"/>
      <x:c r="P1822" s="1"/>
      <x:c r="Q1822" s="1"/>
    </x:row>
    <x:row r="1823" ht="22" customHeight="1">
      <x:c r="A1823" s="1" t="str">
        <x:v>M1816</x:v>
      </x:c>
      <x:c r="B1823" s="1" t="str">
        <x:v>EN03</x:v>
      </x:c>
      <x:c r="C1823" s="1" t="str">
        <x:v>T1</x:v>
      </x:c>
      <x:c r="D1823" s="1" t="str">
        <x:v>ALL</x:v>
      </x:c>
      <x:c r="E1823" s="1" t="str">
        <x:v>Opaque facade</x:v>
      </x:c>
      <x:c r="F1823" s="35" t="n">
        <x:v>1</x:v>
      </x:c>
      <x:c r="G1823" s="35" t="n">
        <x:f>2*('Controls'!$B$10+'Controls'!$B$11)</x:f>
        <x:v>108</x:v>
      </x:c>
      <x:c r="H1823" s="35" t="n">
        <x:f>'Controls'!$B$9*'Controls'!$B$12</x:f>
        <x:v>41.6</x:v>
      </x:c>
      <x:c r="I1823" s="35" t="n">
        <x:f>1-'Controls'!$B$47</x:f>
        <x:v>0.72</x:v>
      </x:c>
      <x:c r="J1823" s="35" t="n">
        <x:v>1</x:v>
      </x:c>
      <x:c r="K1823" s="35" t="n">
        <x:f>F1823*G1823*H1823*I1823*J1823</x:f>
        <x:v>3234.816</x:v>
      </x:c>
      <x:c r="L1823" s="1" t="str">
        <x:v>Window openings excluded by glazing share</x:v>
      </x:c>
      <x:c r="M1823" s="1"/>
      <x:c r="N1823" s="1"/>
      <x:c r="O1823" s="1"/>
      <x:c r="P1823" s="1"/>
      <x:c r="Q1823" s="1"/>
    </x:row>
    <x:row r="1824" ht="22" customHeight="1">
      <x:c r="A1824" s="36" t="str">
        <x:v>M1817</x:v>
      </x:c>
      <x:c r="B1824" s="36" t="str">
        <x:v>EN04</x:v>
      </x:c>
      <x:c r="C1824" s="36" t="str">
        <x:v>T1</x:v>
      </x:c>
      <x:c r="D1824" s="36" t="str">
        <x:v>ALL</x:v>
      </x:c>
      <x:c r="E1824" s="36" t="str">
        <x:v>External glazing</x:v>
      </x:c>
      <x:c r="F1824" s="37" t="n">
        <x:v>1</x:v>
      </x:c>
      <x:c r="G1824" s="37" t="n">
        <x:f>2*('Controls'!$B$10+'Controls'!$B$11)</x:f>
        <x:v>108</x:v>
      </x:c>
      <x:c r="H1824" s="37" t="n">
        <x:f>'Controls'!$B$9*'Controls'!$B$12</x:f>
        <x:v>41.6</x:v>
      </x:c>
      <x:c r="I1824" s="37" t="n">
        <x:f>'Controls'!$B$47</x:f>
        <x:v>0.28</x:v>
      </x:c>
      <x:c r="J1824" s="37" t="n">
        <x:v>1</x:v>
      </x:c>
      <x:c r="K1824" s="37" t="n">
        <x:f>F1824*G1824*H1824*I1824*J1824</x:f>
        <x:v>1257.9840000000002</x:v>
      </x:c>
      <x:c r="L1824" s="36" t="str">
        <x:v>Same elevation basis as opaque facade</x:v>
      </x:c>
      <x:c r="M1824" s="1"/>
      <x:c r="N1824" s="1"/>
      <x:c r="O1824" s="1"/>
      <x:c r="P1824" s="1"/>
      <x:c r="Q1824" s="1"/>
    </x:row>
    <x:row r="1825" ht="22" customHeight="1">
      <x:c r="A1825" s="1" t="str">
        <x:v>M1818</x:v>
      </x:c>
      <x:c r="B1825" s="1" t="str">
        <x:v>EN02</x:v>
      </x:c>
      <x:c r="C1825" s="1" t="str">
        <x:v>T2</x:v>
      </x:c>
      <x:c r="D1825" s="1" t="str">
        <x:v>ROOF</x:v>
      </x:c>
      <x:c r="E1825" s="1" t="str">
        <x:v>Tower roof membrane</x:v>
      </x:c>
      <x:c r="F1825" s="35" t="n">
        <x:v>1</x:v>
      </x:c>
      <x:c r="G1825" s="35" t="n">
        <x:f>'Controls'!$B$10</x:f>
        <x:v>30</x:v>
      </x:c>
      <x:c r="H1825" s="35" t="n">
        <x:f>'Controls'!$B$11</x:f>
        <x:v>24</x:v>
      </x:c>
      <x:c r="I1825" s="35" t="n">
        <x:v>1</x:v>
      </x:c>
      <x:c r="J1825" s="35" t="n">
        <x:v>1</x:v>
      </x:c>
      <x:c r="K1825" s="35" t="n">
        <x:f>F1825*G1825*H1825*I1825*J1825</x:f>
        <x:v>720</x:v>
      </x:c>
      <x:c r="L1825" s="1" t="str">
        <x:v>Roof opening covered by stair enclosure, gross footprint</x:v>
      </x:c>
      <x:c r="M1825" s="1"/>
      <x:c r="N1825" s="1"/>
      <x:c r="O1825" s="1"/>
      <x:c r="P1825" s="1"/>
      <x:c r="Q1825" s="1"/>
    </x:row>
    <x:row r="1826" ht="22" customHeight="1">
      <x:c r="A1826" s="36" t="str">
        <x:v>M1819</x:v>
      </x:c>
      <x:c r="B1826" s="36" t="str">
        <x:v>EN03</x:v>
      </x:c>
      <x:c r="C1826" s="36" t="str">
        <x:v>T2</x:v>
      </x:c>
      <x:c r="D1826" s="36" t="str">
        <x:v>ALL</x:v>
      </x:c>
      <x:c r="E1826" s="36" t="str">
        <x:v>Opaque facade</x:v>
      </x:c>
      <x:c r="F1826" s="37" t="n">
        <x:v>1</x:v>
      </x:c>
      <x:c r="G1826" s="37" t="n">
        <x:f>2*('Controls'!$B$10+'Controls'!$B$11)</x:f>
        <x:v>108</x:v>
      </x:c>
      <x:c r="H1826" s="37" t="n">
        <x:f>'Controls'!$B$9*'Controls'!$B$12</x:f>
        <x:v>41.6</x:v>
      </x:c>
      <x:c r="I1826" s="37" t="n">
        <x:f>1-'Controls'!$B$47</x:f>
        <x:v>0.72</x:v>
      </x:c>
      <x:c r="J1826" s="37" t="n">
        <x:v>1</x:v>
      </x:c>
      <x:c r="K1826" s="37" t="n">
        <x:f>F1826*G1826*H1826*I1826*J1826</x:f>
        <x:v>3234.816</x:v>
      </x:c>
      <x:c r="L1826" s="36" t="str">
        <x:v>Window openings excluded by glazing share</x:v>
      </x:c>
      <x:c r="M1826" s="1"/>
      <x:c r="N1826" s="1"/>
      <x:c r="O1826" s="1"/>
      <x:c r="P1826" s="1"/>
      <x:c r="Q1826" s="1"/>
    </x:row>
    <x:row r="1827" ht="22" customHeight="1">
      <x:c r="A1827" s="1" t="str">
        <x:v>M1820</x:v>
      </x:c>
      <x:c r="B1827" s="1" t="str">
        <x:v>EN04</x:v>
      </x:c>
      <x:c r="C1827" s="1" t="str">
        <x:v>T2</x:v>
      </x:c>
      <x:c r="D1827" s="1" t="str">
        <x:v>ALL</x:v>
      </x:c>
      <x:c r="E1827" s="1" t="str">
        <x:v>External glazing</x:v>
      </x:c>
      <x:c r="F1827" s="35" t="n">
        <x:v>1</x:v>
      </x:c>
      <x:c r="G1827" s="35" t="n">
        <x:f>2*('Controls'!$B$10+'Controls'!$B$11)</x:f>
        <x:v>108</x:v>
      </x:c>
      <x:c r="H1827" s="35" t="n">
        <x:f>'Controls'!$B$9*'Controls'!$B$12</x:f>
        <x:v>41.6</x:v>
      </x:c>
      <x:c r="I1827" s="35" t="n">
        <x:f>'Controls'!$B$47</x:f>
        <x:v>0.28</x:v>
      </x:c>
      <x:c r="J1827" s="35" t="n">
        <x:v>1</x:v>
      </x:c>
      <x:c r="K1827" s="35" t="n">
        <x:f>F1827*G1827*H1827*I1827*J1827</x:f>
        <x:v>1257.9840000000002</x:v>
      </x:c>
      <x:c r="L1827" s="1" t="str">
        <x:v>Same elevation basis as opaque facade</x:v>
      </x:c>
      <x:c r="M1827" s="1"/>
      <x:c r="N1827" s="1"/>
      <x:c r="O1827" s="1"/>
      <x:c r="P1827" s="1"/>
      <x:c r="Q1827" s="1"/>
    </x:row>
    <x:row r="1828" ht="22" customHeight="1">
      <x:c r="A1828" s="36" t="str">
        <x:v>M1821</x:v>
      </x:c>
      <x:c r="B1828" s="36" t="str">
        <x:v>EN02</x:v>
      </x:c>
      <x:c r="C1828" s="36" t="str">
        <x:v>T3</x:v>
      </x:c>
      <x:c r="D1828" s="36" t="str">
        <x:v>ROOF</x:v>
      </x:c>
      <x:c r="E1828" s="36" t="str">
        <x:v>Tower roof membrane</x:v>
      </x:c>
      <x:c r="F1828" s="37" t="n">
        <x:v>1</x:v>
      </x:c>
      <x:c r="G1828" s="37" t="n">
        <x:f>'Controls'!$B$10</x:f>
        <x:v>30</x:v>
      </x:c>
      <x:c r="H1828" s="37" t="n">
        <x:f>'Controls'!$B$11</x:f>
        <x:v>24</x:v>
      </x:c>
      <x:c r="I1828" s="37" t="n">
        <x:v>1</x:v>
      </x:c>
      <x:c r="J1828" s="37" t="n">
        <x:v>1</x:v>
      </x:c>
      <x:c r="K1828" s="37" t="n">
        <x:f>F1828*G1828*H1828*I1828*J1828</x:f>
        <x:v>720</x:v>
      </x:c>
      <x:c r="L1828" s="36" t="str">
        <x:v>Roof opening covered by stair enclosure, gross footprint</x:v>
      </x:c>
      <x:c r="M1828" s="1"/>
      <x:c r="N1828" s="1"/>
      <x:c r="O1828" s="1"/>
      <x:c r="P1828" s="1"/>
      <x:c r="Q1828" s="1"/>
    </x:row>
    <x:row r="1829" ht="22" customHeight="1">
      <x:c r="A1829" s="1" t="str">
        <x:v>M1822</x:v>
      </x:c>
      <x:c r="B1829" s="1" t="str">
        <x:v>EN03</x:v>
      </x:c>
      <x:c r="C1829" s="1" t="str">
        <x:v>T3</x:v>
      </x:c>
      <x:c r="D1829" s="1" t="str">
        <x:v>ALL</x:v>
      </x:c>
      <x:c r="E1829" s="1" t="str">
        <x:v>Opaque facade</x:v>
      </x:c>
      <x:c r="F1829" s="35" t="n">
        <x:v>1</x:v>
      </x:c>
      <x:c r="G1829" s="35" t="n">
        <x:f>2*('Controls'!$B$10+'Controls'!$B$11)</x:f>
        <x:v>108</x:v>
      </x:c>
      <x:c r="H1829" s="35" t="n">
        <x:f>'Controls'!$B$9*'Controls'!$B$12</x:f>
        <x:v>41.6</x:v>
      </x:c>
      <x:c r="I1829" s="35" t="n">
        <x:f>1-'Controls'!$B$47</x:f>
        <x:v>0.72</x:v>
      </x:c>
      <x:c r="J1829" s="35" t="n">
        <x:v>1</x:v>
      </x:c>
      <x:c r="K1829" s="35" t="n">
        <x:f>F1829*G1829*H1829*I1829*J1829</x:f>
        <x:v>3234.816</x:v>
      </x:c>
      <x:c r="L1829" s="1" t="str">
        <x:v>Window openings excluded by glazing share</x:v>
      </x:c>
      <x:c r="M1829" s="1"/>
      <x:c r="N1829" s="1"/>
      <x:c r="O1829" s="1"/>
      <x:c r="P1829" s="1"/>
      <x:c r="Q1829" s="1"/>
    </x:row>
    <x:row r="1830" ht="22" customHeight="1">
      <x:c r="A1830" s="36" t="str">
        <x:v>M1823</x:v>
      </x:c>
      <x:c r="B1830" s="36" t="str">
        <x:v>EN04</x:v>
      </x:c>
      <x:c r="C1830" s="36" t="str">
        <x:v>T3</x:v>
      </x:c>
      <x:c r="D1830" s="36" t="str">
        <x:v>ALL</x:v>
      </x:c>
      <x:c r="E1830" s="36" t="str">
        <x:v>External glazing</x:v>
      </x:c>
      <x:c r="F1830" s="37" t="n">
        <x:v>1</x:v>
      </x:c>
      <x:c r="G1830" s="37" t="n">
        <x:f>2*('Controls'!$B$10+'Controls'!$B$11)</x:f>
        <x:v>108</x:v>
      </x:c>
      <x:c r="H1830" s="37" t="n">
        <x:f>'Controls'!$B$9*'Controls'!$B$12</x:f>
        <x:v>41.6</x:v>
      </x:c>
      <x:c r="I1830" s="37" t="n">
        <x:f>'Controls'!$B$47</x:f>
        <x:v>0.28</x:v>
      </x:c>
      <x:c r="J1830" s="37" t="n">
        <x:v>1</x:v>
      </x:c>
      <x:c r="K1830" s="37" t="n">
        <x:f>F1830*G1830*H1830*I1830*J1830</x:f>
        <x:v>1257.9840000000002</x:v>
      </x:c>
      <x:c r="L1830" s="36" t="str">
        <x:v>Same elevation basis as opaque facade</x:v>
      </x:c>
      <x:c r="M1830" s="1"/>
      <x:c r="N1830" s="1"/>
      <x:c r="O1830" s="1"/>
      <x:c r="P1830" s="1"/>
      <x:c r="Q1830" s="1"/>
    </x:row>
    <x:row r="1831" ht="22" customHeight="1">
      <x:c r="A1831" s="1" t="str">
        <x:v>M1824</x:v>
      </x:c>
      <x:c r="B1831" s="1" t="str">
        <x:v>EN02</x:v>
      </x:c>
      <x:c r="C1831" s="1" t="str">
        <x:v>T4</x:v>
      </x:c>
      <x:c r="D1831" s="1" t="str">
        <x:v>ROOF</x:v>
      </x:c>
      <x:c r="E1831" s="1" t="str">
        <x:v>Tower roof membrane</x:v>
      </x:c>
      <x:c r="F1831" s="35" t="n">
        <x:v>1</x:v>
      </x:c>
      <x:c r="G1831" s="35" t="n">
        <x:f>'Controls'!$B$10</x:f>
        <x:v>30</x:v>
      </x:c>
      <x:c r="H1831" s="35" t="n">
        <x:f>'Controls'!$B$11</x:f>
        <x:v>24</x:v>
      </x:c>
      <x:c r="I1831" s="35" t="n">
        <x:v>1</x:v>
      </x:c>
      <x:c r="J1831" s="35" t="n">
        <x:v>1</x:v>
      </x:c>
      <x:c r="K1831" s="35" t="n">
        <x:f>F1831*G1831*H1831*I1831*J1831</x:f>
        <x:v>720</x:v>
      </x:c>
      <x:c r="L1831" s="1" t="str">
        <x:v>Roof opening covered by stair enclosure, gross footprint</x:v>
      </x:c>
      <x:c r="M1831" s="1"/>
      <x:c r="N1831" s="1"/>
      <x:c r="O1831" s="1"/>
      <x:c r="P1831" s="1"/>
      <x:c r="Q1831" s="1"/>
    </x:row>
    <x:row r="1832" ht="22" customHeight="1">
      <x:c r="A1832" s="36" t="str">
        <x:v>M1825</x:v>
      </x:c>
      <x:c r="B1832" s="36" t="str">
        <x:v>EN03</x:v>
      </x:c>
      <x:c r="C1832" s="36" t="str">
        <x:v>T4</x:v>
      </x:c>
      <x:c r="D1832" s="36" t="str">
        <x:v>ALL</x:v>
      </x:c>
      <x:c r="E1832" s="36" t="str">
        <x:v>Opaque facade</x:v>
      </x:c>
      <x:c r="F1832" s="37" t="n">
        <x:v>1</x:v>
      </x:c>
      <x:c r="G1832" s="37" t="n">
        <x:f>2*('Controls'!$B$10+'Controls'!$B$11)</x:f>
        <x:v>108</x:v>
      </x:c>
      <x:c r="H1832" s="37" t="n">
        <x:f>'Controls'!$B$9*'Controls'!$B$12</x:f>
        <x:v>41.6</x:v>
      </x:c>
      <x:c r="I1832" s="37" t="n">
        <x:f>1-'Controls'!$B$47</x:f>
        <x:v>0.72</x:v>
      </x:c>
      <x:c r="J1832" s="37" t="n">
        <x:v>1</x:v>
      </x:c>
      <x:c r="K1832" s="37" t="n">
        <x:f>F1832*G1832*H1832*I1832*J1832</x:f>
        <x:v>3234.816</x:v>
      </x:c>
      <x:c r="L1832" s="36" t="str">
        <x:v>Window openings excluded by glazing share</x:v>
      </x:c>
      <x:c r="M1832" s="1"/>
      <x:c r="N1832" s="1"/>
      <x:c r="O1832" s="1"/>
      <x:c r="P1832" s="1"/>
      <x:c r="Q1832" s="1"/>
    </x:row>
    <x:row r="1833" ht="22" customHeight="1">
      <x:c r="A1833" s="1" t="str">
        <x:v>M1826</x:v>
      </x:c>
      <x:c r="B1833" s="1" t="str">
        <x:v>EN04</x:v>
      </x:c>
      <x:c r="C1833" s="1" t="str">
        <x:v>T4</x:v>
      </x:c>
      <x:c r="D1833" s="1" t="str">
        <x:v>ALL</x:v>
      </x:c>
      <x:c r="E1833" s="1" t="str">
        <x:v>External glazing</x:v>
      </x:c>
      <x:c r="F1833" s="35" t="n">
        <x:v>1</x:v>
      </x:c>
      <x:c r="G1833" s="35" t="n">
        <x:f>2*('Controls'!$B$10+'Controls'!$B$11)</x:f>
        <x:v>108</x:v>
      </x:c>
      <x:c r="H1833" s="35" t="n">
        <x:f>'Controls'!$B$9*'Controls'!$B$12</x:f>
        <x:v>41.6</x:v>
      </x:c>
      <x:c r="I1833" s="35" t="n">
        <x:f>'Controls'!$B$47</x:f>
        <x:v>0.28</x:v>
      </x:c>
      <x:c r="J1833" s="35" t="n">
        <x:v>1</x:v>
      </x:c>
      <x:c r="K1833" s="35" t="n">
        <x:f>F1833*G1833*H1833*I1833*J1833</x:f>
        <x:v>1257.9840000000002</x:v>
      </x:c>
      <x:c r="L1833" s="1" t="str">
        <x:v>Same elevation basis as opaque facade</x:v>
      </x:c>
      <x:c r="M1833" s="1"/>
      <x:c r="N1833" s="1"/>
      <x:c r="O1833" s="1"/>
      <x:c r="P1833" s="1"/>
      <x:c r="Q1833" s="1"/>
    </x:row>
    <x:row r="1834" ht="22" customHeight="1">
      <x:c r="A1834" s="36" t="str">
        <x:v>M1827</x:v>
      </x:c>
      <x:c r="B1834" s="36" t="str">
        <x:v>EN02</x:v>
      </x:c>
      <x:c r="C1834" s="36" t="str">
        <x:v>T5</x:v>
      </x:c>
      <x:c r="D1834" s="36" t="str">
        <x:v>ROOF</x:v>
      </x:c>
      <x:c r="E1834" s="36" t="str">
        <x:v>Tower roof membrane</x:v>
      </x:c>
      <x:c r="F1834" s="37" t="n">
        <x:v>1</x:v>
      </x:c>
      <x:c r="G1834" s="37" t="n">
        <x:f>'Controls'!$B$10</x:f>
        <x:v>30</x:v>
      </x:c>
      <x:c r="H1834" s="37" t="n">
        <x:f>'Controls'!$B$11</x:f>
        <x:v>24</x:v>
      </x:c>
      <x:c r="I1834" s="37" t="n">
        <x:v>1</x:v>
      </x:c>
      <x:c r="J1834" s="37" t="n">
        <x:v>1</x:v>
      </x:c>
      <x:c r="K1834" s="37" t="n">
        <x:f>F1834*G1834*H1834*I1834*J1834</x:f>
        <x:v>720</x:v>
      </x:c>
      <x:c r="L1834" s="36" t="str">
        <x:v>Roof opening covered by stair enclosure, gross footprint</x:v>
      </x:c>
      <x:c r="M1834" s="1"/>
      <x:c r="N1834" s="1"/>
      <x:c r="O1834" s="1"/>
      <x:c r="P1834" s="1"/>
      <x:c r="Q1834" s="1"/>
    </x:row>
    <x:row r="1835" ht="22" customHeight="1">
      <x:c r="A1835" s="1" t="str">
        <x:v>M1828</x:v>
      </x:c>
      <x:c r="B1835" s="1" t="str">
        <x:v>EN03</x:v>
      </x:c>
      <x:c r="C1835" s="1" t="str">
        <x:v>T5</x:v>
      </x:c>
      <x:c r="D1835" s="1" t="str">
        <x:v>ALL</x:v>
      </x:c>
      <x:c r="E1835" s="1" t="str">
        <x:v>Opaque facade</x:v>
      </x:c>
      <x:c r="F1835" s="35" t="n">
        <x:v>1</x:v>
      </x:c>
      <x:c r="G1835" s="35" t="n">
        <x:f>2*('Controls'!$B$10+'Controls'!$B$11)</x:f>
        <x:v>108</x:v>
      </x:c>
      <x:c r="H1835" s="35" t="n">
        <x:f>'Controls'!$B$9*'Controls'!$B$12</x:f>
        <x:v>41.6</x:v>
      </x:c>
      <x:c r="I1835" s="35" t="n">
        <x:f>1-'Controls'!$B$47</x:f>
        <x:v>0.72</x:v>
      </x:c>
      <x:c r="J1835" s="35" t="n">
        <x:v>1</x:v>
      </x:c>
      <x:c r="K1835" s="35" t="n">
        <x:f>F1835*G1835*H1835*I1835*J1835</x:f>
        <x:v>3234.816</x:v>
      </x:c>
      <x:c r="L1835" s="1" t="str">
        <x:v>Window openings excluded by glazing share</x:v>
      </x:c>
      <x:c r="M1835" s="1"/>
      <x:c r="N1835" s="1"/>
      <x:c r="O1835" s="1"/>
      <x:c r="P1835" s="1"/>
      <x:c r="Q1835" s="1"/>
    </x:row>
    <x:row r="1836" ht="22" customHeight="1">
      <x:c r="A1836" s="36" t="str">
        <x:v>M1829</x:v>
      </x:c>
      <x:c r="B1836" s="36" t="str">
        <x:v>EN04</x:v>
      </x:c>
      <x:c r="C1836" s="36" t="str">
        <x:v>T5</x:v>
      </x:c>
      <x:c r="D1836" s="36" t="str">
        <x:v>ALL</x:v>
      </x:c>
      <x:c r="E1836" s="36" t="str">
        <x:v>External glazing</x:v>
      </x:c>
      <x:c r="F1836" s="37" t="n">
        <x:v>1</x:v>
      </x:c>
      <x:c r="G1836" s="37" t="n">
        <x:f>2*('Controls'!$B$10+'Controls'!$B$11)</x:f>
        <x:v>108</x:v>
      </x:c>
      <x:c r="H1836" s="37" t="n">
        <x:f>'Controls'!$B$9*'Controls'!$B$12</x:f>
        <x:v>41.6</x:v>
      </x:c>
      <x:c r="I1836" s="37" t="n">
        <x:f>'Controls'!$B$47</x:f>
        <x:v>0.28</x:v>
      </x:c>
      <x:c r="J1836" s="37" t="n">
        <x:v>1</x:v>
      </x:c>
      <x:c r="K1836" s="37" t="n">
        <x:f>F1836*G1836*H1836*I1836*J1836</x:f>
        <x:v>1257.9840000000002</x:v>
      </x:c>
      <x:c r="L1836" s="36" t="str">
        <x:v>Same elevation basis as opaque facade</x:v>
      </x:c>
      <x:c r="M1836" s="1"/>
      <x:c r="N1836" s="1"/>
      <x:c r="O1836" s="1"/>
      <x:c r="P1836" s="1"/>
      <x:c r="Q1836" s="1"/>
    </x:row>
    <x:row r="1837" ht="22" customHeight="1">
      <x:c r="A1837" s="1" t="str">
        <x:v>M1830</x:v>
      </x:c>
      <x:c r="B1837" s="1" t="str">
        <x:v>EN02</x:v>
      </x:c>
      <x:c r="C1837" s="1" t="str">
        <x:v>T6</x:v>
      </x:c>
      <x:c r="D1837" s="1" t="str">
        <x:v>ROOF</x:v>
      </x:c>
      <x:c r="E1837" s="1" t="str">
        <x:v>Tower roof membrane</x:v>
      </x:c>
      <x:c r="F1837" s="35" t="n">
        <x:v>1</x:v>
      </x:c>
      <x:c r="G1837" s="35" t="n">
        <x:f>'Controls'!$B$10</x:f>
        <x:v>30</x:v>
      </x:c>
      <x:c r="H1837" s="35" t="n">
        <x:f>'Controls'!$B$11</x:f>
        <x:v>24</x:v>
      </x:c>
      <x:c r="I1837" s="35" t="n">
        <x:v>1</x:v>
      </x:c>
      <x:c r="J1837" s="35" t="n">
        <x:v>1</x:v>
      </x:c>
      <x:c r="K1837" s="35" t="n">
        <x:f>F1837*G1837*H1837*I1837*J1837</x:f>
        <x:v>720</x:v>
      </x:c>
      <x:c r="L1837" s="1" t="str">
        <x:v>Roof opening covered by stair enclosure, gross footprint</x:v>
      </x:c>
      <x:c r="M1837" s="1"/>
      <x:c r="N1837" s="1"/>
      <x:c r="O1837" s="1"/>
      <x:c r="P1837" s="1"/>
      <x:c r="Q1837" s="1"/>
    </x:row>
    <x:row r="1838" ht="22" customHeight="1">
      <x:c r="A1838" s="36" t="str">
        <x:v>M1831</x:v>
      </x:c>
      <x:c r="B1838" s="36" t="str">
        <x:v>EN03</x:v>
      </x:c>
      <x:c r="C1838" s="36" t="str">
        <x:v>T6</x:v>
      </x:c>
      <x:c r="D1838" s="36" t="str">
        <x:v>ALL</x:v>
      </x:c>
      <x:c r="E1838" s="36" t="str">
        <x:v>Opaque facade</x:v>
      </x:c>
      <x:c r="F1838" s="37" t="n">
        <x:v>1</x:v>
      </x:c>
      <x:c r="G1838" s="37" t="n">
        <x:f>2*('Controls'!$B$10+'Controls'!$B$11)</x:f>
        <x:v>108</x:v>
      </x:c>
      <x:c r="H1838" s="37" t="n">
        <x:f>'Controls'!$B$9*'Controls'!$B$12</x:f>
        <x:v>41.6</x:v>
      </x:c>
      <x:c r="I1838" s="37" t="n">
        <x:f>1-'Controls'!$B$47</x:f>
        <x:v>0.72</x:v>
      </x:c>
      <x:c r="J1838" s="37" t="n">
        <x:v>1</x:v>
      </x:c>
      <x:c r="K1838" s="37" t="n">
        <x:f>F1838*G1838*H1838*I1838*J1838</x:f>
        <x:v>3234.816</x:v>
      </x:c>
      <x:c r="L1838" s="36" t="str">
        <x:v>Window openings excluded by glazing share</x:v>
      </x:c>
      <x:c r="M1838" s="1"/>
      <x:c r="N1838" s="1"/>
      <x:c r="O1838" s="1"/>
      <x:c r="P1838" s="1"/>
      <x:c r="Q1838" s="1"/>
    </x:row>
    <x:row r="1839" ht="22" customHeight="1">
      <x:c r="A1839" s="1" t="str">
        <x:v>M1832</x:v>
      </x:c>
      <x:c r="B1839" s="1" t="str">
        <x:v>EN04</x:v>
      </x:c>
      <x:c r="C1839" s="1" t="str">
        <x:v>T6</x:v>
      </x:c>
      <x:c r="D1839" s="1" t="str">
        <x:v>ALL</x:v>
      </x:c>
      <x:c r="E1839" s="1" t="str">
        <x:v>External glazing</x:v>
      </x:c>
      <x:c r="F1839" s="35" t="n">
        <x:v>1</x:v>
      </x:c>
      <x:c r="G1839" s="35" t="n">
        <x:f>2*('Controls'!$B$10+'Controls'!$B$11)</x:f>
        <x:v>108</x:v>
      </x:c>
      <x:c r="H1839" s="35" t="n">
        <x:f>'Controls'!$B$9*'Controls'!$B$12</x:f>
        <x:v>41.6</x:v>
      </x:c>
      <x:c r="I1839" s="35" t="n">
        <x:f>'Controls'!$B$47</x:f>
        <x:v>0.28</x:v>
      </x:c>
      <x:c r="J1839" s="35" t="n">
        <x:v>1</x:v>
      </x:c>
      <x:c r="K1839" s="35" t="n">
        <x:f>F1839*G1839*H1839*I1839*J1839</x:f>
        <x:v>1257.9840000000002</x:v>
      </x:c>
      <x:c r="L1839" s="1" t="str">
        <x:v>Same elevation basis as opaque facade</x:v>
      </x:c>
      <x:c r="M1839" s="1"/>
      <x:c r="N1839" s="1"/>
      <x:c r="O1839" s="1"/>
      <x:c r="P1839" s="1"/>
      <x:c r="Q1839" s="1"/>
    </x:row>
    <x:row r="1840" ht="22" customHeight="1">
      <x:c r="A1840" s="36" t="str">
        <x:v>M1833</x:v>
      </x:c>
      <x:c r="B1840" s="36" t="str">
        <x:v>EX01</x:v>
      </x:c>
      <x:c r="C1840" s="36" t="str">
        <x:v>SITE</x:v>
      </x:c>
      <x:c r="D1840" s="36" t="str">
        <x:v>EXT</x:v>
      </x:c>
      <x:c r="E1840" s="36" t="str">
        <x:v>Paved roads and circulation</x:v>
      </x:c>
      <x:c r="F1840" s="37" t="n">
        <x:v>1</x:v>
      </x:c>
      <x:c r="G1840" s="37" t="n">
        <x:v>180</x:v>
      </x:c>
      <x:c r="H1840" s="37" t="n">
        <x:v>25</x:v>
      </x:c>
      <x:c r="I1840" s="37" t="n">
        <x:v>1</x:v>
      </x:c>
      <x:c r="J1840" s="37" t="n">
        <x:v>1</x:v>
      </x:c>
      <x:c r="K1840" s="37" t="n">
        <x:f>F1840*G1840*H1840*I1840*J1840</x:f>
        <x:v>4500</x:v>
      </x:c>
      <x:c r="L1840" s="36" t="str">
        <x:v>Concept external area, not entire plot</x:v>
      </x:c>
      <x:c r="M1840" s="1"/>
      <x:c r="N1840" s="1"/>
      <x:c r="O1840" s="1"/>
      <x:c r="P1840" s="1"/>
      <x:c r="Q1840" s="1"/>
    </x:row>
    <x:row r="1841" ht="22" customHeight="1">
      <x:c r="A1841" s="1" t="str">
        <x:v>M1834</x:v>
      </x:c>
      <x:c r="B1841" s="1" t="str">
        <x:v>EX02</x:v>
      </x:c>
      <x:c r="C1841" s="1" t="str">
        <x:v>SITE</x:v>
      </x:c>
      <x:c r="D1841" s="1" t="str">
        <x:v>EXT</x:v>
      </x:c>
      <x:c r="E1841" s="1" t="str">
        <x:v>Stormwater pipe</x:v>
      </x:c>
      <x:c r="F1841" s="35" t="n">
        <x:v>1</x:v>
      </x:c>
      <x:c r="G1841" s="35" t="n">
        <x:v>960</x:v>
      </x:c>
      <x:c r="H1841" s="35" t="n">
        <x:v>1</x:v>
      </x:c>
      <x:c r="I1841" s="35" t="n">
        <x:v>1</x:v>
      </x:c>
      <x:c r="J1841" s="35" t="n">
        <x:v>1</x:v>
      </x:c>
      <x:c r="K1841" s="35" t="n">
        <x:f>F1841*G1841*H1841*I1841*J1841</x:f>
        <x:v>960</x:v>
      </x:c>
      <x:c r="L1841" s="1" t="str">
        <x:v>Four collector runs at 240 m</x:v>
      </x:c>
      <x:c r="M1841" s="1"/>
      <x:c r="N1841" s="1"/>
      <x:c r="O1841" s="1"/>
      <x:c r="P1841" s="1"/>
      <x:c r="Q1841" s="1"/>
    </x:row>
    <x:row r="1842" ht="22" customHeight="1">
      <x:c r="A1842" s="36" t="str">
        <x:v>M1835</x:v>
      </x:c>
      <x:c r="B1842" s="36" t="str">
        <x:v>EX03</x:v>
      </x:c>
      <x:c r="C1842" s="36" t="str">
        <x:v>SITE</x:v>
      </x:c>
      <x:c r="D1842" s="36" t="str">
        <x:v>EXT</x:v>
      </x:c>
      <x:c r="E1842" s="36" t="str">
        <x:v>Inspection chambers</x:v>
      </x:c>
      <x:c r="F1842" s="37" t="n">
        <x:v>24</x:v>
      </x:c>
      <x:c r="G1842" s="37" t="n">
        <x:v>1</x:v>
      </x:c>
      <x:c r="H1842" s="37" t="n">
        <x:v>1</x:v>
      </x:c>
      <x:c r="I1842" s="37" t="n">
        <x:v>1</x:v>
      </x:c>
      <x:c r="J1842" s="37" t="n">
        <x:v>1</x:v>
      </x:c>
      <x:c r="K1842" s="37" t="n">
        <x:f>F1842*G1842*H1842*I1842*J1842</x:f>
        <x:v>24</x:v>
      </x:c>
      <x:c r="L1842" s="36" t="str">
        <x:v>One per 40 m, nominal concept spacing</x:v>
      </x:c>
      <x:c r="M1842" s="1"/>
      <x:c r="N1842" s="1"/>
      <x:c r="O1842" s="1"/>
      <x:c r="P1842" s="1"/>
      <x:c r="Q1842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0" hidden="0" customWidth="1"/>
    <x:col min="4" max="4" width="32" hidden="0" customWidth="1"/>
    <x:col min="5" max="5" width="12" hidden="0" customWidth="1"/>
    <x:col min="6" max="6" width="14" hidden="0" customWidth="1"/>
    <x:col min="7" max="7" width="17" hidden="0" customWidth="1"/>
    <x:col min="8" max="8" width="16" hidden="0" customWidth="1"/>
    <x:col min="9" max="9" width="18" hidden="0" customWidth="1"/>
    <x:col min="10" max="10" width="7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Reinforcement quantity schedule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Preliminary quantity model. Not a fabrication BBS or structural reinforcement design.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Bar mark</x:v>
      </x:c>
      <x:c r="B7" s="6" t="str">
        <x:v>Zone</x:v>
      </x:c>
      <x:c r="C7" s="6" t="str">
        <x:v>Level</x:v>
      </x:c>
      <x:c r="D7" s="6" t="str">
        <x:v>Element</x:v>
      </x:c>
      <x:c r="E7" s="6" t="str">
        <x:v>Dia mm</x:v>
      </x:c>
      <x:c r="F7" s="6" t="str">
        <x:v>Count</x:v>
      </x:c>
      <x:c r="G7" s="6" t="str">
        <x:v>Cut length m</x:v>
      </x:c>
      <x:c r="H7" s="6" t="str">
        <x:v>Mass kg/m</x:v>
      </x:c>
      <x:c r="I7" s="6" t="str">
        <x:v>Net mass kg</x:v>
      </x:c>
      <x:c r="J7" s="6" t="str">
        <x:v>Scheduling basis</x:v>
      </x:c>
      <x:c r="K7" s="2"/>
      <x:c r="L7" s="2"/>
      <x:c r="M7" s="2"/>
      <x:c r="N7" s="2"/>
      <x:c r="O7" s="2"/>
      <x:c r="P7" s="2"/>
      <x:c r="Q7" s="2"/>
    </x:row>
    <x:row r="8" ht="22" customHeight="1">
      <x:c r="A8" s="7" t="str">
        <x:v>T1-L00-S1</x:v>
      </x:c>
      <x:c r="B8" s="7" t="str">
        <x:v>T1</x:v>
      </x:c>
      <x:c r="C8" s="7" t="str">
        <x:v>L00</x:v>
      </x:c>
      <x:c r="D8" s="7" t="str">
        <x:v>Slab X through strips</x:v>
      </x:c>
      <x:c r="E8" s="20" t="n">
        <x:v>12</x:v>
      </x:c>
      <x:c r="F8" s="20" t="n">
        <x:v>182</x:v>
      </x:c>
      <x:c r="G8" s="20" t="n">
        <x:v>29.95</x:v>
      </x:c>
      <x:c r="H8" s="20" t="n">
        <x:f>E8^2*'Controls'!$B$52</x:f>
        <x:v>0.8877600000000001</x:v>
      </x:c>
      <x:c r="I8" s="20" t="n">
        <x:f>F8*G8*H8</x:f>
        <x:v>4839.090984</x:v>
      </x:c>
      <x:c r="J8" s="7" t="str">
        <x:v>2 layers x 91 bars outside central opening band</x:v>
      </x:c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T1-L00-S2</x:v>
      </x:c>
      <x:c r="B9" s="2" t="str">
        <x:v>T1</x:v>
      </x:c>
      <x:c r="C9" s="2" t="str">
        <x:v>L00</x:v>
      </x:c>
      <x:c r="D9" s="2" t="str">
        <x:v>Slab X split at core</x:v>
      </x:c>
      <x:c r="E9" s="21" t="n">
        <x:v>12</x:v>
      </x:c>
      <x:c r="F9" s="21" t="n">
        <x:v>60</x:v>
      </x:c>
      <x:c r="G9" s="21" t="n">
        <x:v>25.95</x:v>
      </x:c>
      <x:c r="H9" s="21" t="n">
        <x:f>E9^2*'Controls'!$B$52</x:f>
        <x:v>0.8877600000000001</x:v>
      </x:c>
      <x:c r="I9" s="21" t="n">
        <x:f>F9*G9*H9</x:f>
        <x:v>1382.24232</x:v>
      </x:c>
      <x:c r="J9" s="2" t="str">
        <x:v>2 layers x 30 bars, split lengths combined around 4 m opening</x:v>
      </x:c>
      <x:c r="K9" s="2"/>
      <x:c r="L9" s="2"/>
      <x:c r="M9" s="2"/>
      <x:c r="N9" s="2"/>
      <x:c r="O9" s="2"/>
      <x:c r="P9" s="2"/>
      <x:c r="Q9" s="2"/>
    </x:row>
    <x:row r="10" ht="22" customHeight="1">
      <x:c r="A10" s="7" t="str">
        <x:v>T1-L00-S3</x:v>
      </x:c>
      <x:c r="B10" s="7" t="str">
        <x:v>T1</x:v>
      </x:c>
      <x:c r="C10" s="7" t="str">
        <x:v>L00</x:v>
      </x:c>
      <x:c r="D10" s="7" t="str">
        <x:v>Slab Y through strips</x:v>
      </x:c>
      <x:c r="E10" s="20" t="n">
        <x:v>12</x:v>
      </x:c>
      <x:c r="F10" s="20" t="n">
        <x:v>262</x:v>
      </x:c>
      <x:c r="G10" s="20" t="n">
        <x:v>23.95</x:v>
      </x:c>
      <x:c r="H10" s="20" t="n">
        <x:f>E10^2*'Controls'!$B$52</x:f>
        <x:v>0.8877600000000001</x:v>
      </x:c>
      <x:c r="I10" s="20" t="n">
        <x:f>F10*G10*H10</x:f>
        <x:v>5570.605224</x:v>
      </x:c>
      <x:c r="J10" s="7" t="str">
        <x:v>2 layers x 131 bars outside central opening band</x:v>
      </x:c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T1-L00-S4</x:v>
      </x:c>
      <x:c r="B11" s="2" t="str">
        <x:v>T1</x:v>
      </x:c>
      <x:c r="C11" s="2" t="str">
        <x:v>L00</x:v>
      </x:c>
      <x:c r="D11" s="2" t="str">
        <x:v>Slab Y split at core</x:v>
      </x:c>
      <x:c r="E11" s="21" t="n">
        <x:v>12</x:v>
      </x:c>
      <x:c r="F11" s="21" t="n">
        <x:v>40</x:v>
      </x:c>
      <x:c r="G11" s="21" t="n">
        <x:v>17.95</x:v>
      </x:c>
      <x:c r="H11" s="21" t="n">
        <x:f>E11^2*'Controls'!$B$52</x:f>
        <x:v>0.8877600000000001</x:v>
      </x:c>
      <x:c r="I11" s="21" t="n">
        <x:f>F11*G11*H11</x:f>
        <x:v>637.41168</x:v>
      </x:c>
      <x:c r="J11" s="2" t="str">
        <x:v>2 layers x 20 bars, split around 6 m opening</x:v>
      </x:c>
      <x:c r="K11" s="2"/>
      <x:c r="L11" s="2"/>
      <x:c r="M11" s="2"/>
      <x:c r="N11" s="2"/>
      <x:c r="O11" s="2"/>
      <x:c r="P11" s="2"/>
      <x:c r="Q11" s="2"/>
    </x:row>
    <x:row r="12" ht="22" customHeight="1">
      <x:c r="A12" s="7" t="str">
        <x:v>T1-L00-S5</x:v>
      </x:c>
      <x:c r="B12" s="7" t="str">
        <x:v>T1</x:v>
      </x:c>
      <x:c r="C12" s="7" t="str">
        <x:v>L00</x:v>
      </x:c>
      <x:c r="D12" s="7" t="str">
        <x:v>Opening trim bars</x:v>
      </x:c>
      <x:c r="E12" s="20" t="n">
        <x:v>16</x:v>
      </x:c>
      <x:c r="F12" s="20" t="n">
        <x:v>16</x:v>
      </x:c>
      <x:c r="G12" s="20" t="n">
        <x:v>7.2</x:v>
      </x:c>
      <x:c r="H12" s="20" t="n">
        <x:f>E12^2*'Controls'!$B$52</x:f>
        <x:v>1.57824</x:v>
      </x:c>
      <x:c r="I12" s="20" t="n">
        <x:f>F12*G12*H12</x:f>
        <x:v>181.81324800000002</x:v>
      </x:c>
      <x:c r="J12" s="7" t="str">
        <x:v>Trim allowance, explicit scheduled lengths</x:v>
      </x:c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T1-L00-BX</x:v>
      </x:c>
      <x:c r="B13" s="2" t="str">
        <x:v>T1</x:v>
      </x:c>
      <x:c r="C13" s="2" t="str">
        <x:v>L00</x:v>
      </x:c>
      <x:c r="D13" s="2" t="str">
        <x:v>X beam longitudinal</x:v>
      </x:c>
      <x:c r="E13" s="21" t="n">
        <x:v>20</x:v>
      </x:c>
      <x:c r="F13" s="21" t="n">
        <x:v>150</x:v>
      </x:c>
      <x:c r="G13" s="21" t="n">
        <x:v>6.5</x:v>
      </x:c>
      <x:c r="H13" s="21" t="n">
        <x:f>E13^2*'Controls'!$B$52</x:f>
        <x:v>2.466</x:v>
      </x:c>
      <x:c r="I13" s="21" t="n">
        <x:f>F13*G13*H13</x:f>
        <x:v>2404.3500000000004</x:v>
      </x:c>
      <x:c r="J13" s="2" t="str">
        <x:v>25 spans x 6 bars incl. 1 m lap/anchorage provision</x:v>
      </x:c>
      <x:c r="K13" s="2"/>
      <x:c r="L13" s="2"/>
      <x:c r="M13" s="2"/>
      <x:c r="N13" s="2"/>
      <x:c r="O13" s="2"/>
      <x:c r="P13" s="2"/>
      <x:c r="Q13" s="2"/>
    </x:row>
    <x:row r="14" ht="22" customHeight="1">
      <x:c r="A14" s="7" t="str">
        <x:v>T1-L00-BY</x:v>
      </x:c>
      <x:c r="B14" s="7" t="str">
        <x:v>T1</x:v>
      </x:c>
      <x:c r="C14" s="7" t="str">
        <x:v>L00</x:v>
      </x:c>
      <x:c r="D14" s="7" t="str">
        <x:v>Y beam longitudinal</x:v>
      </x:c>
      <x:c r="E14" s="20" t="n">
        <x:v>20</x:v>
      </x:c>
      <x:c r="F14" s="20" t="n">
        <x:v>144</x:v>
      </x:c>
      <x:c r="G14" s="20" t="n">
        <x:v>6.5</x:v>
      </x:c>
      <x:c r="H14" s="20" t="n">
        <x:f>E14^2*'Controls'!$B$52</x:f>
        <x:v>2.466</x:v>
      </x:c>
      <x:c r="I14" s="20" t="n">
        <x:f>F14*G14*H14</x:f>
        <x:v>2308.1760000000004</x:v>
      </x:c>
      <x:c r="J14" s="7" t="str">
        <x:v>24 spans x 6 bars</x:v>
      </x:c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v>T1-L00-BT</x:v>
      </x:c>
      <x:c r="B15" s="2" t="str">
        <x:v>T1</x:v>
      </x:c>
      <x:c r="C15" s="2" t="str">
        <x:v>L00</x:v>
      </x:c>
      <x:c r="D15" s="2" t="str">
        <x:v>Beam closed links</x:v>
      </x:c>
      <x:c r="E15" s="21" t="n">
        <x:v>10</x:v>
      </x:c>
      <x:c r="F15" s="21" t="n">
        <x:v>1421</x:v>
      </x:c>
      <x:c r="G15" s="21" t="n">
        <x:v>1.7</x:v>
      </x:c>
      <x:c r="H15" s="21" t="n">
        <x:f>E15^2*'Controls'!$B$52</x:f>
        <x:v>0.6165</x:v>
      </x:c>
      <x:c r="I15" s="21" t="n">
        <x:f>F15*G15*H15</x:f>
        <x:v>1489.27905</x:v>
      </x:c>
      <x:c r="J15" s="2" t="str">
        <x:v>49 beams x 29 links, 200 mm nominal</x:v>
      </x:c>
      <x:c r="K15" s="2"/>
      <x:c r="L15" s="2"/>
      <x:c r="M15" s="2"/>
      <x:c r="N15" s="2"/>
      <x:c r="O15" s="2"/>
      <x:c r="P15" s="2"/>
      <x:c r="Q15" s="2"/>
    </x:row>
    <x:row r="16" ht="22" customHeight="1">
      <x:c r="A16" s="7" t="str">
        <x:v>T1-L00-CL</x:v>
      </x:c>
      <x:c r="B16" s="7" t="str">
        <x:v>T1</x:v>
      </x:c>
      <x:c r="C16" s="7" t="str">
        <x:v>L00</x:v>
      </x:c>
      <x:c r="D16" s="7" t="str">
        <x:v>Column longitudinal</x:v>
      </x:c>
      <x:c r="E16" s="20" t="n">
        <x:v>25</x:v>
      </x:c>
      <x:c r="F16" s="20" t="n">
        <x:v>360</x:v>
      </x:c>
      <x:c r="G16" s="20" t="n">
        <x:v>3.9</x:v>
      </x:c>
      <x:c r="H16" s="20" t="n">
        <x:f>E16^2*'Controls'!$B$52</x:f>
        <x:v>3.8531250000000004</x:v>
      </x:c>
      <x:c r="I16" s="20" t="n">
        <x:f>F16*G16*H16</x:f>
        <x:v>5409.7875</x:v>
      </x:c>
      <x:c r="J16" s="7" t="str">
        <x:v>30 columns x 12 bars incl. lap</x:v>
      </x:c>
      <x:c r="K16" s="2"/>
      <x:c r="L16" s="2"/>
      <x:c r="M16" s="2"/>
      <x:c r="N16" s="2"/>
      <x:c r="O16" s="2"/>
      <x:c r="P16" s="2"/>
      <x:c r="Q16" s="2"/>
    </x:row>
    <x:row r="17" ht="22" customHeight="1">
      <x:c r="A17" s="2" t="str">
        <x:v>T1-L00-CT</x:v>
      </x:c>
      <x:c r="B17" s="2" t="str">
        <x:v>T1</x:v>
      </x:c>
      <x:c r="C17" s="2" t="str">
        <x:v>L00</x:v>
      </x:c>
      <x:c r="D17" s="2" t="str">
        <x:v>Column ties</x:v>
      </x:c>
      <x:c r="E17" s="21" t="n">
        <x:v>10</x:v>
      </x:c>
      <x:c r="F17" s="21" t="n">
        <x:v>510</x:v>
      </x:c>
      <x:c r="G17" s="21" t="n">
        <x:v>1.96</x:v>
      </x:c>
      <x:c r="H17" s="21" t="n">
        <x:f>E17^2*'Controls'!$B$52</x:f>
        <x:v>0.6165</x:v>
      </x:c>
      <x:c r="I17" s="21" t="n">
        <x:f>F17*G17*H17</x:f>
        <x:v>616.2534</x:v>
      </x:c>
      <x:c r="J17" s="2" t="str">
        <x:v>30 columns x 17 ties, cover and hooks included</x:v>
      </x:c>
      <x:c r="K17" s="2"/>
      <x:c r="L17" s="2"/>
      <x:c r="M17" s="2"/>
      <x:c r="N17" s="2"/>
      <x:c r="O17" s="2"/>
      <x:c r="P17" s="2"/>
      <x:c r="Q17" s="2"/>
    </x:row>
    <x:row r="18" ht="22" customHeight="1">
      <x:c r="A18" s="7" t="str">
        <x:v>T1-L00-CV</x:v>
      </x:c>
      <x:c r="B18" s="7" t="str">
        <x:v>T1</x:v>
      </x:c>
      <x:c r="C18" s="7" t="str">
        <x:v>L00</x:v>
      </x:c>
      <x:c r="D18" s="7" t="str">
        <x:v>Core vertical bars</x:v>
      </x:c>
      <x:c r="E18" s="20" t="n">
        <x:v>16</x:v>
      </x:c>
      <x:c r="F18" s="20" t="n">
        <x:v>244</x:v>
      </x:c>
      <x:c r="G18" s="20" t="n">
        <x:v>3.9</x:v>
      </x:c>
      <x:c r="H18" s="20" t="n">
        <x:f>E18^2*'Controls'!$B$52</x:f>
        <x:v>1.57824</x:v>
      </x:c>
      <x:c r="I18" s="20" t="n">
        <x:f>F18*G18*H18</x:f>
        <x:v>1501.853184</x:v>
      </x:c>
      <x:c r="J18" s="7" t="str">
        <x:v>Two faces, 200 mm nominal along 24 m net length</x:v>
      </x:c>
      <x:c r="K18" s="2"/>
      <x:c r="L18" s="2"/>
      <x:c r="M18" s="2"/>
      <x:c r="N18" s="2"/>
      <x:c r="O18" s="2"/>
      <x:c r="P18" s="2"/>
      <x:c r="Q18" s="2"/>
    </x:row>
    <x:row r="19" ht="22" customHeight="1">
      <x:c r="A19" s="2" t="str">
        <x:v>T1-L00-CH</x:v>
      </x:c>
      <x:c r="B19" s="2" t="str">
        <x:v>T1</x:v>
      </x:c>
      <x:c r="C19" s="2" t="str">
        <x:v>L00</x:v>
      </x:c>
      <x:c r="D19" s="2" t="str">
        <x:v>Core horizontal bars</x:v>
      </x:c>
      <x:c r="E19" s="21" t="n">
        <x:v>12</x:v>
      </x:c>
      <x:c r="F19" s="21" t="n">
        <x:v>32</x:v>
      </x:c>
      <x:c r="G19" s="21" t="n">
        <x:v>25</x:v>
      </x:c>
      <x:c r="H19" s="21" t="n">
        <x:f>E19^2*'Controls'!$B$52</x:f>
        <x:v>0.8877600000000001</x:v>
      </x:c>
      <x:c r="I19" s="21" t="n">
        <x:f>F19*G19*H19</x:f>
        <x:v>710.2080000000001</x:v>
      </x:c>
      <x:c r="J19" s="2" t="str">
        <x:v>Two faces x 16 layers incl. lap</x:v>
      </x:c>
      <x:c r="K19" s="2"/>
      <x:c r="L19" s="2"/>
      <x:c r="M19" s="2"/>
      <x:c r="N19" s="2"/>
      <x:c r="O19" s="2"/>
      <x:c r="P19" s="2"/>
      <x:c r="Q19" s="2"/>
    </x:row>
    <x:row r="20" ht="22" customHeight="1">
      <x:c r="A20" s="7" t="str">
        <x:v>T1-L00-ST</x:v>
      </x:c>
      <x:c r="B20" s="7" t="str">
        <x:v>T1</x:v>
      </x:c>
      <x:c r="C20" s="7" t="str">
        <x:v>L00</x:v>
      </x:c>
      <x:c r="D20" s="7" t="str">
        <x:v>Stair flights and landings</x:v>
      </x:c>
      <x:c r="E20" s="20" t="n">
        <x:v>12</x:v>
      </x:c>
      <x:c r="F20" s="20" t="n">
        <x:v>80</x:v>
      </x:c>
      <x:c r="G20" s="20" t="n">
        <x:v>4.8</x:v>
      </x:c>
      <x:c r="H20" s="20" t="n">
        <x:f>E20^2*'Controls'!$B$52</x:f>
        <x:v>0.8877600000000001</x:v>
      </x:c>
      <x:c r="I20" s="20" t="n">
        <x:f>F20*G20*H20</x:f>
        <x:v>340.89984000000004</x:v>
      </x:c>
      <x:c r="J20" s="7" t="str">
        <x:v>Separate stair reinforcement allowance</x:v>
      </x:c>
      <x:c r="K20" s="2"/>
      <x:c r="L20" s="2"/>
      <x:c r="M20" s="2"/>
      <x:c r="N20" s="2"/>
      <x:c r="O20" s="2"/>
      <x:c r="P20" s="2"/>
      <x:c r="Q20" s="2"/>
    </x:row>
    <x:row r="21" ht="22" customHeight="1">
      <x:c r="A21" s="2" t="str">
        <x:v>T1-L01-S1</x:v>
      </x:c>
      <x:c r="B21" s="2" t="str">
        <x:v>T1</x:v>
      </x:c>
      <x:c r="C21" s="2" t="str">
        <x:v>L01</x:v>
      </x:c>
      <x:c r="D21" s="2" t="str">
        <x:v>Slab X through strips</x:v>
      </x:c>
      <x:c r="E21" s="21" t="n">
        <x:v>12</x:v>
      </x:c>
      <x:c r="F21" s="21" t="n">
        <x:v>182</x:v>
      </x:c>
      <x:c r="G21" s="21" t="n">
        <x:v>29.95</x:v>
      </x:c>
      <x:c r="H21" s="21" t="n">
        <x:f>E21^2*'Controls'!$B$52</x:f>
        <x:v>0.8877600000000001</x:v>
      </x:c>
      <x:c r="I21" s="21" t="n">
        <x:f>F21*G21*H21</x:f>
        <x:v>4839.090984</x:v>
      </x:c>
      <x:c r="J21" s="2" t="str">
        <x:v>2 layers x 91 bars outside central opening band</x:v>
      </x:c>
      <x:c r="K21" s="2"/>
      <x:c r="L21" s="2"/>
      <x:c r="M21" s="2"/>
      <x:c r="N21" s="2"/>
      <x:c r="O21" s="2"/>
      <x:c r="P21" s="2"/>
      <x:c r="Q21" s="2"/>
    </x:row>
    <x:row r="22" ht="22" customHeight="1">
      <x:c r="A22" s="7" t="str">
        <x:v>T1-L01-S2</x:v>
      </x:c>
      <x:c r="B22" s="7" t="str">
        <x:v>T1</x:v>
      </x:c>
      <x:c r="C22" s="7" t="str">
        <x:v>L01</x:v>
      </x:c>
      <x:c r="D22" s="7" t="str">
        <x:v>Slab X split at core</x:v>
      </x:c>
      <x:c r="E22" s="20" t="n">
        <x:v>12</x:v>
      </x:c>
      <x:c r="F22" s="20" t="n">
        <x:v>60</x:v>
      </x:c>
      <x:c r="G22" s="20" t="n">
        <x:v>25.95</x:v>
      </x:c>
      <x:c r="H22" s="20" t="n">
        <x:f>E22^2*'Controls'!$B$52</x:f>
        <x:v>0.8877600000000001</x:v>
      </x:c>
      <x:c r="I22" s="20" t="n">
        <x:f>F22*G22*H22</x:f>
        <x:v>1382.24232</x:v>
      </x:c>
      <x:c r="J22" s="7" t="str">
        <x:v>2 layers x 30 bars, split lengths combined around 4 m opening</x:v>
      </x:c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v>T1-L01-S3</x:v>
      </x:c>
      <x:c r="B23" s="2" t="str">
        <x:v>T1</x:v>
      </x:c>
      <x:c r="C23" s="2" t="str">
        <x:v>L01</x:v>
      </x:c>
      <x:c r="D23" s="2" t="str">
        <x:v>Slab Y through strips</x:v>
      </x:c>
      <x:c r="E23" s="21" t="n">
        <x:v>12</x:v>
      </x:c>
      <x:c r="F23" s="21" t="n">
        <x:v>262</x:v>
      </x:c>
      <x:c r="G23" s="21" t="n">
        <x:v>23.95</x:v>
      </x:c>
      <x:c r="H23" s="21" t="n">
        <x:f>E23^2*'Controls'!$B$52</x:f>
        <x:v>0.8877600000000001</x:v>
      </x:c>
      <x:c r="I23" s="21" t="n">
        <x:f>F23*G23*H23</x:f>
        <x:v>5570.605224</x:v>
      </x:c>
      <x:c r="J23" s="2" t="str">
        <x:v>2 layers x 131 bars outside central opening band</x:v>
      </x:c>
      <x:c r="K23" s="2"/>
      <x:c r="L23" s="2"/>
      <x:c r="M23" s="2"/>
      <x:c r="N23" s="2"/>
      <x:c r="O23" s="2"/>
      <x:c r="P23" s="2"/>
      <x:c r="Q23" s="2"/>
    </x:row>
    <x:row r="24" ht="22" customHeight="1">
      <x:c r="A24" s="7" t="str">
        <x:v>T1-L01-S4</x:v>
      </x:c>
      <x:c r="B24" s="7" t="str">
        <x:v>T1</x:v>
      </x:c>
      <x:c r="C24" s="7" t="str">
        <x:v>L01</x:v>
      </x:c>
      <x:c r="D24" s="7" t="str">
        <x:v>Slab Y split at core</x:v>
      </x:c>
      <x:c r="E24" s="20" t="n">
        <x:v>12</x:v>
      </x:c>
      <x:c r="F24" s="20" t="n">
        <x:v>40</x:v>
      </x:c>
      <x:c r="G24" s="20" t="n">
        <x:v>17.95</x:v>
      </x:c>
      <x:c r="H24" s="20" t="n">
        <x:f>E24^2*'Controls'!$B$52</x:f>
        <x:v>0.8877600000000001</x:v>
      </x:c>
      <x:c r="I24" s="20" t="n">
        <x:f>F24*G24*H24</x:f>
        <x:v>637.41168</x:v>
      </x:c>
      <x:c r="J24" s="7" t="str">
        <x:v>2 layers x 20 bars, split around 6 m opening</x:v>
      </x:c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v>T1-L01-S5</x:v>
      </x:c>
      <x:c r="B25" s="2" t="str">
        <x:v>T1</x:v>
      </x:c>
      <x:c r="C25" s="2" t="str">
        <x:v>L01</x:v>
      </x:c>
      <x:c r="D25" s="2" t="str">
        <x:v>Opening trim bars</x:v>
      </x:c>
      <x:c r="E25" s="21" t="n">
        <x:v>16</x:v>
      </x:c>
      <x:c r="F25" s="21" t="n">
        <x:v>16</x:v>
      </x:c>
      <x:c r="G25" s="21" t="n">
        <x:v>7.2</x:v>
      </x:c>
      <x:c r="H25" s="21" t="n">
        <x:f>E25^2*'Controls'!$B$52</x:f>
        <x:v>1.57824</x:v>
      </x:c>
      <x:c r="I25" s="21" t="n">
        <x:f>F25*G25*H25</x:f>
        <x:v>181.81324800000002</x:v>
      </x:c>
      <x:c r="J25" s="2" t="str">
        <x:v>Trim allowance, explicit scheduled lengths</x:v>
      </x:c>
      <x:c r="K25" s="2"/>
      <x:c r="L25" s="2"/>
      <x:c r="M25" s="2"/>
      <x:c r="N25" s="2"/>
      <x:c r="O25" s="2"/>
      <x:c r="P25" s="2"/>
      <x:c r="Q25" s="2"/>
    </x:row>
    <x:row r="26" ht="22" customHeight="1">
      <x:c r="A26" s="7" t="str">
        <x:v>T1-L01-BX</x:v>
      </x:c>
      <x:c r="B26" s="7" t="str">
        <x:v>T1</x:v>
      </x:c>
      <x:c r="C26" s="7" t="str">
        <x:v>L01</x:v>
      </x:c>
      <x:c r="D26" s="7" t="str">
        <x:v>X beam longitudinal</x:v>
      </x:c>
      <x:c r="E26" s="20" t="n">
        <x:v>20</x:v>
      </x:c>
      <x:c r="F26" s="20" t="n">
        <x:v>150</x:v>
      </x:c>
      <x:c r="G26" s="20" t="n">
        <x:v>6.5</x:v>
      </x:c>
      <x:c r="H26" s="20" t="n">
        <x:f>E26^2*'Controls'!$B$52</x:f>
        <x:v>2.466</x:v>
      </x:c>
      <x:c r="I26" s="20" t="n">
        <x:f>F26*G26*H26</x:f>
        <x:v>2404.3500000000004</x:v>
      </x:c>
      <x:c r="J26" s="7" t="str">
        <x:v>25 spans x 6 bars incl. 1 m lap/anchorage provision</x:v>
      </x:c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v>T1-L01-BY</x:v>
      </x:c>
      <x:c r="B27" s="2" t="str">
        <x:v>T1</x:v>
      </x:c>
      <x:c r="C27" s="2" t="str">
        <x:v>L01</x:v>
      </x:c>
      <x:c r="D27" s="2" t="str">
        <x:v>Y beam longitudinal</x:v>
      </x:c>
      <x:c r="E27" s="21" t="n">
        <x:v>20</x:v>
      </x:c>
      <x:c r="F27" s="21" t="n">
        <x:v>144</x:v>
      </x:c>
      <x:c r="G27" s="21" t="n">
        <x:v>6.5</x:v>
      </x:c>
      <x:c r="H27" s="21" t="n">
        <x:f>E27^2*'Controls'!$B$52</x:f>
        <x:v>2.466</x:v>
      </x:c>
      <x:c r="I27" s="21" t="n">
        <x:f>F27*G27*H27</x:f>
        <x:v>2308.1760000000004</x:v>
      </x:c>
      <x:c r="J27" s="2" t="str">
        <x:v>24 spans x 6 bars</x:v>
      </x:c>
      <x:c r="K27" s="2"/>
      <x:c r="L27" s="2"/>
      <x:c r="M27" s="2"/>
      <x:c r="N27" s="2"/>
      <x:c r="O27" s="2"/>
      <x:c r="P27" s="2"/>
      <x:c r="Q27" s="2"/>
    </x:row>
    <x:row r="28" ht="22" customHeight="1">
      <x:c r="A28" s="7" t="str">
        <x:v>T1-L01-BT</x:v>
      </x:c>
      <x:c r="B28" s="7" t="str">
        <x:v>T1</x:v>
      </x:c>
      <x:c r="C28" s="7" t="str">
        <x:v>L01</x:v>
      </x:c>
      <x:c r="D28" s="7" t="str">
        <x:v>Beam closed links</x:v>
      </x:c>
      <x:c r="E28" s="20" t="n">
        <x:v>10</x:v>
      </x:c>
      <x:c r="F28" s="20" t="n">
        <x:v>1421</x:v>
      </x:c>
      <x:c r="G28" s="20" t="n">
        <x:v>1.7</x:v>
      </x:c>
      <x:c r="H28" s="20" t="n">
        <x:f>E28^2*'Controls'!$B$52</x:f>
        <x:v>0.6165</x:v>
      </x:c>
      <x:c r="I28" s="20" t="n">
        <x:f>F28*G28*H28</x:f>
        <x:v>1489.27905</x:v>
      </x:c>
      <x:c r="J28" s="7" t="str">
        <x:v>49 beams x 29 links, 200 mm nominal</x:v>
      </x:c>
      <x:c r="K28" s="2"/>
      <x:c r="L28" s="2"/>
      <x:c r="M28" s="2"/>
      <x:c r="N28" s="2"/>
      <x:c r="O28" s="2"/>
      <x:c r="P28" s="2"/>
      <x:c r="Q28" s="2"/>
    </x:row>
    <x:row r="29" ht="22" customHeight="1">
      <x:c r="A29" s="2" t="str">
        <x:v>T1-L01-CL</x:v>
      </x:c>
      <x:c r="B29" s="2" t="str">
        <x:v>T1</x:v>
      </x:c>
      <x:c r="C29" s="2" t="str">
        <x:v>L01</x:v>
      </x:c>
      <x:c r="D29" s="2" t="str">
        <x:v>Column longitudinal</x:v>
      </x:c>
      <x:c r="E29" s="21" t="n">
        <x:v>25</x:v>
      </x:c>
      <x:c r="F29" s="21" t="n">
        <x:v>360</x:v>
      </x:c>
      <x:c r="G29" s="21" t="n">
        <x:v>3.9</x:v>
      </x:c>
      <x:c r="H29" s="21" t="n">
        <x:f>E29^2*'Controls'!$B$52</x:f>
        <x:v>3.8531250000000004</x:v>
      </x:c>
      <x:c r="I29" s="21" t="n">
        <x:f>F29*G29*H29</x:f>
        <x:v>5409.7875</x:v>
      </x:c>
      <x:c r="J29" s="2" t="str">
        <x:v>30 columns x 12 bars incl. lap</x:v>
      </x:c>
      <x:c r="K29" s="2"/>
      <x:c r="L29" s="2"/>
      <x:c r="M29" s="2"/>
      <x:c r="N29" s="2"/>
      <x:c r="O29" s="2"/>
      <x:c r="P29" s="2"/>
      <x:c r="Q29" s="2"/>
    </x:row>
    <x:row r="30" ht="22" customHeight="1">
      <x:c r="A30" s="7" t="str">
        <x:v>T1-L01-CT</x:v>
      </x:c>
      <x:c r="B30" s="7" t="str">
        <x:v>T1</x:v>
      </x:c>
      <x:c r="C30" s="7" t="str">
        <x:v>L01</x:v>
      </x:c>
      <x:c r="D30" s="7" t="str">
        <x:v>Column ties</x:v>
      </x:c>
      <x:c r="E30" s="20" t="n">
        <x:v>10</x:v>
      </x:c>
      <x:c r="F30" s="20" t="n">
        <x:v>510</x:v>
      </x:c>
      <x:c r="G30" s="20" t="n">
        <x:v>1.96</x:v>
      </x:c>
      <x:c r="H30" s="20" t="n">
        <x:f>E30^2*'Controls'!$B$52</x:f>
        <x:v>0.6165</x:v>
      </x:c>
      <x:c r="I30" s="20" t="n">
        <x:f>F30*G30*H30</x:f>
        <x:v>616.2534</x:v>
      </x:c>
      <x:c r="J30" s="7" t="str">
        <x:v>30 columns x 17 ties, cover and hooks included</x:v>
      </x:c>
      <x:c r="K30" s="2"/>
      <x:c r="L30" s="2"/>
      <x:c r="M30" s="2"/>
      <x:c r="N30" s="2"/>
      <x:c r="O30" s="2"/>
      <x:c r="P30" s="2"/>
      <x:c r="Q30" s="2"/>
    </x:row>
    <x:row r="31" ht="22" customHeight="1">
      <x:c r="A31" s="2" t="str">
        <x:v>T1-L01-CV</x:v>
      </x:c>
      <x:c r="B31" s="2" t="str">
        <x:v>T1</x:v>
      </x:c>
      <x:c r="C31" s="2" t="str">
        <x:v>L01</x:v>
      </x:c>
      <x:c r="D31" s="2" t="str">
        <x:v>Core vertical bars</x:v>
      </x:c>
      <x:c r="E31" s="21" t="n">
        <x:v>16</x:v>
      </x:c>
      <x:c r="F31" s="21" t="n">
        <x:v>244</x:v>
      </x:c>
      <x:c r="G31" s="21" t="n">
        <x:v>3.9</x:v>
      </x:c>
      <x:c r="H31" s="21" t="n">
        <x:f>E31^2*'Controls'!$B$52</x:f>
        <x:v>1.57824</x:v>
      </x:c>
      <x:c r="I31" s="21" t="n">
        <x:f>F31*G31*H31</x:f>
        <x:v>1501.853184</x:v>
      </x:c>
      <x:c r="J31" s="2" t="str">
        <x:v>Two faces, 200 mm nominal along 24 m net length</x:v>
      </x:c>
      <x:c r="K31" s="2"/>
      <x:c r="L31" s="2"/>
      <x:c r="M31" s="2"/>
      <x:c r="N31" s="2"/>
      <x:c r="O31" s="2"/>
      <x:c r="P31" s="2"/>
      <x:c r="Q31" s="2"/>
    </x:row>
    <x:row r="32" ht="22" customHeight="1">
      <x:c r="A32" s="7" t="str">
        <x:v>T1-L01-CH</x:v>
      </x:c>
      <x:c r="B32" s="7" t="str">
        <x:v>T1</x:v>
      </x:c>
      <x:c r="C32" s="7" t="str">
        <x:v>L01</x:v>
      </x:c>
      <x:c r="D32" s="7" t="str">
        <x:v>Core horizontal bars</x:v>
      </x:c>
      <x:c r="E32" s="20" t="n">
        <x:v>12</x:v>
      </x:c>
      <x:c r="F32" s="20" t="n">
        <x:v>32</x:v>
      </x:c>
      <x:c r="G32" s="20" t="n">
        <x:v>25</x:v>
      </x:c>
      <x:c r="H32" s="20" t="n">
        <x:f>E32^2*'Controls'!$B$52</x:f>
        <x:v>0.8877600000000001</x:v>
      </x:c>
      <x:c r="I32" s="20" t="n">
        <x:f>F32*G32*H32</x:f>
        <x:v>710.2080000000001</x:v>
      </x:c>
      <x:c r="J32" s="7" t="str">
        <x:v>Two faces x 16 layers incl. lap</x:v>
      </x:c>
      <x:c r="K32" s="2"/>
      <x:c r="L32" s="2"/>
      <x:c r="M32" s="2"/>
      <x:c r="N32" s="2"/>
      <x:c r="O32" s="2"/>
      <x:c r="P32" s="2"/>
      <x:c r="Q32" s="2"/>
    </x:row>
    <x:row r="33" ht="22" customHeight="1">
      <x:c r="A33" s="2" t="str">
        <x:v>T1-L01-ST</x:v>
      </x:c>
      <x:c r="B33" s="2" t="str">
        <x:v>T1</x:v>
      </x:c>
      <x:c r="C33" s="2" t="str">
        <x:v>L01</x:v>
      </x:c>
      <x:c r="D33" s="2" t="str">
        <x:v>Stair flights and landings</x:v>
      </x:c>
      <x:c r="E33" s="21" t="n">
        <x:v>12</x:v>
      </x:c>
      <x:c r="F33" s="21" t="n">
        <x:v>80</x:v>
      </x:c>
      <x:c r="G33" s="21" t="n">
        <x:v>4.8</x:v>
      </x:c>
      <x:c r="H33" s="21" t="n">
        <x:f>E33^2*'Controls'!$B$52</x:f>
        <x:v>0.8877600000000001</x:v>
      </x:c>
      <x:c r="I33" s="21" t="n">
        <x:f>F33*G33*H33</x:f>
        <x:v>340.89984000000004</x:v>
      </x:c>
      <x:c r="J33" s="2" t="str">
        <x:v>Separate stair reinforcement allowance</x:v>
      </x:c>
      <x:c r="K33" s="2"/>
      <x:c r="L33" s="2"/>
      <x:c r="M33" s="2"/>
      <x:c r="N33" s="2"/>
      <x:c r="O33" s="2"/>
      <x:c r="P33" s="2"/>
      <x:c r="Q33" s="2"/>
    </x:row>
    <x:row r="34" ht="22" customHeight="1">
      <x:c r="A34" s="7" t="str">
        <x:v>T1-L02-S1</x:v>
      </x:c>
      <x:c r="B34" s="7" t="str">
        <x:v>T1</x:v>
      </x:c>
      <x:c r="C34" s="7" t="str">
        <x:v>L02</x:v>
      </x:c>
      <x:c r="D34" s="7" t="str">
        <x:v>Slab X through strips</x:v>
      </x:c>
      <x:c r="E34" s="20" t="n">
        <x:v>12</x:v>
      </x:c>
      <x:c r="F34" s="20" t="n">
        <x:v>182</x:v>
      </x:c>
      <x:c r="G34" s="20" t="n">
        <x:v>29.95</x:v>
      </x:c>
      <x:c r="H34" s="20" t="n">
        <x:f>E34^2*'Controls'!$B$52</x:f>
        <x:v>0.8877600000000001</x:v>
      </x:c>
      <x:c r="I34" s="20" t="n">
        <x:f>F34*G34*H34</x:f>
        <x:v>4839.090984</x:v>
      </x:c>
      <x:c r="J34" s="7" t="str">
        <x:v>2 layers x 91 bars outside central opening band</x:v>
      </x:c>
      <x:c r="K34" s="2"/>
      <x:c r="L34" s="2"/>
      <x:c r="M34" s="2"/>
      <x:c r="N34" s="2"/>
      <x:c r="O34" s="2"/>
      <x:c r="P34" s="2"/>
      <x:c r="Q34" s="2"/>
    </x:row>
    <x:row r="35" ht="22" customHeight="1">
      <x:c r="A35" s="2" t="str">
        <x:v>T1-L02-S2</x:v>
      </x:c>
      <x:c r="B35" s="2" t="str">
        <x:v>T1</x:v>
      </x:c>
      <x:c r="C35" s="2" t="str">
        <x:v>L02</x:v>
      </x:c>
      <x:c r="D35" s="2" t="str">
        <x:v>Slab X split at core</x:v>
      </x:c>
      <x:c r="E35" s="21" t="n">
        <x:v>12</x:v>
      </x:c>
      <x:c r="F35" s="21" t="n">
        <x:v>60</x:v>
      </x:c>
      <x:c r="G35" s="21" t="n">
        <x:v>25.95</x:v>
      </x:c>
      <x:c r="H35" s="21" t="n">
        <x:f>E35^2*'Controls'!$B$52</x:f>
        <x:v>0.8877600000000001</x:v>
      </x:c>
      <x:c r="I35" s="21" t="n">
        <x:f>F35*G35*H35</x:f>
        <x:v>1382.24232</x:v>
      </x:c>
      <x:c r="J35" s="2" t="str">
        <x:v>2 layers x 30 bars, split lengths combined around 4 m opening</x:v>
      </x:c>
      <x:c r="K35" s="2"/>
      <x:c r="L35" s="2"/>
      <x:c r="M35" s="2"/>
      <x:c r="N35" s="2"/>
      <x:c r="O35" s="2"/>
      <x:c r="P35" s="2"/>
      <x:c r="Q35" s="2"/>
    </x:row>
    <x:row r="36" ht="22" customHeight="1">
      <x:c r="A36" s="7" t="str">
        <x:v>T1-L02-S3</x:v>
      </x:c>
      <x:c r="B36" s="7" t="str">
        <x:v>T1</x:v>
      </x:c>
      <x:c r="C36" s="7" t="str">
        <x:v>L02</x:v>
      </x:c>
      <x:c r="D36" s="7" t="str">
        <x:v>Slab Y through strips</x:v>
      </x:c>
      <x:c r="E36" s="20" t="n">
        <x:v>12</x:v>
      </x:c>
      <x:c r="F36" s="20" t="n">
        <x:v>262</x:v>
      </x:c>
      <x:c r="G36" s="20" t="n">
        <x:v>23.95</x:v>
      </x:c>
      <x:c r="H36" s="20" t="n">
        <x:f>E36^2*'Controls'!$B$52</x:f>
        <x:v>0.8877600000000001</x:v>
      </x:c>
      <x:c r="I36" s="20" t="n">
        <x:f>F36*G36*H36</x:f>
        <x:v>5570.605224</x:v>
      </x:c>
      <x:c r="J36" s="7" t="str">
        <x:v>2 layers x 131 bars outside central opening band</x:v>
      </x:c>
      <x:c r="K36" s="2"/>
      <x:c r="L36" s="2"/>
      <x:c r="M36" s="2"/>
      <x:c r="N36" s="2"/>
      <x:c r="O36" s="2"/>
      <x:c r="P36" s="2"/>
      <x:c r="Q36" s="2"/>
    </x:row>
    <x:row r="37" ht="22" customHeight="1">
      <x:c r="A37" s="2" t="str">
        <x:v>T1-L02-S4</x:v>
      </x:c>
      <x:c r="B37" s="2" t="str">
        <x:v>T1</x:v>
      </x:c>
      <x:c r="C37" s="2" t="str">
        <x:v>L02</x:v>
      </x:c>
      <x:c r="D37" s="2" t="str">
        <x:v>Slab Y split at core</x:v>
      </x:c>
      <x:c r="E37" s="21" t="n">
        <x:v>12</x:v>
      </x:c>
      <x:c r="F37" s="21" t="n">
        <x:v>40</x:v>
      </x:c>
      <x:c r="G37" s="21" t="n">
        <x:v>17.95</x:v>
      </x:c>
      <x:c r="H37" s="21" t="n">
        <x:f>E37^2*'Controls'!$B$52</x:f>
        <x:v>0.8877600000000001</x:v>
      </x:c>
      <x:c r="I37" s="21" t="n">
        <x:f>F37*G37*H37</x:f>
        <x:v>637.41168</x:v>
      </x:c>
      <x:c r="J37" s="2" t="str">
        <x:v>2 layers x 20 bars, split around 6 m opening</x:v>
      </x:c>
      <x:c r="K37" s="2"/>
      <x:c r="L37" s="2"/>
      <x:c r="M37" s="2"/>
      <x:c r="N37" s="2"/>
      <x:c r="O37" s="2"/>
      <x:c r="P37" s="2"/>
      <x:c r="Q37" s="2"/>
    </x:row>
    <x:row r="38" ht="22" customHeight="1">
      <x:c r="A38" s="7" t="str">
        <x:v>T1-L02-S5</x:v>
      </x:c>
      <x:c r="B38" s="7" t="str">
        <x:v>T1</x:v>
      </x:c>
      <x:c r="C38" s="7" t="str">
        <x:v>L02</x:v>
      </x:c>
      <x:c r="D38" s="7" t="str">
        <x:v>Opening trim bars</x:v>
      </x:c>
      <x:c r="E38" s="20" t="n">
        <x:v>16</x:v>
      </x:c>
      <x:c r="F38" s="20" t="n">
        <x:v>16</x:v>
      </x:c>
      <x:c r="G38" s="20" t="n">
        <x:v>7.2</x:v>
      </x:c>
      <x:c r="H38" s="20" t="n">
        <x:f>E38^2*'Controls'!$B$52</x:f>
        <x:v>1.57824</x:v>
      </x:c>
      <x:c r="I38" s="20" t="n">
        <x:f>F38*G38*H38</x:f>
        <x:v>181.81324800000002</x:v>
      </x:c>
      <x:c r="J38" s="7" t="str">
        <x:v>Trim allowance, explicit scheduled lengths</x:v>
      </x:c>
      <x:c r="K38" s="2"/>
      <x:c r="L38" s="2"/>
      <x:c r="M38" s="2"/>
      <x:c r="N38" s="2"/>
      <x:c r="O38" s="2"/>
      <x:c r="P38" s="2"/>
      <x:c r="Q38" s="2"/>
    </x:row>
    <x:row r="39" ht="22" customHeight="1">
      <x:c r="A39" s="2" t="str">
        <x:v>T1-L02-BX</x:v>
      </x:c>
      <x:c r="B39" s="2" t="str">
        <x:v>T1</x:v>
      </x:c>
      <x:c r="C39" s="2" t="str">
        <x:v>L02</x:v>
      </x:c>
      <x:c r="D39" s="2" t="str">
        <x:v>X beam longitudinal</x:v>
      </x:c>
      <x:c r="E39" s="21" t="n">
        <x:v>20</x:v>
      </x:c>
      <x:c r="F39" s="21" t="n">
        <x:v>150</x:v>
      </x:c>
      <x:c r="G39" s="21" t="n">
        <x:v>6.5</x:v>
      </x:c>
      <x:c r="H39" s="21" t="n">
        <x:f>E39^2*'Controls'!$B$52</x:f>
        <x:v>2.466</x:v>
      </x:c>
      <x:c r="I39" s="21" t="n">
        <x:f>F39*G39*H39</x:f>
        <x:v>2404.3500000000004</x:v>
      </x:c>
      <x:c r="J39" s="2" t="str">
        <x:v>25 spans x 6 bars incl. 1 m lap/anchorage provision</x:v>
      </x:c>
      <x:c r="K39" s="2"/>
      <x:c r="L39" s="2"/>
      <x:c r="M39" s="2"/>
      <x:c r="N39" s="2"/>
      <x:c r="O39" s="2"/>
      <x:c r="P39" s="2"/>
      <x:c r="Q39" s="2"/>
    </x:row>
    <x:row r="40" ht="22" customHeight="1">
      <x:c r="A40" s="7" t="str">
        <x:v>T1-L02-BY</x:v>
      </x:c>
      <x:c r="B40" s="7" t="str">
        <x:v>T1</x:v>
      </x:c>
      <x:c r="C40" s="7" t="str">
        <x:v>L02</x:v>
      </x:c>
      <x:c r="D40" s="7" t="str">
        <x:v>Y beam longitudinal</x:v>
      </x:c>
      <x:c r="E40" s="20" t="n">
        <x:v>20</x:v>
      </x:c>
      <x:c r="F40" s="20" t="n">
        <x:v>144</x:v>
      </x:c>
      <x:c r="G40" s="20" t="n">
        <x:v>6.5</x:v>
      </x:c>
      <x:c r="H40" s="20" t="n">
        <x:f>E40^2*'Controls'!$B$52</x:f>
        <x:v>2.466</x:v>
      </x:c>
      <x:c r="I40" s="20" t="n">
        <x:f>F40*G40*H40</x:f>
        <x:v>2308.1760000000004</x:v>
      </x:c>
      <x:c r="J40" s="7" t="str">
        <x:v>24 spans x 6 bars</x:v>
      </x:c>
      <x:c r="K40" s="2"/>
      <x:c r="L40" s="2"/>
      <x:c r="M40" s="2"/>
      <x:c r="N40" s="2"/>
      <x:c r="O40" s="2"/>
      <x:c r="P40" s="2"/>
      <x:c r="Q40" s="2"/>
    </x:row>
    <x:row r="41" ht="22" customHeight="1">
      <x:c r="A41" s="2" t="str">
        <x:v>T1-L02-BT</x:v>
      </x:c>
      <x:c r="B41" s="2" t="str">
        <x:v>T1</x:v>
      </x:c>
      <x:c r="C41" s="2" t="str">
        <x:v>L02</x:v>
      </x:c>
      <x:c r="D41" s="2" t="str">
        <x:v>Beam closed links</x:v>
      </x:c>
      <x:c r="E41" s="21" t="n">
        <x:v>10</x:v>
      </x:c>
      <x:c r="F41" s="21" t="n">
        <x:v>1421</x:v>
      </x:c>
      <x:c r="G41" s="21" t="n">
        <x:v>1.7</x:v>
      </x:c>
      <x:c r="H41" s="21" t="n">
        <x:f>E41^2*'Controls'!$B$52</x:f>
        <x:v>0.6165</x:v>
      </x:c>
      <x:c r="I41" s="21" t="n">
        <x:f>F41*G41*H41</x:f>
        <x:v>1489.27905</x:v>
      </x:c>
      <x:c r="J41" s="2" t="str">
        <x:v>49 beams x 29 links, 200 mm nominal</x:v>
      </x:c>
      <x:c r="K41" s="2"/>
      <x:c r="L41" s="2"/>
      <x:c r="M41" s="2"/>
      <x:c r="N41" s="2"/>
      <x:c r="O41" s="2"/>
      <x:c r="P41" s="2"/>
      <x:c r="Q41" s="2"/>
    </x:row>
    <x:row r="42" ht="22" customHeight="1">
      <x:c r="A42" s="7" t="str">
        <x:v>T1-L02-CL</x:v>
      </x:c>
      <x:c r="B42" s="7" t="str">
        <x:v>T1</x:v>
      </x:c>
      <x:c r="C42" s="7" t="str">
        <x:v>L02</x:v>
      </x:c>
      <x:c r="D42" s="7" t="str">
        <x:v>Column longitudinal</x:v>
      </x:c>
      <x:c r="E42" s="20" t="n">
        <x:v>25</x:v>
      </x:c>
      <x:c r="F42" s="20" t="n">
        <x:v>360</x:v>
      </x:c>
      <x:c r="G42" s="20" t="n">
        <x:v>3.9</x:v>
      </x:c>
      <x:c r="H42" s="20" t="n">
        <x:f>E42^2*'Controls'!$B$52</x:f>
        <x:v>3.8531250000000004</x:v>
      </x:c>
      <x:c r="I42" s="20" t="n">
        <x:f>F42*G42*H42</x:f>
        <x:v>5409.7875</x:v>
      </x:c>
      <x:c r="J42" s="7" t="str">
        <x:v>30 columns x 12 bars incl. lap</x:v>
      </x:c>
      <x:c r="K42" s="2"/>
      <x:c r="L42" s="2"/>
      <x:c r="M42" s="2"/>
      <x:c r="N42" s="2"/>
      <x:c r="O42" s="2"/>
      <x:c r="P42" s="2"/>
      <x:c r="Q42" s="2"/>
    </x:row>
    <x:row r="43" ht="22" customHeight="1">
      <x:c r="A43" s="2" t="str">
        <x:v>T1-L02-CT</x:v>
      </x:c>
      <x:c r="B43" s="2" t="str">
        <x:v>T1</x:v>
      </x:c>
      <x:c r="C43" s="2" t="str">
        <x:v>L02</x:v>
      </x:c>
      <x:c r="D43" s="2" t="str">
        <x:v>Column ties</x:v>
      </x:c>
      <x:c r="E43" s="21" t="n">
        <x:v>10</x:v>
      </x:c>
      <x:c r="F43" s="21" t="n">
        <x:v>510</x:v>
      </x:c>
      <x:c r="G43" s="21" t="n">
        <x:v>1.96</x:v>
      </x:c>
      <x:c r="H43" s="21" t="n">
        <x:f>E43^2*'Controls'!$B$52</x:f>
        <x:v>0.6165</x:v>
      </x:c>
      <x:c r="I43" s="21" t="n">
        <x:f>F43*G43*H43</x:f>
        <x:v>616.2534</x:v>
      </x:c>
      <x:c r="J43" s="2" t="str">
        <x:v>30 columns x 17 ties, cover and hooks included</x:v>
      </x:c>
      <x:c r="K43" s="2"/>
      <x:c r="L43" s="2"/>
      <x:c r="M43" s="2"/>
      <x:c r="N43" s="2"/>
      <x:c r="O43" s="2"/>
      <x:c r="P43" s="2"/>
      <x:c r="Q43" s="2"/>
    </x:row>
    <x:row r="44" ht="22" customHeight="1">
      <x:c r="A44" s="7" t="str">
        <x:v>T1-L02-CV</x:v>
      </x:c>
      <x:c r="B44" s="7" t="str">
        <x:v>T1</x:v>
      </x:c>
      <x:c r="C44" s="7" t="str">
        <x:v>L02</x:v>
      </x:c>
      <x:c r="D44" s="7" t="str">
        <x:v>Core vertical bars</x:v>
      </x:c>
      <x:c r="E44" s="20" t="n">
        <x:v>16</x:v>
      </x:c>
      <x:c r="F44" s="20" t="n">
        <x:v>244</x:v>
      </x:c>
      <x:c r="G44" s="20" t="n">
        <x:v>3.9</x:v>
      </x:c>
      <x:c r="H44" s="20" t="n">
        <x:f>E44^2*'Controls'!$B$52</x:f>
        <x:v>1.57824</x:v>
      </x:c>
      <x:c r="I44" s="20" t="n">
        <x:f>F44*G44*H44</x:f>
        <x:v>1501.853184</x:v>
      </x:c>
      <x:c r="J44" s="7" t="str">
        <x:v>Two faces, 200 mm nominal along 24 m net length</x:v>
      </x:c>
      <x:c r="K44" s="2"/>
      <x:c r="L44" s="2"/>
      <x:c r="M44" s="2"/>
      <x:c r="N44" s="2"/>
      <x:c r="O44" s="2"/>
      <x:c r="P44" s="2"/>
      <x:c r="Q44" s="2"/>
    </x:row>
    <x:row r="45" ht="22" customHeight="1">
      <x:c r="A45" s="2" t="str">
        <x:v>T1-L02-CH</x:v>
      </x:c>
      <x:c r="B45" s="2" t="str">
        <x:v>T1</x:v>
      </x:c>
      <x:c r="C45" s="2" t="str">
        <x:v>L02</x:v>
      </x:c>
      <x:c r="D45" s="2" t="str">
        <x:v>Core horizontal bars</x:v>
      </x:c>
      <x:c r="E45" s="21" t="n">
        <x:v>12</x:v>
      </x:c>
      <x:c r="F45" s="21" t="n">
        <x:v>32</x:v>
      </x:c>
      <x:c r="G45" s="21" t="n">
        <x:v>25</x:v>
      </x:c>
      <x:c r="H45" s="21" t="n">
        <x:f>E45^2*'Controls'!$B$52</x:f>
        <x:v>0.8877600000000001</x:v>
      </x:c>
      <x:c r="I45" s="21" t="n">
        <x:f>F45*G45*H45</x:f>
        <x:v>710.2080000000001</x:v>
      </x:c>
      <x:c r="J45" s="2" t="str">
        <x:v>Two faces x 16 layers incl. lap</x:v>
      </x:c>
      <x:c r="K45" s="2"/>
      <x:c r="L45" s="2"/>
      <x:c r="M45" s="2"/>
      <x:c r="N45" s="2"/>
      <x:c r="O45" s="2"/>
      <x:c r="P45" s="2"/>
      <x:c r="Q45" s="2"/>
    </x:row>
    <x:row r="46" ht="22" customHeight="1">
      <x:c r="A46" s="7" t="str">
        <x:v>T1-L02-ST</x:v>
      </x:c>
      <x:c r="B46" s="7" t="str">
        <x:v>T1</x:v>
      </x:c>
      <x:c r="C46" s="7" t="str">
        <x:v>L02</x:v>
      </x:c>
      <x:c r="D46" s="7" t="str">
        <x:v>Stair flights and landings</x:v>
      </x:c>
      <x:c r="E46" s="20" t="n">
        <x:v>12</x:v>
      </x:c>
      <x:c r="F46" s="20" t="n">
        <x:v>80</x:v>
      </x:c>
      <x:c r="G46" s="20" t="n">
        <x:v>4.8</x:v>
      </x:c>
      <x:c r="H46" s="20" t="n">
        <x:f>E46^2*'Controls'!$B$52</x:f>
        <x:v>0.8877600000000001</x:v>
      </x:c>
      <x:c r="I46" s="20" t="n">
        <x:f>F46*G46*H46</x:f>
        <x:v>340.89984000000004</x:v>
      </x:c>
      <x:c r="J46" s="7" t="str">
        <x:v>Separate stair reinforcement allowance</x:v>
      </x:c>
      <x:c r="K46" s="2"/>
      <x:c r="L46" s="2"/>
      <x:c r="M46" s="2"/>
      <x:c r="N46" s="2"/>
      <x:c r="O46" s="2"/>
      <x:c r="P46" s="2"/>
      <x:c r="Q46" s="2"/>
    </x:row>
    <x:row r="47" ht="22" customHeight="1">
      <x:c r="A47" s="2" t="str">
        <x:v>T1-L03-S1</x:v>
      </x:c>
      <x:c r="B47" s="2" t="str">
        <x:v>T1</x:v>
      </x:c>
      <x:c r="C47" s="2" t="str">
        <x:v>L03</x:v>
      </x:c>
      <x:c r="D47" s="2" t="str">
        <x:v>Slab X through strips</x:v>
      </x:c>
      <x:c r="E47" s="21" t="n">
        <x:v>12</x:v>
      </x:c>
      <x:c r="F47" s="21" t="n">
        <x:v>182</x:v>
      </x:c>
      <x:c r="G47" s="21" t="n">
        <x:v>29.95</x:v>
      </x:c>
      <x:c r="H47" s="21" t="n">
        <x:f>E47^2*'Controls'!$B$52</x:f>
        <x:v>0.8877600000000001</x:v>
      </x:c>
      <x:c r="I47" s="21" t="n">
        <x:f>F47*G47*H47</x:f>
        <x:v>4839.090984</x:v>
      </x:c>
      <x:c r="J47" s="2" t="str">
        <x:v>2 layers x 91 bars outside central opening band</x:v>
      </x:c>
      <x:c r="K47" s="2"/>
      <x:c r="L47" s="2"/>
      <x:c r="M47" s="2"/>
      <x:c r="N47" s="2"/>
      <x:c r="O47" s="2"/>
      <x:c r="P47" s="2"/>
      <x:c r="Q47" s="2"/>
    </x:row>
    <x:row r="48" ht="22" customHeight="1">
      <x:c r="A48" s="7" t="str">
        <x:v>T1-L03-S2</x:v>
      </x:c>
      <x:c r="B48" s="7" t="str">
        <x:v>T1</x:v>
      </x:c>
      <x:c r="C48" s="7" t="str">
        <x:v>L03</x:v>
      </x:c>
      <x:c r="D48" s="7" t="str">
        <x:v>Slab X split at core</x:v>
      </x:c>
      <x:c r="E48" s="20" t="n">
        <x:v>12</x:v>
      </x:c>
      <x:c r="F48" s="20" t="n">
        <x:v>60</x:v>
      </x:c>
      <x:c r="G48" s="20" t="n">
        <x:v>25.95</x:v>
      </x:c>
      <x:c r="H48" s="20" t="n">
        <x:f>E48^2*'Controls'!$B$52</x:f>
        <x:v>0.8877600000000001</x:v>
      </x:c>
      <x:c r="I48" s="20" t="n">
        <x:f>F48*G48*H48</x:f>
        <x:v>1382.24232</x:v>
      </x:c>
      <x:c r="J48" s="7" t="str">
        <x:v>2 layers x 30 bars, split lengths combined around 4 m opening</x:v>
      </x:c>
      <x:c r="K48" s="2"/>
      <x:c r="L48" s="2"/>
      <x:c r="M48" s="2"/>
      <x:c r="N48" s="2"/>
      <x:c r="O48" s="2"/>
      <x:c r="P48" s="2"/>
      <x:c r="Q48" s="2"/>
    </x:row>
    <x:row r="49" ht="22" customHeight="1">
      <x:c r="A49" s="2" t="str">
        <x:v>T1-L03-S3</x:v>
      </x:c>
      <x:c r="B49" s="2" t="str">
        <x:v>T1</x:v>
      </x:c>
      <x:c r="C49" s="2" t="str">
        <x:v>L03</x:v>
      </x:c>
      <x:c r="D49" s="2" t="str">
        <x:v>Slab Y through strips</x:v>
      </x:c>
      <x:c r="E49" s="21" t="n">
        <x:v>12</x:v>
      </x:c>
      <x:c r="F49" s="21" t="n">
        <x:v>262</x:v>
      </x:c>
      <x:c r="G49" s="21" t="n">
        <x:v>23.95</x:v>
      </x:c>
      <x:c r="H49" s="21" t="n">
        <x:f>E49^2*'Controls'!$B$52</x:f>
        <x:v>0.8877600000000001</x:v>
      </x:c>
      <x:c r="I49" s="21" t="n">
        <x:f>F49*G49*H49</x:f>
        <x:v>5570.605224</x:v>
      </x:c>
      <x:c r="J49" s="2" t="str">
        <x:v>2 layers x 131 bars outside central opening band</x:v>
      </x:c>
      <x:c r="K49" s="2"/>
      <x:c r="L49" s="2"/>
      <x:c r="M49" s="2"/>
      <x:c r="N49" s="2"/>
      <x:c r="O49" s="2"/>
      <x:c r="P49" s="2"/>
      <x:c r="Q49" s="2"/>
    </x:row>
    <x:row r="50" ht="22" customHeight="1">
      <x:c r="A50" s="7" t="str">
        <x:v>T1-L03-S4</x:v>
      </x:c>
      <x:c r="B50" s="7" t="str">
        <x:v>T1</x:v>
      </x:c>
      <x:c r="C50" s="7" t="str">
        <x:v>L03</x:v>
      </x:c>
      <x:c r="D50" s="7" t="str">
        <x:v>Slab Y split at core</x:v>
      </x:c>
      <x:c r="E50" s="20" t="n">
        <x:v>12</x:v>
      </x:c>
      <x:c r="F50" s="20" t="n">
        <x:v>40</x:v>
      </x:c>
      <x:c r="G50" s="20" t="n">
        <x:v>17.95</x:v>
      </x:c>
      <x:c r="H50" s="20" t="n">
        <x:f>E50^2*'Controls'!$B$52</x:f>
        <x:v>0.8877600000000001</x:v>
      </x:c>
      <x:c r="I50" s="20" t="n">
        <x:f>F50*G50*H50</x:f>
        <x:v>637.41168</x:v>
      </x:c>
      <x:c r="J50" s="7" t="str">
        <x:v>2 layers x 20 bars, split around 6 m opening</x:v>
      </x:c>
      <x:c r="K50" s="2"/>
      <x:c r="L50" s="2"/>
      <x:c r="M50" s="2"/>
      <x:c r="N50" s="2"/>
      <x:c r="O50" s="2"/>
      <x:c r="P50" s="2"/>
      <x:c r="Q50" s="2"/>
    </x:row>
    <x:row r="51" ht="22" customHeight="1">
      <x:c r="A51" s="2" t="str">
        <x:v>T1-L03-S5</x:v>
      </x:c>
      <x:c r="B51" s="2" t="str">
        <x:v>T1</x:v>
      </x:c>
      <x:c r="C51" s="2" t="str">
        <x:v>L03</x:v>
      </x:c>
      <x:c r="D51" s="2" t="str">
        <x:v>Opening trim bars</x:v>
      </x:c>
      <x:c r="E51" s="21" t="n">
        <x:v>16</x:v>
      </x:c>
      <x:c r="F51" s="21" t="n">
        <x:v>16</x:v>
      </x:c>
      <x:c r="G51" s="21" t="n">
        <x:v>7.2</x:v>
      </x:c>
      <x:c r="H51" s="21" t="n">
        <x:f>E51^2*'Controls'!$B$52</x:f>
        <x:v>1.57824</x:v>
      </x:c>
      <x:c r="I51" s="21" t="n">
        <x:f>F51*G51*H51</x:f>
        <x:v>181.81324800000002</x:v>
      </x:c>
      <x:c r="J51" s="2" t="str">
        <x:v>Trim allowance, explicit scheduled lengths</x:v>
      </x:c>
      <x:c r="K51" s="2"/>
      <x:c r="L51" s="2"/>
      <x:c r="M51" s="2"/>
      <x:c r="N51" s="2"/>
      <x:c r="O51" s="2"/>
      <x:c r="P51" s="2"/>
      <x:c r="Q51" s="2"/>
    </x:row>
    <x:row r="52" ht="22" customHeight="1">
      <x:c r="A52" s="7" t="str">
        <x:v>T1-L03-BX</x:v>
      </x:c>
      <x:c r="B52" s="7" t="str">
        <x:v>T1</x:v>
      </x:c>
      <x:c r="C52" s="7" t="str">
        <x:v>L03</x:v>
      </x:c>
      <x:c r="D52" s="7" t="str">
        <x:v>X beam longitudinal</x:v>
      </x:c>
      <x:c r="E52" s="20" t="n">
        <x:v>20</x:v>
      </x:c>
      <x:c r="F52" s="20" t="n">
        <x:v>150</x:v>
      </x:c>
      <x:c r="G52" s="20" t="n">
        <x:v>6.5</x:v>
      </x:c>
      <x:c r="H52" s="20" t="n">
        <x:f>E52^2*'Controls'!$B$52</x:f>
        <x:v>2.466</x:v>
      </x:c>
      <x:c r="I52" s="20" t="n">
        <x:f>F52*G52*H52</x:f>
        <x:v>2404.3500000000004</x:v>
      </x:c>
      <x:c r="J52" s="7" t="str">
        <x:v>25 spans x 6 bars incl. 1 m lap/anchorage provision</x:v>
      </x:c>
      <x:c r="K52" s="2"/>
      <x:c r="L52" s="2"/>
      <x:c r="M52" s="2"/>
      <x:c r="N52" s="2"/>
      <x:c r="O52" s="2"/>
      <x:c r="P52" s="2"/>
      <x:c r="Q52" s="2"/>
    </x:row>
    <x:row r="53" ht="22" customHeight="1">
      <x:c r="A53" s="2" t="str">
        <x:v>T1-L03-BY</x:v>
      </x:c>
      <x:c r="B53" s="2" t="str">
        <x:v>T1</x:v>
      </x:c>
      <x:c r="C53" s="2" t="str">
        <x:v>L03</x:v>
      </x:c>
      <x:c r="D53" s="2" t="str">
        <x:v>Y beam longitudinal</x:v>
      </x:c>
      <x:c r="E53" s="21" t="n">
        <x:v>20</x:v>
      </x:c>
      <x:c r="F53" s="21" t="n">
        <x:v>144</x:v>
      </x:c>
      <x:c r="G53" s="21" t="n">
        <x:v>6.5</x:v>
      </x:c>
      <x:c r="H53" s="21" t="n">
        <x:f>E53^2*'Controls'!$B$52</x:f>
        <x:v>2.466</x:v>
      </x:c>
      <x:c r="I53" s="21" t="n">
        <x:f>F53*G53*H53</x:f>
        <x:v>2308.1760000000004</x:v>
      </x:c>
      <x:c r="J53" s="2" t="str">
        <x:v>24 spans x 6 bars</x:v>
      </x:c>
      <x:c r="K53" s="2"/>
      <x:c r="L53" s="2"/>
      <x:c r="M53" s="2"/>
      <x:c r="N53" s="2"/>
      <x:c r="O53" s="2"/>
      <x:c r="P53" s="2"/>
      <x:c r="Q53" s="2"/>
    </x:row>
    <x:row r="54" ht="22" customHeight="1">
      <x:c r="A54" s="7" t="str">
        <x:v>T1-L03-BT</x:v>
      </x:c>
      <x:c r="B54" s="7" t="str">
        <x:v>T1</x:v>
      </x:c>
      <x:c r="C54" s="7" t="str">
        <x:v>L03</x:v>
      </x:c>
      <x:c r="D54" s="7" t="str">
        <x:v>Beam closed links</x:v>
      </x:c>
      <x:c r="E54" s="20" t="n">
        <x:v>10</x:v>
      </x:c>
      <x:c r="F54" s="20" t="n">
        <x:v>1421</x:v>
      </x:c>
      <x:c r="G54" s="20" t="n">
        <x:v>1.7</x:v>
      </x:c>
      <x:c r="H54" s="20" t="n">
        <x:f>E54^2*'Controls'!$B$52</x:f>
        <x:v>0.6165</x:v>
      </x:c>
      <x:c r="I54" s="20" t="n">
        <x:f>F54*G54*H54</x:f>
        <x:v>1489.27905</x:v>
      </x:c>
      <x:c r="J54" s="7" t="str">
        <x:v>49 beams x 29 links, 200 mm nominal</x:v>
      </x:c>
      <x:c r="K54" s="2"/>
      <x:c r="L54" s="2"/>
      <x:c r="M54" s="2"/>
      <x:c r="N54" s="2"/>
      <x:c r="O54" s="2"/>
      <x:c r="P54" s="2"/>
      <x:c r="Q54" s="2"/>
    </x:row>
    <x:row r="55" ht="22" customHeight="1">
      <x:c r="A55" s="2" t="str">
        <x:v>T1-L03-CL</x:v>
      </x:c>
      <x:c r="B55" s="2" t="str">
        <x:v>T1</x:v>
      </x:c>
      <x:c r="C55" s="2" t="str">
        <x:v>L03</x:v>
      </x:c>
      <x:c r="D55" s="2" t="str">
        <x:v>Column longitudinal</x:v>
      </x:c>
      <x:c r="E55" s="21" t="n">
        <x:v>25</x:v>
      </x:c>
      <x:c r="F55" s="21" t="n">
        <x:v>360</x:v>
      </x:c>
      <x:c r="G55" s="21" t="n">
        <x:v>3.9</x:v>
      </x:c>
      <x:c r="H55" s="21" t="n">
        <x:f>E55^2*'Controls'!$B$52</x:f>
        <x:v>3.8531250000000004</x:v>
      </x:c>
      <x:c r="I55" s="21" t="n">
        <x:f>F55*G55*H55</x:f>
        <x:v>5409.7875</x:v>
      </x:c>
      <x:c r="J55" s="2" t="str">
        <x:v>30 columns x 12 bars incl. lap</x:v>
      </x:c>
      <x:c r="K55" s="2"/>
      <x:c r="L55" s="2"/>
      <x:c r="M55" s="2"/>
      <x:c r="N55" s="2"/>
      <x:c r="O55" s="2"/>
      <x:c r="P55" s="2"/>
      <x:c r="Q55" s="2"/>
    </x:row>
    <x:row r="56" ht="22" customHeight="1">
      <x:c r="A56" s="7" t="str">
        <x:v>T1-L03-CT</x:v>
      </x:c>
      <x:c r="B56" s="7" t="str">
        <x:v>T1</x:v>
      </x:c>
      <x:c r="C56" s="7" t="str">
        <x:v>L03</x:v>
      </x:c>
      <x:c r="D56" s="7" t="str">
        <x:v>Column ties</x:v>
      </x:c>
      <x:c r="E56" s="20" t="n">
        <x:v>10</x:v>
      </x:c>
      <x:c r="F56" s="20" t="n">
        <x:v>510</x:v>
      </x:c>
      <x:c r="G56" s="20" t="n">
        <x:v>1.96</x:v>
      </x:c>
      <x:c r="H56" s="20" t="n">
        <x:f>E56^2*'Controls'!$B$52</x:f>
        <x:v>0.6165</x:v>
      </x:c>
      <x:c r="I56" s="20" t="n">
        <x:f>F56*G56*H56</x:f>
        <x:v>616.2534</x:v>
      </x:c>
      <x:c r="J56" s="7" t="str">
        <x:v>30 columns x 17 ties, cover and hooks included</x:v>
      </x:c>
      <x:c r="K56" s="2"/>
      <x:c r="L56" s="2"/>
      <x:c r="M56" s="2"/>
      <x:c r="N56" s="2"/>
      <x:c r="O56" s="2"/>
      <x:c r="P56" s="2"/>
      <x:c r="Q56" s="2"/>
    </x:row>
    <x:row r="57" ht="22" customHeight="1">
      <x:c r="A57" s="2" t="str">
        <x:v>T1-L03-CV</x:v>
      </x:c>
      <x:c r="B57" s="2" t="str">
        <x:v>T1</x:v>
      </x:c>
      <x:c r="C57" s="2" t="str">
        <x:v>L03</x:v>
      </x:c>
      <x:c r="D57" s="2" t="str">
        <x:v>Core vertical bars</x:v>
      </x:c>
      <x:c r="E57" s="21" t="n">
        <x:v>16</x:v>
      </x:c>
      <x:c r="F57" s="21" t="n">
        <x:v>244</x:v>
      </x:c>
      <x:c r="G57" s="21" t="n">
        <x:v>3.9</x:v>
      </x:c>
      <x:c r="H57" s="21" t="n">
        <x:f>E57^2*'Controls'!$B$52</x:f>
        <x:v>1.57824</x:v>
      </x:c>
      <x:c r="I57" s="21" t="n">
        <x:f>F57*G57*H57</x:f>
        <x:v>1501.853184</x:v>
      </x:c>
      <x:c r="J57" s="2" t="str">
        <x:v>Two faces, 200 mm nominal along 24 m net length</x:v>
      </x:c>
      <x:c r="K57" s="2"/>
      <x:c r="L57" s="2"/>
      <x:c r="M57" s="2"/>
      <x:c r="N57" s="2"/>
      <x:c r="O57" s="2"/>
      <x:c r="P57" s="2"/>
      <x:c r="Q57" s="2"/>
    </x:row>
    <x:row r="58" ht="22" customHeight="1">
      <x:c r="A58" s="7" t="str">
        <x:v>T1-L03-CH</x:v>
      </x:c>
      <x:c r="B58" s="7" t="str">
        <x:v>T1</x:v>
      </x:c>
      <x:c r="C58" s="7" t="str">
        <x:v>L03</x:v>
      </x:c>
      <x:c r="D58" s="7" t="str">
        <x:v>Core horizontal bars</x:v>
      </x:c>
      <x:c r="E58" s="20" t="n">
        <x:v>12</x:v>
      </x:c>
      <x:c r="F58" s="20" t="n">
        <x:v>32</x:v>
      </x:c>
      <x:c r="G58" s="20" t="n">
        <x:v>25</x:v>
      </x:c>
      <x:c r="H58" s="20" t="n">
        <x:f>E58^2*'Controls'!$B$52</x:f>
        <x:v>0.8877600000000001</x:v>
      </x:c>
      <x:c r="I58" s="20" t="n">
        <x:f>F58*G58*H58</x:f>
        <x:v>710.2080000000001</x:v>
      </x:c>
      <x:c r="J58" s="7" t="str">
        <x:v>Two faces x 16 layers incl. lap</x:v>
      </x:c>
      <x:c r="K58" s="2"/>
      <x:c r="L58" s="2"/>
      <x:c r="M58" s="2"/>
      <x:c r="N58" s="2"/>
      <x:c r="O58" s="2"/>
      <x:c r="P58" s="2"/>
      <x:c r="Q58" s="2"/>
    </x:row>
    <x:row r="59" ht="22" customHeight="1">
      <x:c r="A59" s="2" t="str">
        <x:v>T1-L03-ST</x:v>
      </x:c>
      <x:c r="B59" s="2" t="str">
        <x:v>T1</x:v>
      </x:c>
      <x:c r="C59" s="2" t="str">
        <x:v>L03</x:v>
      </x:c>
      <x:c r="D59" s="2" t="str">
        <x:v>Stair flights and landings</x:v>
      </x:c>
      <x:c r="E59" s="21" t="n">
        <x:v>12</x:v>
      </x:c>
      <x:c r="F59" s="21" t="n">
        <x:v>80</x:v>
      </x:c>
      <x:c r="G59" s="21" t="n">
        <x:v>4.8</x:v>
      </x:c>
      <x:c r="H59" s="21" t="n">
        <x:f>E59^2*'Controls'!$B$52</x:f>
        <x:v>0.8877600000000001</x:v>
      </x:c>
      <x:c r="I59" s="21" t="n">
        <x:f>F59*G59*H59</x:f>
        <x:v>340.89984000000004</x:v>
      </x:c>
      <x:c r="J59" s="2" t="str">
        <x:v>Separate stair reinforcement allowance</x:v>
      </x:c>
      <x:c r="K59" s="2"/>
      <x:c r="L59" s="2"/>
      <x:c r="M59" s="2"/>
      <x:c r="N59" s="2"/>
      <x:c r="O59" s="2"/>
      <x:c r="P59" s="2"/>
      <x:c r="Q59" s="2"/>
    </x:row>
    <x:row r="60" ht="22" customHeight="1">
      <x:c r="A60" s="7" t="str">
        <x:v>T1-L04-S1</x:v>
      </x:c>
      <x:c r="B60" s="7" t="str">
        <x:v>T1</x:v>
      </x:c>
      <x:c r="C60" s="7" t="str">
        <x:v>L04</x:v>
      </x:c>
      <x:c r="D60" s="7" t="str">
        <x:v>Slab X through strips</x:v>
      </x:c>
      <x:c r="E60" s="20" t="n">
        <x:v>12</x:v>
      </x:c>
      <x:c r="F60" s="20" t="n">
        <x:v>182</x:v>
      </x:c>
      <x:c r="G60" s="20" t="n">
        <x:v>29.95</x:v>
      </x:c>
      <x:c r="H60" s="20" t="n">
        <x:f>E60^2*'Controls'!$B$52</x:f>
        <x:v>0.8877600000000001</x:v>
      </x:c>
      <x:c r="I60" s="20" t="n">
        <x:f>F60*G60*H60</x:f>
        <x:v>4839.090984</x:v>
      </x:c>
      <x:c r="J60" s="7" t="str">
        <x:v>2 layers x 91 bars outside central opening band</x:v>
      </x:c>
      <x:c r="K60" s="2"/>
      <x:c r="L60" s="2"/>
      <x:c r="M60" s="2"/>
      <x:c r="N60" s="2"/>
      <x:c r="O60" s="2"/>
      <x:c r="P60" s="2"/>
      <x:c r="Q60" s="2"/>
    </x:row>
    <x:row r="61" ht="22" customHeight="1">
      <x:c r="A61" s="2" t="str">
        <x:v>T1-L04-S2</x:v>
      </x:c>
      <x:c r="B61" s="2" t="str">
        <x:v>T1</x:v>
      </x:c>
      <x:c r="C61" s="2" t="str">
        <x:v>L04</x:v>
      </x:c>
      <x:c r="D61" s="2" t="str">
        <x:v>Slab X split at core</x:v>
      </x:c>
      <x:c r="E61" s="21" t="n">
        <x:v>12</x:v>
      </x:c>
      <x:c r="F61" s="21" t="n">
        <x:v>60</x:v>
      </x:c>
      <x:c r="G61" s="21" t="n">
        <x:v>25.95</x:v>
      </x:c>
      <x:c r="H61" s="21" t="n">
        <x:f>E61^2*'Controls'!$B$52</x:f>
        <x:v>0.8877600000000001</x:v>
      </x:c>
      <x:c r="I61" s="21" t="n">
        <x:f>F61*G61*H61</x:f>
        <x:v>1382.24232</x:v>
      </x:c>
      <x:c r="J61" s="2" t="str">
        <x:v>2 layers x 30 bars, split lengths combined around 4 m opening</x:v>
      </x:c>
      <x:c r="K61" s="2"/>
      <x:c r="L61" s="2"/>
      <x:c r="M61" s="2"/>
      <x:c r="N61" s="2"/>
      <x:c r="O61" s="2"/>
      <x:c r="P61" s="2"/>
      <x:c r="Q61" s="2"/>
    </x:row>
    <x:row r="62" ht="22" customHeight="1">
      <x:c r="A62" s="7" t="str">
        <x:v>T1-L04-S3</x:v>
      </x:c>
      <x:c r="B62" s="7" t="str">
        <x:v>T1</x:v>
      </x:c>
      <x:c r="C62" s="7" t="str">
        <x:v>L04</x:v>
      </x:c>
      <x:c r="D62" s="7" t="str">
        <x:v>Slab Y through strips</x:v>
      </x:c>
      <x:c r="E62" s="20" t="n">
        <x:v>12</x:v>
      </x:c>
      <x:c r="F62" s="20" t="n">
        <x:v>262</x:v>
      </x:c>
      <x:c r="G62" s="20" t="n">
        <x:v>23.95</x:v>
      </x:c>
      <x:c r="H62" s="20" t="n">
        <x:f>E62^2*'Controls'!$B$52</x:f>
        <x:v>0.8877600000000001</x:v>
      </x:c>
      <x:c r="I62" s="20" t="n">
        <x:f>F62*G62*H62</x:f>
        <x:v>5570.605224</x:v>
      </x:c>
      <x:c r="J62" s="7" t="str">
        <x:v>2 layers x 131 bars outside central opening band</x:v>
      </x:c>
      <x:c r="K62" s="2"/>
      <x:c r="L62" s="2"/>
      <x:c r="M62" s="2"/>
      <x:c r="N62" s="2"/>
      <x:c r="O62" s="2"/>
      <x:c r="P62" s="2"/>
      <x:c r="Q62" s="2"/>
    </x:row>
    <x:row r="63" ht="22" customHeight="1">
      <x:c r="A63" s="2" t="str">
        <x:v>T1-L04-S4</x:v>
      </x:c>
      <x:c r="B63" s="2" t="str">
        <x:v>T1</x:v>
      </x:c>
      <x:c r="C63" s="2" t="str">
        <x:v>L04</x:v>
      </x:c>
      <x:c r="D63" s="2" t="str">
        <x:v>Slab Y split at core</x:v>
      </x:c>
      <x:c r="E63" s="21" t="n">
        <x:v>12</x:v>
      </x:c>
      <x:c r="F63" s="21" t="n">
        <x:v>40</x:v>
      </x:c>
      <x:c r="G63" s="21" t="n">
        <x:v>17.95</x:v>
      </x:c>
      <x:c r="H63" s="21" t="n">
        <x:f>E63^2*'Controls'!$B$52</x:f>
        <x:v>0.8877600000000001</x:v>
      </x:c>
      <x:c r="I63" s="21" t="n">
        <x:f>F63*G63*H63</x:f>
        <x:v>637.41168</x:v>
      </x:c>
      <x:c r="J63" s="2" t="str">
        <x:v>2 layers x 20 bars, split around 6 m opening</x:v>
      </x:c>
      <x:c r="K63" s="2"/>
      <x:c r="L63" s="2"/>
      <x:c r="M63" s="2"/>
      <x:c r="N63" s="2"/>
      <x:c r="O63" s="2"/>
      <x:c r="P63" s="2"/>
      <x:c r="Q63" s="2"/>
    </x:row>
    <x:row r="64" ht="22" customHeight="1">
      <x:c r="A64" s="7" t="str">
        <x:v>T1-L04-S5</x:v>
      </x:c>
      <x:c r="B64" s="7" t="str">
        <x:v>T1</x:v>
      </x:c>
      <x:c r="C64" s="7" t="str">
        <x:v>L04</x:v>
      </x:c>
      <x:c r="D64" s="7" t="str">
        <x:v>Opening trim bars</x:v>
      </x:c>
      <x:c r="E64" s="20" t="n">
        <x:v>16</x:v>
      </x:c>
      <x:c r="F64" s="20" t="n">
        <x:v>16</x:v>
      </x:c>
      <x:c r="G64" s="20" t="n">
        <x:v>7.2</x:v>
      </x:c>
      <x:c r="H64" s="20" t="n">
        <x:f>E64^2*'Controls'!$B$52</x:f>
        <x:v>1.57824</x:v>
      </x:c>
      <x:c r="I64" s="20" t="n">
        <x:f>F64*G64*H64</x:f>
        <x:v>181.81324800000002</x:v>
      </x:c>
      <x:c r="J64" s="7" t="str">
        <x:v>Trim allowance, explicit scheduled lengths</x:v>
      </x:c>
      <x:c r="K64" s="2"/>
      <x:c r="L64" s="2"/>
      <x:c r="M64" s="2"/>
      <x:c r="N64" s="2"/>
      <x:c r="O64" s="2"/>
      <x:c r="P64" s="2"/>
      <x:c r="Q64" s="2"/>
    </x:row>
    <x:row r="65" ht="22" customHeight="1">
      <x:c r="A65" s="2" t="str">
        <x:v>T1-L04-BX</x:v>
      </x:c>
      <x:c r="B65" s="2" t="str">
        <x:v>T1</x:v>
      </x:c>
      <x:c r="C65" s="2" t="str">
        <x:v>L04</x:v>
      </x:c>
      <x:c r="D65" s="2" t="str">
        <x:v>X beam longitudinal</x:v>
      </x:c>
      <x:c r="E65" s="21" t="n">
        <x:v>20</x:v>
      </x:c>
      <x:c r="F65" s="21" t="n">
        <x:v>150</x:v>
      </x:c>
      <x:c r="G65" s="21" t="n">
        <x:v>6.5</x:v>
      </x:c>
      <x:c r="H65" s="21" t="n">
        <x:f>E65^2*'Controls'!$B$52</x:f>
        <x:v>2.466</x:v>
      </x:c>
      <x:c r="I65" s="21" t="n">
        <x:f>F65*G65*H65</x:f>
        <x:v>2404.3500000000004</x:v>
      </x:c>
      <x:c r="J65" s="2" t="str">
        <x:v>25 spans x 6 bars incl. 1 m lap/anchorage provision</x:v>
      </x:c>
      <x:c r="K65" s="2"/>
      <x:c r="L65" s="2"/>
      <x:c r="M65" s="2"/>
      <x:c r="N65" s="2"/>
      <x:c r="O65" s="2"/>
      <x:c r="P65" s="2"/>
      <x:c r="Q65" s="2"/>
    </x:row>
    <x:row r="66" ht="22" customHeight="1">
      <x:c r="A66" s="7" t="str">
        <x:v>T1-L04-BY</x:v>
      </x:c>
      <x:c r="B66" s="7" t="str">
        <x:v>T1</x:v>
      </x:c>
      <x:c r="C66" s="7" t="str">
        <x:v>L04</x:v>
      </x:c>
      <x:c r="D66" s="7" t="str">
        <x:v>Y beam longitudinal</x:v>
      </x:c>
      <x:c r="E66" s="20" t="n">
        <x:v>20</x:v>
      </x:c>
      <x:c r="F66" s="20" t="n">
        <x:v>144</x:v>
      </x:c>
      <x:c r="G66" s="20" t="n">
        <x:v>6.5</x:v>
      </x:c>
      <x:c r="H66" s="20" t="n">
        <x:f>E66^2*'Controls'!$B$52</x:f>
        <x:v>2.466</x:v>
      </x:c>
      <x:c r="I66" s="20" t="n">
        <x:f>F66*G66*H66</x:f>
        <x:v>2308.1760000000004</x:v>
      </x:c>
      <x:c r="J66" s="7" t="str">
        <x:v>24 spans x 6 bars</x:v>
      </x:c>
      <x:c r="K66" s="2"/>
      <x:c r="L66" s="2"/>
      <x:c r="M66" s="2"/>
      <x:c r="N66" s="2"/>
      <x:c r="O66" s="2"/>
      <x:c r="P66" s="2"/>
      <x:c r="Q66" s="2"/>
    </x:row>
    <x:row r="67" ht="22" customHeight="1">
      <x:c r="A67" s="2" t="str">
        <x:v>T1-L04-BT</x:v>
      </x:c>
      <x:c r="B67" s="2" t="str">
        <x:v>T1</x:v>
      </x:c>
      <x:c r="C67" s="2" t="str">
        <x:v>L04</x:v>
      </x:c>
      <x:c r="D67" s="2" t="str">
        <x:v>Beam closed links</x:v>
      </x:c>
      <x:c r="E67" s="21" t="n">
        <x:v>10</x:v>
      </x:c>
      <x:c r="F67" s="21" t="n">
        <x:v>1421</x:v>
      </x:c>
      <x:c r="G67" s="21" t="n">
        <x:v>1.7</x:v>
      </x:c>
      <x:c r="H67" s="21" t="n">
        <x:f>E67^2*'Controls'!$B$52</x:f>
        <x:v>0.6165</x:v>
      </x:c>
      <x:c r="I67" s="21" t="n">
        <x:f>F67*G67*H67</x:f>
        <x:v>1489.27905</x:v>
      </x:c>
      <x:c r="J67" s="2" t="str">
        <x:v>49 beams x 29 links, 200 mm nominal</x:v>
      </x:c>
      <x:c r="K67" s="2"/>
      <x:c r="L67" s="2"/>
      <x:c r="M67" s="2"/>
      <x:c r="N67" s="2"/>
      <x:c r="O67" s="2"/>
      <x:c r="P67" s="2"/>
      <x:c r="Q67" s="2"/>
    </x:row>
    <x:row r="68" ht="22" customHeight="1">
      <x:c r="A68" s="7" t="str">
        <x:v>T1-L04-CL</x:v>
      </x:c>
      <x:c r="B68" s="7" t="str">
        <x:v>T1</x:v>
      </x:c>
      <x:c r="C68" s="7" t="str">
        <x:v>L04</x:v>
      </x:c>
      <x:c r="D68" s="7" t="str">
        <x:v>Column longitudinal</x:v>
      </x:c>
      <x:c r="E68" s="20" t="n">
        <x:v>25</x:v>
      </x:c>
      <x:c r="F68" s="20" t="n">
        <x:v>360</x:v>
      </x:c>
      <x:c r="G68" s="20" t="n">
        <x:v>3.9</x:v>
      </x:c>
      <x:c r="H68" s="20" t="n">
        <x:f>E68^2*'Controls'!$B$52</x:f>
        <x:v>3.8531250000000004</x:v>
      </x:c>
      <x:c r="I68" s="20" t="n">
        <x:f>F68*G68*H68</x:f>
        <x:v>5409.7875</x:v>
      </x:c>
      <x:c r="J68" s="7" t="str">
        <x:v>30 columns x 12 bars incl. lap</x:v>
      </x:c>
      <x:c r="K68" s="2"/>
      <x:c r="L68" s="2"/>
      <x:c r="M68" s="2"/>
      <x:c r="N68" s="2"/>
      <x:c r="O68" s="2"/>
      <x:c r="P68" s="2"/>
      <x:c r="Q68" s="2"/>
    </x:row>
    <x:row r="69" ht="22" customHeight="1">
      <x:c r="A69" s="2" t="str">
        <x:v>T1-L04-CT</x:v>
      </x:c>
      <x:c r="B69" s="2" t="str">
        <x:v>T1</x:v>
      </x:c>
      <x:c r="C69" s="2" t="str">
        <x:v>L04</x:v>
      </x:c>
      <x:c r="D69" s="2" t="str">
        <x:v>Column ties</x:v>
      </x:c>
      <x:c r="E69" s="21" t="n">
        <x:v>10</x:v>
      </x:c>
      <x:c r="F69" s="21" t="n">
        <x:v>510</x:v>
      </x:c>
      <x:c r="G69" s="21" t="n">
        <x:v>1.96</x:v>
      </x:c>
      <x:c r="H69" s="21" t="n">
        <x:f>E69^2*'Controls'!$B$52</x:f>
        <x:v>0.6165</x:v>
      </x:c>
      <x:c r="I69" s="21" t="n">
        <x:f>F69*G69*H69</x:f>
        <x:v>616.2534</x:v>
      </x:c>
      <x:c r="J69" s="2" t="str">
        <x:v>30 columns x 17 ties, cover and hooks included</x:v>
      </x:c>
      <x:c r="K69" s="2"/>
      <x:c r="L69" s="2"/>
      <x:c r="M69" s="2"/>
      <x:c r="N69" s="2"/>
      <x:c r="O69" s="2"/>
      <x:c r="P69" s="2"/>
      <x:c r="Q69" s="2"/>
    </x:row>
    <x:row r="70" ht="22" customHeight="1">
      <x:c r="A70" s="7" t="str">
        <x:v>T1-L04-CV</x:v>
      </x:c>
      <x:c r="B70" s="7" t="str">
        <x:v>T1</x:v>
      </x:c>
      <x:c r="C70" s="7" t="str">
        <x:v>L04</x:v>
      </x:c>
      <x:c r="D70" s="7" t="str">
        <x:v>Core vertical bars</x:v>
      </x:c>
      <x:c r="E70" s="20" t="n">
        <x:v>16</x:v>
      </x:c>
      <x:c r="F70" s="20" t="n">
        <x:v>244</x:v>
      </x:c>
      <x:c r="G70" s="20" t="n">
        <x:v>3.9</x:v>
      </x:c>
      <x:c r="H70" s="20" t="n">
        <x:f>E70^2*'Controls'!$B$52</x:f>
        <x:v>1.57824</x:v>
      </x:c>
      <x:c r="I70" s="20" t="n">
        <x:f>F70*G70*H70</x:f>
        <x:v>1501.853184</x:v>
      </x:c>
      <x:c r="J70" s="7" t="str">
        <x:v>Two faces, 200 mm nominal along 24 m net length</x:v>
      </x:c>
      <x:c r="K70" s="2"/>
      <x:c r="L70" s="2"/>
      <x:c r="M70" s="2"/>
      <x:c r="N70" s="2"/>
      <x:c r="O70" s="2"/>
      <x:c r="P70" s="2"/>
      <x:c r="Q70" s="2"/>
    </x:row>
    <x:row r="71" ht="22" customHeight="1">
      <x:c r="A71" s="2" t="str">
        <x:v>T1-L04-CH</x:v>
      </x:c>
      <x:c r="B71" s="2" t="str">
        <x:v>T1</x:v>
      </x:c>
      <x:c r="C71" s="2" t="str">
        <x:v>L04</x:v>
      </x:c>
      <x:c r="D71" s="2" t="str">
        <x:v>Core horizontal bars</x:v>
      </x:c>
      <x:c r="E71" s="21" t="n">
        <x:v>12</x:v>
      </x:c>
      <x:c r="F71" s="21" t="n">
        <x:v>32</x:v>
      </x:c>
      <x:c r="G71" s="21" t="n">
        <x:v>25</x:v>
      </x:c>
      <x:c r="H71" s="21" t="n">
        <x:f>E71^2*'Controls'!$B$52</x:f>
        <x:v>0.8877600000000001</x:v>
      </x:c>
      <x:c r="I71" s="21" t="n">
        <x:f>F71*G71*H71</x:f>
        <x:v>710.2080000000001</x:v>
      </x:c>
      <x:c r="J71" s="2" t="str">
        <x:v>Two faces x 16 layers incl. lap</x:v>
      </x:c>
      <x:c r="K71" s="2"/>
      <x:c r="L71" s="2"/>
      <x:c r="M71" s="2"/>
      <x:c r="N71" s="2"/>
      <x:c r="O71" s="2"/>
      <x:c r="P71" s="2"/>
      <x:c r="Q71" s="2"/>
    </x:row>
    <x:row r="72" ht="22" customHeight="1">
      <x:c r="A72" s="7" t="str">
        <x:v>T1-L04-ST</x:v>
      </x:c>
      <x:c r="B72" s="7" t="str">
        <x:v>T1</x:v>
      </x:c>
      <x:c r="C72" s="7" t="str">
        <x:v>L04</x:v>
      </x:c>
      <x:c r="D72" s="7" t="str">
        <x:v>Stair flights and landings</x:v>
      </x:c>
      <x:c r="E72" s="20" t="n">
        <x:v>12</x:v>
      </x:c>
      <x:c r="F72" s="20" t="n">
        <x:v>80</x:v>
      </x:c>
      <x:c r="G72" s="20" t="n">
        <x:v>4.8</x:v>
      </x:c>
      <x:c r="H72" s="20" t="n">
        <x:f>E72^2*'Controls'!$B$52</x:f>
        <x:v>0.8877600000000001</x:v>
      </x:c>
      <x:c r="I72" s="20" t="n">
        <x:f>F72*G72*H72</x:f>
        <x:v>340.89984000000004</x:v>
      </x:c>
      <x:c r="J72" s="7" t="str">
        <x:v>Separate stair reinforcement allowance</x:v>
      </x:c>
      <x:c r="K72" s="2"/>
      <x:c r="L72" s="2"/>
      <x:c r="M72" s="2"/>
      <x:c r="N72" s="2"/>
      <x:c r="O72" s="2"/>
      <x:c r="P72" s="2"/>
      <x:c r="Q72" s="2"/>
    </x:row>
    <x:row r="73" ht="22" customHeight="1">
      <x:c r="A73" s="2" t="str">
        <x:v>T1-L05-S1</x:v>
      </x:c>
      <x:c r="B73" s="2" t="str">
        <x:v>T1</x:v>
      </x:c>
      <x:c r="C73" s="2" t="str">
        <x:v>L05</x:v>
      </x:c>
      <x:c r="D73" s="2" t="str">
        <x:v>Slab X through strips</x:v>
      </x:c>
      <x:c r="E73" s="21" t="n">
        <x:v>12</x:v>
      </x:c>
      <x:c r="F73" s="21" t="n">
        <x:v>182</x:v>
      </x:c>
      <x:c r="G73" s="21" t="n">
        <x:v>29.95</x:v>
      </x:c>
      <x:c r="H73" s="21" t="n">
        <x:f>E73^2*'Controls'!$B$52</x:f>
        <x:v>0.8877600000000001</x:v>
      </x:c>
      <x:c r="I73" s="21" t="n">
        <x:f>F73*G73*H73</x:f>
        <x:v>4839.090984</x:v>
      </x:c>
      <x:c r="J73" s="2" t="str">
        <x:v>2 layers x 91 bars outside central opening band</x:v>
      </x:c>
      <x:c r="K73" s="2"/>
      <x:c r="L73" s="2"/>
      <x:c r="M73" s="2"/>
      <x:c r="N73" s="2"/>
      <x:c r="O73" s="2"/>
      <x:c r="P73" s="2"/>
      <x:c r="Q73" s="2"/>
    </x:row>
    <x:row r="74" ht="22" customHeight="1">
      <x:c r="A74" s="7" t="str">
        <x:v>T1-L05-S2</x:v>
      </x:c>
      <x:c r="B74" s="7" t="str">
        <x:v>T1</x:v>
      </x:c>
      <x:c r="C74" s="7" t="str">
        <x:v>L05</x:v>
      </x:c>
      <x:c r="D74" s="7" t="str">
        <x:v>Slab X split at core</x:v>
      </x:c>
      <x:c r="E74" s="20" t="n">
        <x:v>12</x:v>
      </x:c>
      <x:c r="F74" s="20" t="n">
        <x:v>60</x:v>
      </x:c>
      <x:c r="G74" s="20" t="n">
        <x:v>25.95</x:v>
      </x:c>
      <x:c r="H74" s="20" t="n">
        <x:f>E74^2*'Controls'!$B$52</x:f>
        <x:v>0.8877600000000001</x:v>
      </x:c>
      <x:c r="I74" s="20" t="n">
        <x:f>F74*G74*H74</x:f>
        <x:v>1382.24232</x:v>
      </x:c>
      <x:c r="J74" s="7" t="str">
        <x:v>2 layers x 30 bars, split lengths combined around 4 m opening</x:v>
      </x:c>
      <x:c r="K74" s="2"/>
      <x:c r="L74" s="2"/>
      <x:c r="M74" s="2"/>
      <x:c r="N74" s="2"/>
      <x:c r="O74" s="2"/>
      <x:c r="P74" s="2"/>
      <x:c r="Q74" s="2"/>
    </x:row>
    <x:row r="75" ht="22" customHeight="1">
      <x:c r="A75" s="2" t="str">
        <x:v>T1-L05-S3</x:v>
      </x:c>
      <x:c r="B75" s="2" t="str">
        <x:v>T1</x:v>
      </x:c>
      <x:c r="C75" s="2" t="str">
        <x:v>L05</x:v>
      </x:c>
      <x:c r="D75" s="2" t="str">
        <x:v>Slab Y through strips</x:v>
      </x:c>
      <x:c r="E75" s="21" t="n">
        <x:v>12</x:v>
      </x:c>
      <x:c r="F75" s="21" t="n">
        <x:v>262</x:v>
      </x:c>
      <x:c r="G75" s="21" t="n">
        <x:v>23.95</x:v>
      </x:c>
      <x:c r="H75" s="21" t="n">
        <x:f>E75^2*'Controls'!$B$52</x:f>
        <x:v>0.8877600000000001</x:v>
      </x:c>
      <x:c r="I75" s="21" t="n">
        <x:f>F75*G75*H75</x:f>
        <x:v>5570.605224</x:v>
      </x:c>
      <x:c r="J75" s="2" t="str">
        <x:v>2 layers x 131 bars outside central opening band</x:v>
      </x:c>
      <x:c r="K75" s="2"/>
      <x:c r="L75" s="2"/>
      <x:c r="M75" s="2"/>
      <x:c r="N75" s="2"/>
      <x:c r="O75" s="2"/>
      <x:c r="P75" s="2"/>
      <x:c r="Q75" s="2"/>
    </x:row>
    <x:row r="76" ht="22" customHeight="1">
      <x:c r="A76" s="7" t="str">
        <x:v>T1-L05-S4</x:v>
      </x:c>
      <x:c r="B76" s="7" t="str">
        <x:v>T1</x:v>
      </x:c>
      <x:c r="C76" s="7" t="str">
        <x:v>L05</x:v>
      </x:c>
      <x:c r="D76" s="7" t="str">
        <x:v>Slab Y split at core</x:v>
      </x:c>
      <x:c r="E76" s="20" t="n">
        <x:v>12</x:v>
      </x:c>
      <x:c r="F76" s="20" t="n">
        <x:v>40</x:v>
      </x:c>
      <x:c r="G76" s="20" t="n">
        <x:v>17.95</x:v>
      </x:c>
      <x:c r="H76" s="20" t="n">
        <x:f>E76^2*'Controls'!$B$52</x:f>
        <x:v>0.8877600000000001</x:v>
      </x:c>
      <x:c r="I76" s="20" t="n">
        <x:f>F76*G76*H76</x:f>
        <x:v>637.41168</x:v>
      </x:c>
      <x:c r="J76" s="7" t="str">
        <x:v>2 layers x 20 bars, split around 6 m opening</x:v>
      </x:c>
      <x:c r="K76" s="2"/>
      <x:c r="L76" s="2"/>
      <x:c r="M76" s="2"/>
      <x:c r="N76" s="2"/>
      <x:c r="O76" s="2"/>
      <x:c r="P76" s="2"/>
      <x:c r="Q76" s="2"/>
    </x:row>
    <x:row r="77" ht="22" customHeight="1">
      <x:c r="A77" s="2" t="str">
        <x:v>T1-L05-S5</x:v>
      </x:c>
      <x:c r="B77" s="2" t="str">
        <x:v>T1</x:v>
      </x:c>
      <x:c r="C77" s="2" t="str">
        <x:v>L05</x:v>
      </x:c>
      <x:c r="D77" s="2" t="str">
        <x:v>Opening trim bars</x:v>
      </x:c>
      <x:c r="E77" s="21" t="n">
        <x:v>16</x:v>
      </x:c>
      <x:c r="F77" s="21" t="n">
        <x:v>16</x:v>
      </x:c>
      <x:c r="G77" s="21" t="n">
        <x:v>7.2</x:v>
      </x:c>
      <x:c r="H77" s="21" t="n">
        <x:f>E77^2*'Controls'!$B$52</x:f>
        <x:v>1.57824</x:v>
      </x:c>
      <x:c r="I77" s="21" t="n">
        <x:f>F77*G77*H77</x:f>
        <x:v>181.81324800000002</x:v>
      </x:c>
      <x:c r="J77" s="2" t="str">
        <x:v>Trim allowance, explicit scheduled lengths</x:v>
      </x:c>
      <x:c r="K77" s="2"/>
      <x:c r="L77" s="2"/>
      <x:c r="M77" s="2"/>
      <x:c r="N77" s="2"/>
      <x:c r="O77" s="2"/>
      <x:c r="P77" s="2"/>
      <x:c r="Q77" s="2"/>
    </x:row>
    <x:row r="78" ht="22" customHeight="1">
      <x:c r="A78" s="7" t="str">
        <x:v>T1-L05-BX</x:v>
      </x:c>
      <x:c r="B78" s="7" t="str">
        <x:v>T1</x:v>
      </x:c>
      <x:c r="C78" s="7" t="str">
        <x:v>L05</x:v>
      </x:c>
      <x:c r="D78" s="7" t="str">
        <x:v>X beam longitudinal</x:v>
      </x:c>
      <x:c r="E78" s="20" t="n">
        <x:v>20</x:v>
      </x:c>
      <x:c r="F78" s="20" t="n">
        <x:v>150</x:v>
      </x:c>
      <x:c r="G78" s="20" t="n">
        <x:v>6.5</x:v>
      </x:c>
      <x:c r="H78" s="20" t="n">
        <x:f>E78^2*'Controls'!$B$52</x:f>
        <x:v>2.466</x:v>
      </x:c>
      <x:c r="I78" s="20" t="n">
        <x:f>F78*G78*H78</x:f>
        <x:v>2404.3500000000004</x:v>
      </x:c>
      <x:c r="J78" s="7" t="str">
        <x:v>25 spans x 6 bars incl. 1 m lap/anchorage provision</x:v>
      </x:c>
      <x:c r="K78" s="2"/>
      <x:c r="L78" s="2"/>
      <x:c r="M78" s="2"/>
      <x:c r="N78" s="2"/>
      <x:c r="O78" s="2"/>
      <x:c r="P78" s="2"/>
      <x:c r="Q78" s="2"/>
    </x:row>
    <x:row r="79" ht="22" customHeight="1">
      <x:c r="A79" s="2" t="str">
        <x:v>T1-L05-BY</x:v>
      </x:c>
      <x:c r="B79" s="2" t="str">
        <x:v>T1</x:v>
      </x:c>
      <x:c r="C79" s="2" t="str">
        <x:v>L05</x:v>
      </x:c>
      <x:c r="D79" s="2" t="str">
        <x:v>Y beam longitudinal</x:v>
      </x:c>
      <x:c r="E79" s="21" t="n">
        <x:v>20</x:v>
      </x:c>
      <x:c r="F79" s="21" t="n">
        <x:v>144</x:v>
      </x:c>
      <x:c r="G79" s="21" t="n">
        <x:v>6.5</x:v>
      </x:c>
      <x:c r="H79" s="21" t="n">
        <x:f>E79^2*'Controls'!$B$52</x:f>
        <x:v>2.466</x:v>
      </x:c>
      <x:c r="I79" s="21" t="n">
        <x:f>F79*G79*H79</x:f>
        <x:v>2308.1760000000004</x:v>
      </x:c>
      <x:c r="J79" s="2" t="str">
        <x:v>24 spans x 6 bars</x:v>
      </x:c>
      <x:c r="K79" s="2"/>
      <x:c r="L79" s="2"/>
      <x:c r="M79" s="2"/>
      <x:c r="N79" s="2"/>
      <x:c r="O79" s="2"/>
      <x:c r="P79" s="2"/>
      <x:c r="Q79" s="2"/>
    </x:row>
    <x:row r="80" ht="22" customHeight="1">
      <x:c r="A80" s="7" t="str">
        <x:v>T1-L05-BT</x:v>
      </x:c>
      <x:c r="B80" s="7" t="str">
        <x:v>T1</x:v>
      </x:c>
      <x:c r="C80" s="7" t="str">
        <x:v>L05</x:v>
      </x:c>
      <x:c r="D80" s="7" t="str">
        <x:v>Beam closed links</x:v>
      </x:c>
      <x:c r="E80" s="20" t="n">
        <x:v>10</x:v>
      </x:c>
      <x:c r="F80" s="20" t="n">
        <x:v>1421</x:v>
      </x:c>
      <x:c r="G80" s="20" t="n">
        <x:v>1.7</x:v>
      </x:c>
      <x:c r="H80" s="20" t="n">
        <x:f>E80^2*'Controls'!$B$52</x:f>
        <x:v>0.6165</x:v>
      </x:c>
      <x:c r="I80" s="20" t="n">
        <x:f>F80*G80*H80</x:f>
        <x:v>1489.27905</x:v>
      </x:c>
      <x:c r="J80" s="7" t="str">
        <x:v>49 beams x 29 links, 200 mm nominal</x:v>
      </x:c>
      <x:c r="K80" s="2"/>
      <x:c r="L80" s="2"/>
      <x:c r="M80" s="2"/>
      <x:c r="N80" s="2"/>
      <x:c r="O80" s="2"/>
      <x:c r="P80" s="2"/>
      <x:c r="Q80" s="2"/>
    </x:row>
    <x:row r="81" ht="22" customHeight="1">
      <x:c r="A81" s="2" t="str">
        <x:v>T1-L05-CL</x:v>
      </x:c>
      <x:c r="B81" s="2" t="str">
        <x:v>T1</x:v>
      </x:c>
      <x:c r="C81" s="2" t="str">
        <x:v>L05</x:v>
      </x:c>
      <x:c r="D81" s="2" t="str">
        <x:v>Column longitudinal</x:v>
      </x:c>
      <x:c r="E81" s="21" t="n">
        <x:v>25</x:v>
      </x:c>
      <x:c r="F81" s="21" t="n">
        <x:v>360</x:v>
      </x:c>
      <x:c r="G81" s="21" t="n">
        <x:v>3.9</x:v>
      </x:c>
      <x:c r="H81" s="21" t="n">
        <x:f>E81^2*'Controls'!$B$52</x:f>
        <x:v>3.8531250000000004</x:v>
      </x:c>
      <x:c r="I81" s="21" t="n">
        <x:f>F81*G81*H81</x:f>
        <x:v>5409.7875</x:v>
      </x:c>
      <x:c r="J81" s="2" t="str">
        <x:v>30 columns x 12 bars incl. lap</x:v>
      </x:c>
      <x:c r="K81" s="2"/>
      <x:c r="L81" s="2"/>
      <x:c r="M81" s="2"/>
      <x:c r="N81" s="2"/>
      <x:c r="O81" s="2"/>
      <x:c r="P81" s="2"/>
      <x:c r="Q81" s="2"/>
    </x:row>
    <x:row r="82" ht="22" customHeight="1">
      <x:c r="A82" s="7" t="str">
        <x:v>T1-L05-CT</x:v>
      </x:c>
      <x:c r="B82" s="7" t="str">
        <x:v>T1</x:v>
      </x:c>
      <x:c r="C82" s="7" t="str">
        <x:v>L05</x:v>
      </x:c>
      <x:c r="D82" s="7" t="str">
        <x:v>Column ties</x:v>
      </x:c>
      <x:c r="E82" s="20" t="n">
        <x:v>10</x:v>
      </x:c>
      <x:c r="F82" s="20" t="n">
        <x:v>510</x:v>
      </x:c>
      <x:c r="G82" s="20" t="n">
        <x:v>1.96</x:v>
      </x:c>
      <x:c r="H82" s="20" t="n">
        <x:f>E82^2*'Controls'!$B$52</x:f>
        <x:v>0.6165</x:v>
      </x:c>
      <x:c r="I82" s="20" t="n">
        <x:f>F82*G82*H82</x:f>
        <x:v>616.2534</x:v>
      </x:c>
      <x:c r="J82" s="7" t="str">
        <x:v>30 columns x 17 ties, cover and hooks included</x:v>
      </x:c>
      <x:c r="K82" s="2"/>
      <x:c r="L82" s="2"/>
      <x:c r="M82" s="2"/>
      <x:c r="N82" s="2"/>
      <x:c r="O82" s="2"/>
      <x:c r="P82" s="2"/>
      <x:c r="Q82" s="2"/>
    </x:row>
    <x:row r="83" ht="22" customHeight="1">
      <x:c r="A83" s="2" t="str">
        <x:v>T1-L05-CV</x:v>
      </x:c>
      <x:c r="B83" s="2" t="str">
        <x:v>T1</x:v>
      </x:c>
      <x:c r="C83" s="2" t="str">
        <x:v>L05</x:v>
      </x:c>
      <x:c r="D83" s="2" t="str">
        <x:v>Core vertical bars</x:v>
      </x:c>
      <x:c r="E83" s="21" t="n">
        <x:v>16</x:v>
      </x:c>
      <x:c r="F83" s="21" t="n">
        <x:v>244</x:v>
      </x:c>
      <x:c r="G83" s="21" t="n">
        <x:v>3.9</x:v>
      </x:c>
      <x:c r="H83" s="21" t="n">
        <x:f>E83^2*'Controls'!$B$52</x:f>
        <x:v>1.57824</x:v>
      </x:c>
      <x:c r="I83" s="21" t="n">
        <x:f>F83*G83*H83</x:f>
        <x:v>1501.853184</x:v>
      </x:c>
      <x:c r="J83" s="2" t="str">
        <x:v>Two faces, 200 mm nominal along 24 m net length</x:v>
      </x:c>
      <x:c r="K83" s="2"/>
      <x:c r="L83" s="2"/>
      <x:c r="M83" s="2"/>
      <x:c r="N83" s="2"/>
      <x:c r="O83" s="2"/>
      <x:c r="P83" s="2"/>
      <x:c r="Q83" s="2"/>
    </x:row>
    <x:row r="84" ht="22" customHeight="1">
      <x:c r="A84" s="7" t="str">
        <x:v>T1-L05-CH</x:v>
      </x:c>
      <x:c r="B84" s="7" t="str">
        <x:v>T1</x:v>
      </x:c>
      <x:c r="C84" s="7" t="str">
        <x:v>L05</x:v>
      </x:c>
      <x:c r="D84" s="7" t="str">
        <x:v>Core horizontal bars</x:v>
      </x:c>
      <x:c r="E84" s="20" t="n">
        <x:v>12</x:v>
      </x:c>
      <x:c r="F84" s="20" t="n">
        <x:v>32</x:v>
      </x:c>
      <x:c r="G84" s="20" t="n">
        <x:v>25</x:v>
      </x:c>
      <x:c r="H84" s="20" t="n">
        <x:f>E84^2*'Controls'!$B$52</x:f>
        <x:v>0.8877600000000001</x:v>
      </x:c>
      <x:c r="I84" s="20" t="n">
        <x:f>F84*G84*H84</x:f>
        <x:v>710.2080000000001</x:v>
      </x:c>
      <x:c r="J84" s="7" t="str">
        <x:v>Two faces x 16 layers incl. lap</x:v>
      </x:c>
      <x:c r="K84" s="2"/>
      <x:c r="L84" s="2"/>
      <x:c r="M84" s="2"/>
      <x:c r="N84" s="2"/>
      <x:c r="O84" s="2"/>
      <x:c r="P84" s="2"/>
      <x:c r="Q84" s="2"/>
    </x:row>
    <x:row r="85" ht="22" customHeight="1">
      <x:c r="A85" s="2" t="str">
        <x:v>T1-L05-ST</x:v>
      </x:c>
      <x:c r="B85" s="2" t="str">
        <x:v>T1</x:v>
      </x:c>
      <x:c r="C85" s="2" t="str">
        <x:v>L05</x:v>
      </x:c>
      <x:c r="D85" s="2" t="str">
        <x:v>Stair flights and landings</x:v>
      </x:c>
      <x:c r="E85" s="21" t="n">
        <x:v>12</x:v>
      </x:c>
      <x:c r="F85" s="21" t="n">
        <x:v>80</x:v>
      </x:c>
      <x:c r="G85" s="21" t="n">
        <x:v>4.8</x:v>
      </x:c>
      <x:c r="H85" s="21" t="n">
        <x:f>E85^2*'Controls'!$B$52</x:f>
        <x:v>0.8877600000000001</x:v>
      </x:c>
      <x:c r="I85" s="21" t="n">
        <x:f>F85*G85*H85</x:f>
        <x:v>340.89984000000004</x:v>
      </x:c>
      <x:c r="J85" s="2" t="str">
        <x:v>Separate stair reinforcement allowance</x:v>
      </x:c>
      <x:c r="K85" s="2"/>
      <x:c r="L85" s="2"/>
      <x:c r="M85" s="2"/>
      <x:c r="N85" s="2"/>
      <x:c r="O85" s="2"/>
      <x:c r="P85" s="2"/>
      <x:c r="Q85" s="2"/>
    </x:row>
    <x:row r="86" ht="22" customHeight="1">
      <x:c r="A86" s="7" t="str">
        <x:v>T1-L06-S1</x:v>
      </x:c>
      <x:c r="B86" s="7" t="str">
        <x:v>T1</x:v>
      </x:c>
      <x:c r="C86" s="7" t="str">
        <x:v>L06</x:v>
      </x:c>
      <x:c r="D86" s="7" t="str">
        <x:v>Slab X through strips</x:v>
      </x:c>
      <x:c r="E86" s="20" t="n">
        <x:v>12</x:v>
      </x:c>
      <x:c r="F86" s="20" t="n">
        <x:v>182</x:v>
      </x:c>
      <x:c r="G86" s="20" t="n">
        <x:v>29.95</x:v>
      </x:c>
      <x:c r="H86" s="20" t="n">
        <x:f>E86^2*'Controls'!$B$52</x:f>
        <x:v>0.8877600000000001</x:v>
      </x:c>
      <x:c r="I86" s="20" t="n">
        <x:f>F86*G86*H86</x:f>
        <x:v>4839.090984</x:v>
      </x:c>
      <x:c r="J86" s="7" t="str">
        <x:v>2 layers x 91 bars outside central opening band</x:v>
      </x:c>
      <x:c r="K86" s="2"/>
      <x:c r="L86" s="2"/>
      <x:c r="M86" s="2"/>
      <x:c r="N86" s="2"/>
      <x:c r="O86" s="2"/>
      <x:c r="P86" s="2"/>
      <x:c r="Q86" s="2"/>
    </x:row>
    <x:row r="87" ht="22" customHeight="1">
      <x:c r="A87" s="2" t="str">
        <x:v>T1-L06-S2</x:v>
      </x:c>
      <x:c r="B87" s="2" t="str">
        <x:v>T1</x:v>
      </x:c>
      <x:c r="C87" s="2" t="str">
        <x:v>L06</x:v>
      </x:c>
      <x:c r="D87" s="2" t="str">
        <x:v>Slab X split at core</x:v>
      </x:c>
      <x:c r="E87" s="21" t="n">
        <x:v>12</x:v>
      </x:c>
      <x:c r="F87" s="21" t="n">
        <x:v>60</x:v>
      </x:c>
      <x:c r="G87" s="21" t="n">
        <x:v>25.95</x:v>
      </x:c>
      <x:c r="H87" s="21" t="n">
        <x:f>E87^2*'Controls'!$B$52</x:f>
        <x:v>0.8877600000000001</x:v>
      </x:c>
      <x:c r="I87" s="21" t="n">
        <x:f>F87*G87*H87</x:f>
        <x:v>1382.24232</x:v>
      </x:c>
      <x:c r="J87" s="2" t="str">
        <x:v>2 layers x 30 bars, split lengths combined around 4 m opening</x:v>
      </x:c>
      <x:c r="K87" s="2"/>
      <x:c r="L87" s="2"/>
      <x:c r="M87" s="2"/>
      <x:c r="N87" s="2"/>
      <x:c r="O87" s="2"/>
      <x:c r="P87" s="2"/>
      <x:c r="Q87" s="2"/>
    </x:row>
    <x:row r="88" ht="22" customHeight="1">
      <x:c r="A88" s="7" t="str">
        <x:v>T1-L06-S3</x:v>
      </x:c>
      <x:c r="B88" s="7" t="str">
        <x:v>T1</x:v>
      </x:c>
      <x:c r="C88" s="7" t="str">
        <x:v>L06</x:v>
      </x:c>
      <x:c r="D88" s="7" t="str">
        <x:v>Slab Y through strips</x:v>
      </x:c>
      <x:c r="E88" s="20" t="n">
        <x:v>12</x:v>
      </x:c>
      <x:c r="F88" s="20" t="n">
        <x:v>262</x:v>
      </x:c>
      <x:c r="G88" s="20" t="n">
        <x:v>23.95</x:v>
      </x:c>
      <x:c r="H88" s="20" t="n">
        <x:f>E88^2*'Controls'!$B$52</x:f>
        <x:v>0.8877600000000001</x:v>
      </x:c>
      <x:c r="I88" s="20" t="n">
        <x:f>F88*G88*H88</x:f>
        <x:v>5570.605224</x:v>
      </x:c>
      <x:c r="J88" s="7" t="str">
        <x:v>2 layers x 131 bars outside central opening band</x:v>
      </x:c>
      <x:c r="K88" s="2"/>
      <x:c r="L88" s="2"/>
      <x:c r="M88" s="2"/>
      <x:c r="N88" s="2"/>
      <x:c r="O88" s="2"/>
      <x:c r="P88" s="2"/>
      <x:c r="Q88" s="2"/>
    </x:row>
    <x:row r="89" ht="22" customHeight="1">
      <x:c r="A89" s="2" t="str">
        <x:v>T1-L06-S4</x:v>
      </x:c>
      <x:c r="B89" s="2" t="str">
        <x:v>T1</x:v>
      </x:c>
      <x:c r="C89" s="2" t="str">
        <x:v>L06</x:v>
      </x:c>
      <x:c r="D89" s="2" t="str">
        <x:v>Slab Y split at core</x:v>
      </x:c>
      <x:c r="E89" s="21" t="n">
        <x:v>12</x:v>
      </x:c>
      <x:c r="F89" s="21" t="n">
        <x:v>40</x:v>
      </x:c>
      <x:c r="G89" s="21" t="n">
        <x:v>17.95</x:v>
      </x:c>
      <x:c r="H89" s="21" t="n">
        <x:f>E89^2*'Controls'!$B$52</x:f>
        <x:v>0.8877600000000001</x:v>
      </x:c>
      <x:c r="I89" s="21" t="n">
        <x:f>F89*G89*H89</x:f>
        <x:v>637.41168</x:v>
      </x:c>
      <x:c r="J89" s="2" t="str">
        <x:v>2 layers x 20 bars, split around 6 m opening</x:v>
      </x:c>
      <x:c r="K89" s="2"/>
      <x:c r="L89" s="2"/>
      <x:c r="M89" s="2"/>
      <x:c r="N89" s="2"/>
      <x:c r="O89" s="2"/>
      <x:c r="P89" s="2"/>
      <x:c r="Q89" s="2"/>
    </x:row>
    <x:row r="90" ht="22" customHeight="1">
      <x:c r="A90" s="7" t="str">
        <x:v>T1-L06-S5</x:v>
      </x:c>
      <x:c r="B90" s="7" t="str">
        <x:v>T1</x:v>
      </x:c>
      <x:c r="C90" s="7" t="str">
        <x:v>L06</x:v>
      </x:c>
      <x:c r="D90" s="7" t="str">
        <x:v>Opening trim bars</x:v>
      </x:c>
      <x:c r="E90" s="20" t="n">
        <x:v>16</x:v>
      </x:c>
      <x:c r="F90" s="20" t="n">
        <x:v>16</x:v>
      </x:c>
      <x:c r="G90" s="20" t="n">
        <x:v>7.2</x:v>
      </x:c>
      <x:c r="H90" s="20" t="n">
        <x:f>E90^2*'Controls'!$B$52</x:f>
        <x:v>1.57824</x:v>
      </x:c>
      <x:c r="I90" s="20" t="n">
        <x:f>F90*G90*H90</x:f>
        <x:v>181.81324800000002</x:v>
      </x:c>
      <x:c r="J90" s="7" t="str">
        <x:v>Trim allowance, explicit scheduled lengths</x:v>
      </x:c>
      <x:c r="K90" s="2"/>
      <x:c r="L90" s="2"/>
      <x:c r="M90" s="2"/>
      <x:c r="N90" s="2"/>
      <x:c r="O90" s="2"/>
      <x:c r="P90" s="2"/>
      <x:c r="Q90" s="2"/>
    </x:row>
    <x:row r="91" ht="22" customHeight="1">
      <x:c r="A91" s="2" t="str">
        <x:v>T1-L06-BX</x:v>
      </x:c>
      <x:c r="B91" s="2" t="str">
        <x:v>T1</x:v>
      </x:c>
      <x:c r="C91" s="2" t="str">
        <x:v>L06</x:v>
      </x:c>
      <x:c r="D91" s="2" t="str">
        <x:v>X beam longitudinal</x:v>
      </x:c>
      <x:c r="E91" s="21" t="n">
        <x:v>20</x:v>
      </x:c>
      <x:c r="F91" s="21" t="n">
        <x:v>150</x:v>
      </x:c>
      <x:c r="G91" s="21" t="n">
        <x:v>6.5</x:v>
      </x:c>
      <x:c r="H91" s="21" t="n">
        <x:f>E91^2*'Controls'!$B$52</x:f>
        <x:v>2.466</x:v>
      </x:c>
      <x:c r="I91" s="21" t="n">
        <x:f>F91*G91*H91</x:f>
        <x:v>2404.3500000000004</x:v>
      </x:c>
      <x:c r="J91" s="2" t="str">
        <x:v>25 spans x 6 bars incl. 1 m lap/anchorage provision</x:v>
      </x:c>
      <x:c r="K91" s="2"/>
      <x:c r="L91" s="2"/>
      <x:c r="M91" s="2"/>
      <x:c r="N91" s="2"/>
      <x:c r="O91" s="2"/>
      <x:c r="P91" s="2"/>
      <x:c r="Q91" s="2"/>
    </x:row>
    <x:row r="92" ht="22" customHeight="1">
      <x:c r="A92" s="7" t="str">
        <x:v>T1-L06-BY</x:v>
      </x:c>
      <x:c r="B92" s="7" t="str">
        <x:v>T1</x:v>
      </x:c>
      <x:c r="C92" s="7" t="str">
        <x:v>L06</x:v>
      </x:c>
      <x:c r="D92" s="7" t="str">
        <x:v>Y beam longitudinal</x:v>
      </x:c>
      <x:c r="E92" s="20" t="n">
        <x:v>20</x:v>
      </x:c>
      <x:c r="F92" s="20" t="n">
        <x:v>144</x:v>
      </x:c>
      <x:c r="G92" s="20" t="n">
        <x:v>6.5</x:v>
      </x:c>
      <x:c r="H92" s="20" t="n">
        <x:f>E92^2*'Controls'!$B$52</x:f>
        <x:v>2.466</x:v>
      </x:c>
      <x:c r="I92" s="20" t="n">
        <x:f>F92*G92*H92</x:f>
        <x:v>2308.1760000000004</x:v>
      </x:c>
      <x:c r="J92" s="7" t="str">
        <x:v>24 spans x 6 bars</x:v>
      </x:c>
      <x:c r="K92" s="2"/>
      <x:c r="L92" s="2"/>
      <x:c r="M92" s="2"/>
      <x:c r="N92" s="2"/>
      <x:c r="O92" s="2"/>
      <x:c r="P92" s="2"/>
      <x:c r="Q92" s="2"/>
    </x:row>
    <x:row r="93" ht="22" customHeight="1">
      <x:c r="A93" s="2" t="str">
        <x:v>T1-L06-BT</x:v>
      </x:c>
      <x:c r="B93" s="2" t="str">
        <x:v>T1</x:v>
      </x:c>
      <x:c r="C93" s="2" t="str">
        <x:v>L06</x:v>
      </x:c>
      <x:c r="D93" s="2" t="str">
        <x:v>Beam closed links</x:v>
      </x:c>
      <x:c r="E93" s="21" t="n">
        <x:v>10</x:v>
      </x:c>
      <x:c r="F93" s="21" t="n">
        <x:v>1421</x:v>
      </x:c>
      <x:c r="G93" s="21" t="n">
        <x:v>1.7</x:v>
      </x:c>
      <x:c r="H93" s="21" t="n">
        <x:f>E93^2*'Controls'!$B$52</x:f>
        <x:v>0.6165</x:v>
      </x:c>
      <x:c r="I93" s="21" t="n">
        <x:f>F93*G93*H93</x:f>
        <x:v>1489.27905</x:v>
      </x:c>
      <x:c r="J93" s="2" t="str">
        <x:v>49 beams x 29 links, 200 mm nominal</x:v>
      </x:c>
      <x:c r="K93" s="2"/>
      <x:c r="L93" s="2"/>
      <x:c r="M93" s="2"/>
      <x:c r="N93" s="2"/>
      <x:c r="O93" s="2"/>
      <x:c r="P93" s="2"/>
      <x:c r="Q93" s="2"/>
    </x:row>
    <x:row r="94" ht="22" customHeight="1">
      <x:c r="A94" s="7" t="str">
        <x:v>T1-L06-CL</x:v>
      </x:c>
      <x:c r="B94" s="7" t="str">
        <x:v>T1</x:v>
      </x:c>
      <x:c r="C94" s="7" t="str">
        <x:v>L06</x:v>
      </x:c>
      <x:c r="D94" s="7" t="str">
        <x:v>Column longitudinal</x:v>
      </x:c>
      <x:c r="E94" s="20" t="n">
        <x:v>25</x:v>
      </x:c>
      <x:c r="F94" s="20" t="n">
        <x:v>360</x:v>
      </x:c>
      <x:c r="G94" s="20" t="n">
        <x:v>3.9</x:v>
      </x:c>
      <x:c r="H94" s="20" t="n">
        <x:f>E94^2*'Controls'!$B$52</x:f>
        <x:v>3.8531250000000004</x:v>
      </x:c>
      <x:c r="I94" s="20" t="n">
        <x:f>F94*G94*H94</x:f>
        <x:v>5409.7875</x:v>
      </x:c>
      <x:c r="J94" s="7" t="str">
        <x:v>30 columns x 12 bars incl. lap</x:v>
      </x:c>
      <x:c r="K94" s="2"/>
      <x:c r="L94" s="2"/>
      <x:c r="M94" s="2"/>
      <x:c r="N94" s="2"/>
      <x:c r="O94" s="2"/>
      <x:c r="P94" s="2"/>
      <x:c r="Q94" s="2"/>
    </x:row>
    <x:row r="95" ht="22" customHeight="1">
      <x:c r="A95" s="2" t="str">
        <x:v>T1-L06-CT</x:v>
      </x:c>
      <x:c r="B95" s="2" t="str">
        <x:v>T1</x:v>
      </x:c>
      <x:c r="C95" s="2" t="str">
        <x:v>L06</x:v>
      </x:c>
      <x:c r="D95" s="2" t="str">
        <x:v>Column ties</x:v>
      </x:c>
      <x:c r="E95" s="21" t="n">
        <x:v>10</x:v>
      </x:c>
      <x:c r="F95" s="21" t="n">
        <x:v>510</x:v>
      </x:c>
      <x:c r="G95" s="21" t="n">
        <x:v>1.96</x:v>
      </x:c>
      <x:c r="H95" s="21" t="n">
        <x:f>E95^2*'Controls'!$B$52</x:f>
        <x:v>0.6165</x:v>
      </x:c>
      <x:c r="I95" s="21" t="n">
        <x:f>F95*G95*H95</x:f>
        <x:v>616.2534</x:v>
      </x:c>
      <x:c r="J95" s="2" t="str">
        <x:v>30 columns x 17 ties, cover and hooks included</x:v>
      </x:c>
      <x:c r="K95" s="2"/>
      <x:c r="L95" s="2"/>
      <x:c r="M95" s="2"/>
      <x:c r="N95" s="2"/>
      <x:c r="O95" s="2"/>
      <x:c r="P95" s="2"/>
      <x:c r="Q95" s="2"/>
    </x:row>
    <x:row r="96" ht="22" customHeight="1">
      <x:c r="A96" s="7" t="str">
        <x:v>T1-L06-CV</x:v>
      </x:c>
      <x:c r="B96" s="7" t="str">
        <x:v>T1</x:v>
      </x:c>
      <x:c r="C96" s="7" t="str">
        <x:v>L06</x:v>
      </x:c>
      <x:c r="D96" s="7" t="str">
        <x:v>Core vertical bars</x:v>
      </x:c>
      <x:c r="E96" s="20" t="n">
        <x:v>16</x:v>
      </x:c>
      <x:c r="F96" s="20" t="n">
        <x:v>244</x:v>
      </x:c>
      <x:c r="G96" s="20" t="n">
        <x:v>3.9</x:v>
      </x:c>
      <x:c r="H96" s="20" t="n">
        <x:f>E96^2*'Controls'!$B$52</x:f>
        <x:v>1.57824</x:v>
      </x:c>
      <x:c r="I96" s="20" t="n">
        <x:f>F96*G96*H96</x:f>
        <x:v>1501.853184</x:v>
      </x:c>
      <x:c r="J96" s="7" t="str">
        <x:v>Two faces, 200 mm nominal along 24 m net length</x:v>
      </x:c>
      <x:c r="K96" s="2"/>
      <x:c r="L96" s="2"/>
      <x:c r="M96" s="2"/>
      <x:c r="N96" s="2"/>
      <x:c r="O96" s="2"/>
      <x:c r="P96" s="2"/>
      <x:c r="Q96" s="2"/>
    </x:row>
    <x:row r="97" ht="22" customHeight="1">
      <x:c r="A97" s="2" t="str">
        <x:v>T1-L06-CH</x:v>
      </x:c>
      <x:c r="B97" s="2" t="str">
        <x:v>T1</x:v>
      </x:c>
      <x:c r="C97" s="2" t="str">
        <x:v>L06</x:v>
      </x:c>
      <x:c r="D97" s="2" t="str">
        <x:v>Core horizontal bars</x:v>
      </x:c>
      <x:c r="E97" s="21" t="n">
        <x:v>12</x:v>
      </x:c>
      <x:c r="F97" s="21" t="n">
        <x:v>32</x:v>
      </x:c>
      <x:c r="G97" s="21" t="n">
        <x:v>25</x:v>
      </x:c>
      <x:c r="H97" s="21" t="n">
        <x:f>E97^2*'Controls'!$B$52</x:f>
        <x:v>0.8877600000000001</x:v>
      </x:c>
      <x:c r="I97" s="21" t="n">
        <x:f>F97*G97*H97</x:f>
        <x:v>710.2080000000001</x:v>
      </x:c>
      <x:c r="J97" s="2" t="str">
        <x:v>Two faces x 16 layers incl. lap</x:v>
      </x:c>
      <x:c r="K97" s="2"/>
      <x:c r="L97" s="2"/>
      <x:c r="M97" s="2"/>
      <x:c r="N97" s="2"/>
      <x:c r="O97" s="2"/>
      <x:c r="P97" s="2"/>
      <x:c r="Q97" s="2"/>
    </x:row>
    <x:row r="98" ht="22" customHeight="1">
      <x:c r="A98" s="7" t="str">
        <x:v>T1-L06-ST</x:v>
      </x:c>
      <x:c r="B98" s="7" t="str">
        <x:v>T1</x:v>
      </x:c>
      <x:c r="C98" s="7" t="str">
        <x:v>L06</x:v>
      </x:c>
      <x:c r="D98" s="7" t="str">
        <x:v>Stair flights and landings</x:v>
      </x:c>
      <x:c r="E98" s="20" t="n">
        <x:v>12</x:v>
      </x:c>
      <x:c r="F98" s="20" t="n">
        <x:v>80</x:v>
      </x:c>
      <x:c r="G98" s="20" t="n">
        <x:v>4.8</x:v>
      </x:c>
      <x:c r="H98" s="20" t="n">
        <x:f>E98^2*'Controls'!$B$52</x:f>
        <x:v>0.8877600000000001</x:v>
      </x:c>
      <x:c r="I98" s="20" t="n">
        <x:f>F98*G98*H98</x:f>
        <x:v>340.89984000000004</x:v>
      </x:c>
      <x:c r="J98" s="7" t="str">
        <x:v>Separate stair reinforcement allowance</x:v>
      </x:c>
      <x:c r="K98" s="2"/>
      <x:c r="L98" s="2"/>
      <x:c r="M98" s="2"/>
      <x:c r="N98" s="2"/>
      <x:c r="O98" s="2"/>
      <x:c r="P98" s="2"/>
      <x:c r="Q98" s="2"/>
    </x:row>
    <x:row r="99" ht="22" customHeight="1">
      <x:c r="A99" s="2" t="str">
        <x:v>T1-L07-S1</x:v>
      </x:c>
      <x:c r="B99" s="2" t="str">
        <x:v>T1</x:v>
      </x:c>
      <x:c r="C99" s="2" t="str">
        <x:v>L07</x:v>
      </x:c>
      <x:c r="D99" s="2" t="str">
        <x:v>Slab X through strips</x:v>
      </x:c>
      <x:c r="E99" s="21" t="n">
        <x:v>12</x:v>
      </x:c>
      <x:c r="F99" s="21" t="n">
        <x:v>182</x:v>
      </x:c>
      <x:c r="G99" s="21" t="n">
        <x:v>29.95</x:v>
      </x:c>
      <x:c r="H99" s="21" t="n">
        <x:f>E99^2*'Controls'!$B$52</x:f>
        <x:v>0.8877600000000001</x:v>
      </x:c>
      <x:c r="I99" s="21" t="n">
        <x:f>F99*G99*H99</x:f>
        <x:v>4839.090984</x:v>
      </x:c>
      <x:c r="J99" s="2" t="str">
        <x:v>2 layers x 91 bars outside central opening band</x:v>
      </x:c>
      <x:c r="K99" s="2"/>
      <x:c r="L99" s="2"/>
      <x:c r="M99" s="2"/>
      <x:c r="N99" s="2"/>
      <x:c r="O99" s="2"/>
      <x:c r="P99" s="2"/>
      <x:c r="Q99" s="2"/>
    </x:row>
    <x:row r="100" ht="22" customHeight="1">
      <x:c r="A100" s="7" t="str">
        <x:v>T1-L07-S2</x:v>
      </x:c>
      <x:c r="B100" s="7" t="str">
        <x:v>T1</x:v>
      </x:c>
      <x:c r="C100" s="7" t="str">
        <x:v>L07</x:v>
      </x:c>
      <x:c r="D100" s="7" t="str">
        <x:v>Slab X split at core</x:v>
      </x:c>
      <x:c r="E100" s="20" t="n">
        <x:v>12</x:v>
      </x:c>
      <x:c r="F100" s="20" t="n">
        <x:v>60</x:v>
      </x:c>
      <x:c r="G100" s="20" t="n">
        <x:v>25.95</x:v>
      </x:c>
      <x:c r="H100" s="20" t="n">
        <x:f>E100^2*'Controls'!$B$52</x:f>
        <x:v>0.8877600000000001</x:v>
      </x:c>
      <x:c r="I100" s="20" t="n">
        <x:f>F100*G100*H100</x:f>
        <x:v>1382.24232</x:v>
      </x:c>
      <x:c r="J100" s="7" t="str">
        <x:v>2 layers x 30 bars, split lengths combined around 4 m opening</x:v>
      </x:c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 t="str">
        <x:v>T1-L07-S3</x:v>
      </x:c>
      <x:c r="B101" s="2" t="str">
        <x:v>T1</x:v>
      </x:c>
      <x:c r="C101" s="2" t="str">
        <x:v>L07</x:v>
      </x:c>
      <x:c r="D101" s="2" t="str">
        <x:v>Slab Y through strips</x:v>
      </x:c>
      <x:c r="E101" s="21" t="n">
        <x:v>12</x:v>
      </x:c>
      <x:c r="F101" s="21" t="n">
        <x:v>262</x:v>
      </x:c>
      <x:c r="G101" s="21" t="n">
        <x:v>23.95</x:v>
      </x:c>
      <x:c r="H101" s="21" t="n">
        <x:f>E101^2*'Controls'!$B$52</x:f>
        <x:v>0.8877600000000001</x:v>
      </x:c>
      <x:c r="I101" s="21" t="n">
        <x:f>F101*G101*H101</x:f>
        <x:v>5570.605224</x:v>
      </x:c>
      <x:c r="J101" s="2" t="str">
        <x:v>2 layers x 131 bars outside central opening band</x:v>
      </x:c>
      <x:c r="K101" s="2"/>
      <x:c r="L101" s="2"/>
      <x:c r="M101" s="2"/>
      <x:c r="N101" s="2"/>
      <x:c r="O101" s="2"/>
      <x:c r="P101" s="2"/>
      <x:c r="Q101" s="2"/>
    </x:row>
    <x:row r="102" ht="22" customHeight="1">
      <x:c r="A102" s="7" t="str">
        <x:v>T1-L07-S4</x:v>
      </x:c>
      <x:c r="B102" s="7" t="str">
        <x:v>T1</x:v>
      </x:c>
      <x:c r="C102" s="7" t="str">
        <x:v>L07</x:v>
      </x:c>
      <x:c r="D102" s="7" t="str">
        <x:v>Slab Y split at core</x:v>
      </x:c>
      <x:c r="E102" s="20" t="n">
        <x:v>12</x:v>
      </x:c>
      <x:c r="F102" s="20" t="n">
        <x:v>40</x:v>
      </x:c>
      <x:c r="G102" s="20" t="n">
        <x:v>17.95</x:v>
      </x:c>
      <x:c r="H102" s="20" t="n">
        <x:f>E102^2*'Controls'!$B$52</x:f>
        <x:v>0.8877600000000001</x:v>
      </x:c>
      <x:c r="I102" s="20" t="n">
        <x:f>F102*G102*H102</x:f>
        <x:v>637.41168</x:v>
      </x:c>
      <x:c r="J102" s="7" t="str">
        <x:v>2 layers x 20 bars, split around 6 m opening</x:v>
      </x:c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 t="str">
        <x:v>T1-L07-S5</x:v>
      </x:c>
      <x:c r="B103" s="2" t="str">
        <x:v>T1</x:v>
      </x:c>
      <x:c r="C103" s="2" t="str">
        <x:v>L07</x:v>
      </x:c>
      <x:c r="D103" s="2" t="str">
        <x:v>Opening trim bars</x:v>
      </x:c>
      <x:c r="E103" s="21" t="n">
        <x:v>16</x:v>
      </x:c>
      <x:c r="F103" s="21" t="n">
        <x:v>16</x:v>
      </x:c>
      <x:c r="G103" s="21" t="n">
        <x:v>7.2</x:v>
      </x:c>
      <x:c r="H103" s="21" t="n">
        <x:f>E103^2*'Controls'!$B$52</x:f>
        <x:v>1.57824</x:v>
      </x:c>
      <x:c r="I103" s="21" t="n">
        <x:f>F103*G103*H103</x:f>
        <x:v>181.81324800000002</x:v>
      </x:c>
      <x:c r="J103" s="2" t="str">
        <x:v>Trim allowance, explicit scheduled lengths</x:v>
      </x:c>
      <x:c r="K103" s="2"/>
      <x:c r="L103" s="2"/>
      <x:c r="M103" s="2"/>
      <x:c r="N103" s="2"/>
      <x:c r="O103" s="2"/>
      <x:c r="P103" s="2"/>
      <x:c r="Q103" s="2"/>
    </x:row>
    <x:row r="104" ht="22" customHeight="1">
      <x:c r="A104" s="7" t="str">
        <x:v>T1-L07-BX</x:v>
      </x:c>
      <x:c r="B104" s="7" t="str">
        <x:v>T1</x:v>
      </x:c>
      <x:c r="C104" s="7" t="str">
        <x:v>L07</x:v>
      </x:c>
      <x:c r="D104" s="7" t="str">
        <x:v>X beam longitudinal</x:v>
      </x:c>
      <x:c r="E104" s="20" t="n">
        <x:v>20</x:v>
      </x:c>
      <x:c r="F104" s="20" t="n">
        <x:v>150</x:v>
      </x:c>
      <x:c r="G104" s="20" t="n">
        <x:v>6.5</x:v>
      </x:c>
      <x:c r="H104" s="20" t="n">
        <x:f>E104^2*'Controls'!$B$52</x:f>
        <x:v>2.466</x:v>
      </x:c>
      <x:c r="I104" s="20" t="n">
        <x:f>F104*G104*H104</x:f>
        <x:v>2404.3500000000004</x:v>
      </x:c>
      <x:c r="J104" s="7" t="str">
        <x:v>25 spans x 6 bars incl. 1 m lap/anchorage provision</x:v>
      </x:c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 t="str">
        <x:v>T1-L07-BY</x:v>
      </x:c>
      <x:c r="B105" s="2" t="str">
        <x:v>T1</x:v>
      </x:c>
      <x:c r="C105" s="2" t="str">
        <x:v>L07</x:v>
      </x:c>
      <x:c r="D105" s="2" t="str">
        <x:v>Y beam longitudinal</x:v>
      </x:c>
      <x:c r="E105" s="21" t="n">
        <x:v>20</x:v>
      </x:c>
      <x:c r="F105" s="21" t="n">
        <x:v>144</x:v>
      </x:c>
      <x:c r="G105" s="21" t="n">
        <x:v>6.5</x:v>
      </x:c>
      <x:c r="H105" s="21" t="n">
        <x:f>E105^2*'Controls'!$B$52</x:f>
        <x:v>2.466</x:v>
      </x:c>
      <x:c r="I105" s="21" t="n">
        <x:f>F105*G105*H105</x:f>
        <x:v>2308.1760000000004</x:v>
      </x:c>
      <x:c r="J105" s="2" t="str">
        <x:v>24 spans x 6 bars</x:v>
      </x:c>
      <x:c r="K105" s="2"/>
      <x:c r="L105" s="2"/>
      <x:c r="M105" s="2"/>
      <x:c r="N105" s="2"/>
      <x:c r="O105" s="2"/>
      <x:c r="P105" s="2"/>
      <x:c r="Q105" s="2"/>
    </x:row>
    <x:row r="106" ht="22" customHeight="1">
      <x:c r="A106" s="7" t="str">
        <x:v>T1-L07-BT</x:v>
      </x:c>
      <x:c r="B106" s="7" t="str">
        <x:v>T1</x:v>
      </x:c>
      <x:c r="C106" s="7" t="str">
        <x:v>L07</x:v>
      </x:c>
      <x:c r="D106" s="7" t="str">
        <x:v>Beam closed links</x:v>
      </x:c>
      <x:c r="E106" s="20" t="n">
        <x:v>10</x:v>
      </x:c>
      <x:c r="F106" s="20" t="n">
        <x:v>1421</x:v>
      </x:c>
      <x:c r="G106" s="20" t="n">
        <x:v>1.7</x:v>
      </x:c>
      <x:c r="H106" s="20" t="n">
        <x:f>E106^2*'Controls'!$B$52</x:f>
        <x:v>0.6165</x:v>
      </x:c>
      <x:c r="I106" s="20" t="n">
        <x:f>F106*G106*H106</x:f>
        <x:v>1489.27905</x:v>
      </x:c>
      <x:c r="J106" s="7" t="str">
        <x:v>49 beams x 29 links, 200 mm nominal</x:v>
      </x:c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 t="str">
        <x:v>T1-L07-CL</x:v>
      </x:c>
      <x:c r="B107" s="2" t="str">
        <x:v>T1</x:v>
      </x:c>
      <x:c r="C107" s="2" t="str">
        <x:v>L07</x:v>
      </x:c>
      <x:c r="D107" s="2" t="str">
        <x:v>Column longitudinal</x:v>
      </x:c>
      <x:c r="E107" s="21" t="n">
        <x:v>25</x:v>
      </x:c>
      <x:c r="F107" s="21" t="n">
        <x:v>360</x:v>
      </x:c>
      <x:c r="G107" s="21" t="n">
        <x:v>3.9</x:v>
      </x:c>
      <x:c r="H107" s="21" t="n">
        <x:f>E107^2*'Controls'!$B$52</x:f>
        <x:v>3.8531250000000004</x:v>
      </x:c>
      <x:c r="I107" s="21" t="n">
        <x:f>F107*G107*H107</x:f>
        <x:v>5409.7875</x:v>
      </x:c>
      <x:c r="J107" s="2" t="str">
        <x:v>30 columns x 12 bars incl. lap</x:v>
      </x:c>
      <x:c r="K107" s="2"/>
      <x:c r="L107" s="2"/>
      <x:c r="M107" s="2"/>
      <x:c r="N107" s="2"/>
      <x:c r="O107" s="2"/>
      <x:c r="P107" s="2"/>
      <x:c r="Q107" s="2"/>
    </x:row>
    <x:row r="108" ht="22" customHeight="1">
      <x:c r="A108" s="7" t="str">
        <x:v>T1-L07-CT</x:v>
      </x:c>
      <x:c r="B108" s="7" t="str">
        <x:v>T1</x:v>
      </x:c>
      <x:c r="C108" s="7" t="str">
        <x:v>L07</x:v>
      </x:c>
      <x:c r="D108" s="7" t="str">
        <x:v>Column ties</x:v>
      </x:c>
      <x:c r="E108" s="20" t="n">
        <x:v>10</x:v>
      </x:c>
      <x:c r="F108" s="20" t="n">
        <x:v>510</x:v>
      </x:c>
      <x:c r="G108" s="20" t="n">
        <x:v>1.96</x:v>
      </x:c>
      <x:c r="H108" s="20" t="n">
        <x:f>E108^2*'Controls'!$B$52</x:f>
        <x:v>0.6165</x:v>
      </x:c>
      <x:c r="I108" s="20" t="n">
        <x:f>F108*G108*H108</x:f>
        <x:v>616.2534</x:v>
      </x:c>
      <x:c r="J108" s="7" t="str">
        <x:v>30 columns x 17 ties, cover and hooks included</x:v>
      </x:c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 t="str">
        <x:v>T1-L07-CV</x:v>
      </x:c>
      <x:c r="B109" s="2" t="str">
        <x:v>T1</x:v>
      </x:c>
      <x:c r="C109" s="2" t="str">
        <x:v>L07</x:v>
      </x:c>
      <x:c r="D109" s="2" t="str">
        <x:v>Core vertical bars</x:v>
      </x:c>
      <x:c r="E109" s="21" t="n">
        <x:v>16</x:v>
      </x:c>
      <x:c r="F109" s="21" t="n">
        <x:v>244</x:v>
      </x:c>
      <x:c r="G109" s="21" t="n">
        <x:v>3.9</x:v>
      </x:c>
      <x:c r="H109" s="21" t="n">
        <x:f>E109^2*'Controls'!$B$52</x:f>
        <x:v>1.57824</x:v>
      </x:c>
      <x:c r="I109" s="21" t="n">
        <x:f>F109*G109*H109</x:f>
        <x:v>1501.853184</x:v>
      </x:c>
      <x:c r="J109" s="2" t="str">
        <x:v>Two faces, 200 mm nominal along 24 m net length</x:v>
      </x:c>
      <x:c r="K109" s="2"/>
      <x:c r="L109" s="2"/>
      <x:c r="M109" s="2"/>
      <x:c r="N109" s="2"/>
      <x:c r="O109" s="2"/>
      <x:c r="P109" s="2"/>
      <x:c r="Q109" s="2"/>
    </x:row>
    <x:row r="110" ht="22" customHeight="1">
      <x:c r="A110" s="7" t="str">
        <x:v>T1-L07-CH</x:v>
      </x:c>
      <x:c r="B110" s="7" t="str">
        <x:v>T1</x:v>
      </x:c>
      <x:c r="C110" s="7" t="str">
        <x:v>L07</x:v>
      </x:c>
      <x:c r="D110" s="7" t="str">
        <x:v>Core horizontal bars</x:v>
      </x:c>
      <x:c r="E110" s="20" t="n">
        <x:v>12</x:v>
      </x:c>
      <x:c r="F110" s="20" t="n">
        <x:v>32</x:v>
      </x:c>
      <x:c r="G110" s="20" t="n">
        <x:v>25</x:v>
      </x:c>
      <x:c r="H110" s="20" t="n">
        <x:f>E110^2*'Controls'!$B$52</x:f>
        <x:v>0.8877600000000001</x:v>
      </x:c>
      <x:c r="I110" s="20" t="n">
        <x:f>F110*G110*H110</x:f>
        <x:v>710.2080000000001</x:v>
      </x:c>
      <x:c r="J110" s="7" t="str">
        <x:v>Two faces x 16 layers incl. lap</x:v>
      </x:c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 t="str">
        <x:v>T1-L07-ST</x:v>
      </x:c>
      <x:c r="B111" s="2" t="str">
        <x:v>T1</x:v>
      </x:c>
      <x:c r="C111" s="2" t="str">
        <x:v>L07</x:v>
      </x:c>
      <x:c r="D111" s="2" t="str">
        <x:v>Stair flights and landings</x:v>
      </x:c>
      <x:c r="E111" s="21" t="n">
        <x:v>12</x:v>
      </x:c>
      <x:c r="F111" s="21" t="n">
        <x:v>80</x:v>
      </x:c>
      <x:c r="G111" s="21" t="n">
        <x:v>4.8</x:v>
      </x:c>
      <x:c r="H111" s="21" t="n">
        <x:f>E111^2*'Controls'!$B$52</x:f>
        <x:v>0.8877600000000001</x:v>
      </x:c>
      <x:c r="I111" s="21" t="n">
        <x:f>F111*G111*H111</x:f>
        <x:v>340.89984000000004</x:v>
      </x:c>
      <x:c r="J111" s="2" t="str">
        <x:v>Separate stair reinforcement allowance</x:v>
      </x:c>
      <x:c r="K111" s="2"/>
      <x:c r="L111" s="2"/>
      <x:c r="M111" s="2"/>
      <x:c r="N111" s="2"/>
      <x:c r="O111" s="2"/>
      <x:c r="P111" s="2"/>
      <x:c r="Q111" s="2"/>
    </x:row>
    <x:row r="112" ht="22" customHeight="1">
      <x:c r="A112" s="7" t="str">
        <x:v>T1-L08-S1</x:v>
      </x:c>
      <x:c r="B112" s="7" t="str">
        <x:v>T1</x:v>
      </x:c>
      <x:c r="C112" s="7" t="str">
        <x:v>L08</x:v>
      </x:c>
      <x:c r="D112" s="7" t="str">
        <x:v>Slab X through strips</x:v>
      </x:c>
      <x:c r="E112" s="20" t="n">
        <x:v>12</x:v>
      </x:c>
      <x:c r="F112" s="20" t="n">
        <x:v>182</x:v>
      </x:c>
      <x:c r="G112" s="20" t="n">
        <x:v>29.95</x:v>
      </x:c>
      <x:c r="H112" s="20" t="n">
        <x:f>E112^2*'Controls'!$B$52</x:f>
        <x:v>0.8877600000000001</x:v>
      </x:c>
      <x:c r="I112" s="20" t="n">
        <x:f>F112*G112*H112</x:f>
        <x:v>4839.090984</x:v>
      </x:c>
      <x:c r="J112" s="7" t="str">
        <x:v>2 layers x 91 bars outside central opening band</x:v>
      </x:c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 t="str">
        <x:v>T1-L08-S2</x:v>
      </x:c>
      <x:c r="B113" s="2" t="str">
        <x:v>T1</x:v>
      </x:c>
      <x:c r="C113" s="2" t="str">
        <x:v>L08</x:v>
      </x:c>
      <x:c r="D113" s="2" t="str">
        <x:v>Slab X split at core</x:v>
      </x:c>
      <x:c r="E113" s="21" t="n">
        <x:v>12</x:v>
      </x:c>
      <x:c r="F113" s="21" t="n">
        <x:v>60</x:v>
      </x:c>
      <x:c r="G113" s="21" t="n">
        <x:v>25.95</x:v>
      </x:c>
      <x:c r="H113" s="21" t="n">
        <x:f>E113^2*'Controls'!$B$52</x:f>
        <x:v>0.8877600000000001</x:v>
      </x:c>
      <x:c r="I113" s="21" t="n">
        <x:f>F113*G113*H113</x:f>
        <x:v>1382.24232</x:v>
      </x:c>
      <x:c r="J113" s="2" t="str">
        <x:v>2 layers x 30 bars, split lengths combined around 4 m opening</x:v>
      </x:c>
      <x:c r="K113" s="2"/>
      <x:c r="L113" s="2"/>
      <x:c r="M113" s="2"/>
      <x:c r="N113" s="2"/>
      <x:c r="O113" s="2"/>
      <x:c r="P113" s="2"/>
      <x:c r="Q113" s="2"/>
    </x:row>
    <x:row r="114" ht="22" customHeight="1">
      <x:c r="A114" s="7" t="str">
        <x:v>T1-L08-S3</x:v>
      </x:c>
      <x:c r="B114" s="7" t="str">
        <x:v>T1</x:v>
      </x:c>
      <x:c r="C114" s="7" t="str">
        <x:v>L08</x:v>
      </x:c>
      <x:c r="D114" s="7" t="str">
        <x:v>Slab Y through strips</x:v>
      </x:c>
      <x:c r="E114" s="20" t="n">
        <x:v>12</x:v>
      </x:c>
      <x:c r="F114" s="20" t="n">
        <x:v>262</x:v>
      </x:c>
      <x:c r="G114" s="20" t="n">
        <x:v>23.95</x:v>
      </x:c>
      <x:c r="H114" s="20" t="n">
        <x:f>E114^2*'Controls'!$B$52</x:f>
        <x:v>0.8877600000000001</x:v>
      </x:c>
      <x:c r="I114" s="20" t="n">
        <x:f>F114*G114*H114</x:f>
        <x:v>5570.605224</x:v>
      </x:c>
      <x:c r="J114" s="7" t="str">
        <x:v>2 layers x 131 bars outside central opening band</x:v>
      </x:c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 t="str">
        <x:v>T1-L08-S4</x:v>
      </x:c>
      <x:c r="B115" s="2" t="str">
        <x:v>T1</x:v>
      </x:c>
      <x:c r="C115" s="2" t="str">
        <x:v>L08</x:v>
      </x:c>
      <x:c r="D115" s="2" t="str">
        <x:v>Slab Y split at core</x:v>
      </x:c>
      <x:c r="E115" s="21" t="n">
        <x:v>12</x:v>
      </x:c>
      <x:c r="F115" s="21" t="n">
        <x:v>40</x:v>
      </x:c>
      <x:c r="G115" s="21" t="n">
        <x:v>17.95</x:v>
      </x:c>
      <x:c r="H115" s="21" t="n">
        <x:f>E115^2*'Controls'!$B$52</x:f>
        <x:v>0.8877600000000001</x:v>
      </x:c>
      <x:c r="I115" s="21" t="n">
        <x:f>F115*G115*H115</x:f>
        <x:v>637.41168</x:v>
      </x:c>
      <x:c r="J115" s="2" t="str">
        <x:v>2 layers x 20 bars, split around 6 m opening</x:v>
      </x:c>
      <x:c r="K115" s="2"/>
      <x:c r="L115" s="2"/>
      <x:c r="M115" s="2"/>
      <x:c r="N115" s="2"/>
      <x:c r="O115" s="2"/>
      <x:c r="P115" s="2"/>
      <x:c r="Q115" s="2"/>
    </x:row>
    <x:row r="116" ht="22" customHeight="1">
      <x:c r="A116" s="7" t="str">
        <x:v>T1-L08-S5</x:v>
      </x:c>
      <x:c r="B116" s="7" t="str">
        <x:v>T1</x:v>
      </x:c>
      <x:c r="C116" s="7" t="str">
        <x:v>L08</x:v>
      </x:c>
      <x:c r="D116" s="7" t="str">
        <x:v>Opening trim bars</x:v>
      </x:c>
      <x:c r="E116" s="20" t="n">
        <x:v>16</x:v>
      </x:c>
      <x:c r="F116" s="20" t="n">
        <x:v>16</x:v>
      </x:c>
      <x:c r="G116" s="20" t="n">
        <x:v>7.2</x:v>
      </x:c>
      <x:c r="H116" s="20" t="n">
        <x:f>E116^2*'Controls'!$B$52</x:f>
        <x:v>1.57824</x:v>
      </x:c>
      <x:c r="I116" s="20" t="n">
        <x:f>F116*G116*H116</x:f>
        <x:v>181.81324800000002</x:v>
      </x:c>
      <x:c r="J116" s="7" t="str">
        <x:v>Trim allowance, explicit scheduled lengths</x:v>
      </x:c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 t="str">
        <x:v>T1-L08-BX</x:v>
      </x:c>
      <x:c r="B117" s="2" t="str">
        <x:v>T1</x:v>
      </x:c>
      <x:c r="C117" s="2" t="str">
        <x:v>L08</x:v>
      </x:c>
      <x:c r="D117" s="2" t="str">
        <x:v>X beam longitudinal</x:v>
      </x:c>
      <x:c r="E117" s="21" t="n">
        <x:v>20</x:v>
      </x:c>
      <x:c r="F117" s="21" t="n">
        <x:v>150</x:v>
      </x:c>
      <x:c r="G117" s="21" t="n">
        <x:v>6.5</x:v>
      </x:c>
      <x:c r="H117" s="21" t="n">
        <x:f>E117^2*'Controls'!$B$52</x:f>
        <x:v>2.466</x:v>
      </x:c>
      <x:c r="I117" s="21" t="n">
        <x:f>F117*G117*H117</x:f>
        <x:v>2404.3500000000004</x:v>
      </x:c>
      <x:c r="J117" s="2" t="str">
        <x:v>25 spans x 6 bars incl. 1 m lap/anchorage provision</x:v>
      </x:c>
      <x:c r="K117" s="2"/>
      <x:c r="L117" s="2"/>
      <x:c r="M117" s="2"/>
      <x:c r="N117" s="2"/>
      <x:c r="O117" s="2"/>
      <x:c r="P117" s="2"/>
      <x:c r="Q117" s="2"/>
    </x:row>
    <x:row r="118" ht="22" customHeight="1">
      <x:c r="A118" s="7" t="str">
        <x:v>T1-L08-BY</x:v>
      </x:c>
      <x:c r="B118" s="7" t="str">
        <x:v>T1</x:v>
      </x:c>
      <x:c r="C118" s="7" t="str">
        <x:v>L08</x:v>
      </x:c>
      <x:c r="D118" s="7" t="str">
        <x:v>Y beam longitudinal</x:v>
      </x:c>
      <x:c r="E118" s="20" t="n">
        <x:v>20</x:v>
      </x:c>
      <x:c r="F118" s="20" t="n">
        <x:v>144</x:v>
      </x:c>
      <x:c r="G118" s="20" t="n">
        <x:v>6.5</x:v>
      </x:c>
      <x:c r="H118" s="20" t="n">
        <x:f>E118^2*'Controls'!$B$52</x:f>
        <x:v>2.466</x:v>
      </x:c>
      <x:c r="I118" s="20" t="n">
        <x:f>F118*G118*H118</x:f>
        <x:v>2308.1760000000004</x:v>
      </x:c>
      <x:c r="J118" s="7" t="str">
        <x:v>24 spans x 6 bars</x:v>
      </x:c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 t="str">
        <x:v>T1-L08-BT</x:v>
      </x:c>
      <x:c r="B119" s="2" t="str">
        <x:v>T1</x:v>
      </x:c>
      <x:c r="C119" s="2" t="str">
        <x:v>L08</x:v>
      </x:c>
      <x:c r="D119" s="2" t="str">
        <x:v>Beam closed links</x:v>
      </x:c>
      <x:c r="E119" s="21" t="n">
        <x:v>10</x:v>
      </x:c>
      <x:c r="F119" s="21" t="n">
        <x:v>1421</x:v>
      </x:c>
      <x:c r="G119" s="21" t="n">
        <x:v>1.7</x:v>
      </x:c>
      <x:c r="H119" s="21" t="n">
        <x:f>E119^2*'Controls'!$B$52</x:f>
        <x:v>0.6165</x:v>
      </x:c>
      <x:c r="I119" s="21" t="n">
        <x:f>F119*G119*H119</x:f>
        <x:v>1489.27905</x:v>
      </x:c>
      <x:c r="J119" s="2" t="str">
        <x:v>49 beams x 29 links, 200 mm nominal</x:v>
      </x:c>
      <x:c r="K119" s="2"/>
      <x:c r="L119" s="2"/>
      <x:c r="M119" s="2"/>
      <x:c r="N119" s="2"/>
      <x:c r="O119" s="2"/>
      <x:c r="P119" s="2"/>
      <x:c r="Q119" s="2"/>
    </x:row>
    <x:row r="120" ht="22" customHeight="1">
      <x:c r="A120" s="7" t="str">
        <x:v>T1-L08-CL</x:v>
      </x:c>
      <x:c r="B120" s="7" t="str">
        <x:v>T1</x:v>
      </x:c>
      <x:c r="C120" s="7" t="str">
        <x:v>L08</x:v>
      </x:c>
      <x:c r="D120" s="7" t="str">
        <x:v>Column longitudinal</x:v>
      </x:c>
      <x:c r="E120" s="20" t="n">
        <x:v>25</x:v>
      </x:c>
      <x:c r="F120" s="20" t="n">
        <x:v>360</x:v>
      </x:c>
      <x:c r="G120" s="20" t="n">
        <x:v>3.9</x:v>
      </x:c>
      <x:c r="H120" s="20" t="n">
        <x:f>E120^2*'Controls'!$B$52</x:f>
        <x:v>3.8531250000000004</x:v>
      </x:c>
      <x:c r="I120" s="20" t="n">
        <x:f>F120*G120*H120</x:f>
        <x:v>5409.7875</x:v>
      </x:c>
      <x:c r="J120" s="7" t="str">
        <x:v>30 columns x 12 bars incl. lap</x:v>
      </x:c>
      <x:c r="K120" s="2"/>
      <x:c r="L120" s="2"/>
      <x:c r="M120" s="2"/>
      <x:c r="N120" s="2"/>
      <x:c r="O120" s="2"/>
      <x:c r="P120" s="2"/>
      <x:c r="Q120" s="2"/>
    </x:row>
    <x:row r="121" ht="22" customHeight="1">
      <x:c r="A121" s="2" t="str">
        <x:v>T1-L08-CT</x:v>
      </x:c>
      <x:c r="B121" s="2" t="str">
        <x:v>T1</x:v>
      </x:c>
      <x:c r="C121" s="2" t="str">
        <x:v>L08</x:v>
      </x:c>
      <x:c r="D121" s="2" t="str">
        <x:v>Column ties</x:v>
      </x:c>
      <x:c r="E121" s="21" t="n">
        <x:v>10</x:v>
      </x:c>
      <x:c r="F121" s="21" t="n">
        <x:v>510</x:v>
      </x:c>
      <x:c r="G121" s="21" t="n">
        <x:v>1.96</x:v>
      </x:c>
      <x:c r="H121" s="21" t="n">
        <x:f>E121^2*'Controls'!$B$52</x:f>
        <x:v>0.6165</x:v>
      </x:c>
      <x:c r="I121" s="21" t="n">
        <x:f>F121*G121*H121</x:f>
        <x:v>616.2534</x:v>
      </x:c>
      <x:c r="J121" s="2" t="str">
        <x:v>30 columns x 17 ties, cover and hooks included</x:v>
      </x:c>
      <x:c r="K121" s="2"/>
      <x:c r="L121" s="2"/>
      <x:c r="M121" s="2"/>
      <x:c r="N121" s="2"/>
      <x:c r="O121" s="2"/>
      <x:c r="P121" s="2"/>
      <x:c r="Q121" s="2"/>
    </x:row>
    <x:row r="122" ht="22" customHeight="1">
      <x:c r="A122" s="7" t="str">
        <x:v>T1-L08-CV</x:v>
      </x:c>
      <x:c r="B122" s="7" t="str">
        <x:v>T1</x:v>
      </x:c>
      <x:c r="C122" s="7" t="str">
        <x:v>L08</x:v>
      </x:c>
      <x:c r="D122" s="7" t="str">
        <x:v>Core vertical bars</x:v>
      </x:c>
      <x:c r="E122" s="20" t="n">
        <x:v>16</x:v>
      </x:c>
      <x:c r="F122" s="20" t="n">
        <x:v>244</x:v>
      </x:c>
      <x:c r="G122" s="20" t="n">
        <x:v>3.9</x:v>
      </x:c>
      <x:c r="H122" s="20" t="n">
        <x:f>E122^2*'Controls'!$B$52</x:f>
        <x:v>1.57824</x:v>
      </x:c>
      <x:c r="I122" s="20" t="n">
        <x:f>F122*G122*H122</x:f>
        <x:v>1501.853184</x:v>
      </x:c>
      <x:c r="J122" s="7" t="str">
        <x:v>Two faces, 200 mm nominal along 24 m net length</x:v>
      </x:c>
      <x:c r="K122" s="2"/>
      <x:c r="L122" s="2"/>
      <x:c r="M122" s="2"/>
      <x:c r="N122" s="2"/>
      <x:c r="O122" s="2"/>
      <x:c r="P122" s="2"/>
      <x:c r="Q122" s="2"/>
    </x:row>
    <x:row r="123" ht="22" customHeight="1">
      <x:c r="A123" s="2" t="str">
        <x:v>T1-L08-CH</x:v>
      </x:c>
      <x:c r="B123" s="2" t="str">
        <x:v>T1</x:v>
      </x:c>
      <x:c r="C123" s="2" t="str">
        <x:v>L08</x:v>
      </x:c>
      <x:c r="D123" s="2" t="str">
        <x:v>Core horizontal bars</x:v>
      </x:c>
      <x:c r="E123" s="21" t="n">
        <x:v>12</x:v>
      </x:c>
      <x:c r="F123" s="21" t="n">
        <x:v>32</x:v>
      </x:c>
      <x:c r="G123" s="21" t="n">
        <x:v>25</x:v>
      </x:c>
      <x:c r="H123" s="21" t="n">
        <x:f>E123^2*'Controls'!$B$52</x:f>
        <x:v>0.8877600000000001</x:v>
      </x:c>
      <x:c r="I123" s="21" t="n">
        <x:f>F123*G123*H123</x:f>
        <x:v>710.2080000000001</x:v>
      </x:c>
      <x:c r="J123" s="2" t="str">
        <x:v>Two faces x 16 layers incl. lap</x:v>
      </x:c>
      <x:c r="K123" s="2"/>
      <x:c r="L123" s="2"/>
      <x:c r="M123" s="2"/>
      <x:c r="N123" s="2"/>
      <x:c r="O123" s="2"/>
      <x:c r="P123" s="2"/>
      <x:c r="Q123" s="2"/>
    </x:row>
    <x:row r="124" ht="22" customHeight="1">
      <x:c r="A124" s="7" t="str">
        <x:v>T1-L08-ST</x:v>
      </x:c>
      <x:c r="B124" s="7" t="str">
        <x:v>T1</x:v>
      </x:c>
      <x:c r="C124" s="7" t="str">
        <x:v>L08</x:v>
      </x:c>
      <x:c r="D124" s="7" t="str">
        <x:v>Stair flights and landings</x:v>
      </x:c>
      <x:c r="E124" s="20" t="n">
        <x:v>12</x:v>
      </x:c>
      <x:c r="F124" s="20" t="n">
        <x:v>80</x:v>
      </x:c>
      <x:c r="G124" s="20" t="n">
        <x:v>4.8</x:v>
      </x:c>
      <x:c r="H124" s="20" t="n">
        <x:f>E124^2*'Controls'!$B$52</x:f>
        <x:v>0.8877600000000001</x:v>
      </x:c>
      <x:c r="I124" s="20" t="n">
        <x:f>F124*G124*H124</x:f>
        <x:v>340.89984000000004</x:v>
      </x:c>
      <x:c r="J124" s="7" t="str">
        <x:v>Separate stair reinforcement allowance</x:v>
      </x:c>
      <x:c r="K124" s="2"/>
      <x:c r="L124" s="2"/>
      <x:c r="M124" s="2"/>
      <x:c r="N124" s="2"/>
      <x:c r="O124" s="2"/>
      <x:c r="P124" s="2"/>
      <x:c r="Q124" s="2"/>
    </x:row>
    <x:row r="125" ht="22" customHeight="1">
      <x:c r="A125" s="2" t="str">
        <x:v>T1-L09-S1</x:v>
      </x:c>
      <x:c r="B125" s="2" t="str">
        <x:v>T1</x:v>
      </x:c>
      <x:c r="C125" s="2" t="str">
        <x:v>L09</x:v>
      </x:c>
      <x:c r="D125" s="2" t="str">
        <x:v>Slab X through strips</x:v>
      </x:c>
      <x:c r="E125" s="21" t="n">
        <x:v>12</x:v>
      </x:c>
      <x:c r="F125" s="21" t="n">
        <x:v>182</x:v>
      </x:c>
      <x:c r="G125" s="21" t="n">
        <x:v>29.95</x:v>
      </x:c>
      <x:c r="H125" s="21" t="n">
        <x:f>E125^2*'Controls'!$B$52</x:f>
        <x:v>0.8877600000000001</x:v>
      </x:c>
      <x:c r="I125" s="21" t="n">
        <x:f>F125*G125*H125</x:f>
        <x:v>4839.090984</x:v>
      </x:c>
      <x:c r="J125" s="2" t="str">
        <x:v>2 layers x 91 bars outside central opening band</x:v>
      </x:c>
      <x:c r="K125" s="2"/>
      <x:c r="L125" s="2"/>
      <x:c r="M125" s="2"/>
      <x:c r="N125" s="2"/>
      <x:c r="O125" s="2"/>
      <x:c r="P125" s="2"/>
      <x:c r="Q125" s="2"/>
    </x:row>
    <x:row r="126" ht="22" customHeight="1">
      <x:c r="A126" s="7" t="str">
        <x:v>T1-L09-S2</x:v>
      </x:c>
      <x:c r="B126" s="7" t="str">
        <x:v>T1</x:v>
      </x:c>
      <x:c r="C126" s="7" t="str">
        <x:v>L09</x:v>
      </x:c>
      <x:c r="D126" s="7" t="str">
        <x:v>Slab X split at core</x:v>
      </x:c>
      <x:c r="E126" s="20" t="n">
        <x:v>12</x:v>
      </x:c>
      <x:c r="F126" s="20" t="n">
        <x:v>60</x:v>
      </x:c>
      <x:c r="G126" s="20" t="n">
        <x:v>25.95</x:v>
      </x:c>
      <x:c r="H126" s="20" t="n">
        <x:f>E126^2*'Controls'!$B$52</x:f>
        <x:v>0.8877600000000001</x:v>
      </x:c>
      <x:c r="I126" s="20" t="n">
        <x:f>F126*G126*H126</x:f>
        <x:v>1382.24232</x:v>
      </x:c>
      <x:c r="J126" s="7" t="str">
        <x:v>2 layers x 30 bars, split lengths combined around 4 m opening</x:v>
      </x:c>
      <x:c r="K126" s="2"/>
      <x:c r="L126" s="2"/>
      <x:c r="M126" s="2"/>
      <x:c r="N126" s="2"/>
      <x:c r="O126" s="2"/>
      <x:c r="P126" s="2"/>
      <x:c r="Q126" s="2"/>
    </x:row>
    <x:row r="127" ht="22" customHeight="1">
      <x:c r="A127" s="2" t="str">
        <x:v>T1-L09-S3</x:v>
      </x:c>
      <x:c r="B127" s="2" t="str">
        <x:v>T1</x:v>
      </x:c>
      <x:c r="C127" s="2" t="str">
        <x:v>L09</x:v>
      </x:c>
      <x:c r="D127" s="2" t="str">
        <x:v>Slab Y through strips</x:v>
      </x:c>
      <x:c r="E127" s="21" t="n">
        <x:v>12</x:v>
      </x:c>
      <x:c r="F127" s="21" t="n">
        <x:v>262</x:v>
      </x:c>
      <x:c r="G127" s="21" t="n">
        <x:v>23.95</x:v>
      </x:c>
      <x:c r="H127" s="21" t="n">
        <x:f>E127^2*'Controls'!$B$52</x:f>
        <x:v>0.8877600000000001</x:v>
      </x:c>
      <x:c r="I127" s="21" t="n">
        <x:f>F127*G127*H127</x:f>
        <x:v>5570.605224</x:v>
      </x:c>
      <x:c r="J127" s="2" t="str">
        <x:v>2 layers x 131 bars outside central opening band</x:v>
      </x:c>
      <x:c r="K127" s="2"/>
      <x:c r="L127" s="2"/>
      <x:c r="M127" s="2"/>
      <x:c r="N127" s="2"/>
      <x:c r="O127" s="2"/>
      <x:c r="P127" s="2"/>
      <x:c r="Q127" s="2"/>
    </x:row>
    <x:row r="128" ht="22" customHeight="1">
      <x:c r="A128" s="7" t="str">
        <x:v>T1-L09-S4</x:v>
      </x:c>
      <x:c r="B128" s="7" t="str">
        <x:v>T1</x:v>
      </x:c>
      <x:c r="C128" s="7" t="str">
        <x:v>L09</x:v>
      </x:c>
      <x:c r="D128" s="7" t="str">
        <x:v>Slab Y split at core</x:v>
      </x:c>
      <x:c r="E128" s="20" t="n">
        <x:v>12</x:v>
      </x:c>
      <x:c r="F128" s="20" t="n">
        <x:v>40</x:v>
      </x:c>
      <x:c r="G128" s="20" t="n">
        <x:v>17.95</x:v>
      </x:c>
      <x:c r="H128" s="20" t="n">
        <x:f>E128^2*'Controls'!$B$52</x:f>
        <x:v>0.8877600000000001</x:v>
      </x:c>
      <x:c r="I128" s="20" t="n">
        <x:f>F128*G128*H128</x:f>
        <x:v>637.41168</x:v>
      </x:c>
      <x:c r="J128" s="7" t="str">
        <x:v>2 layers x 20 bars, split around 6 m opening</x:v>
      </x:c>
      <x:c r="K128" s="2"/>
      <x:c r="L128" s="2"/>
      <x:c r="M128" s="2"/>
      <x:c r="N128" s="2"/>
      <x:c r="O128" s="2"/>
      <x:c r="P128" s="2"/>
      <x:c r="Q128" s="2"/>
    </x:row>
    <x:row r="129" ht="22" customHeight="1">
      <x:c r="A129" s="2" t="str">
        <x:v>T1-L09-S5</x:v>
      </x:c>
      <x:c r="B129" s="2" t="str">
        <x:v>T1</x:v>
      </x:c>
      <x:c r="C129" s="2" t="str">
        <x:v>L09</x:v>
      </x:c>
      <x:c r="D129" s="2" t="str">
        <x:v>Opening trim bars</x:v>
      </x:c>
      <x:c r="E129" s="21" t="n">
        <x:v>16</x:v>
      </x:c>
      <x:c r="F129" s="21" t="n">
        <x:v>16</x:v>
      </x:c>
      <x:c r="G129" s="21" t="n">
        <x:v>7.2</x:v>
      </x:c>
      <x:c r="H129" s="21" t="n">
        <x:f>E129^2*'Controls'!$B$52</x:f>
        <x:v>1.57824</x:v>
      </x:c>
      <x:c r="I129" s="21" t="n">
        <x:f>F129*G129*H129</x:f>
        <x:v>181.81324800000002</x:v>
      </x:c>
      <x:c r="J129" s="2" t="str">
        <x:v>Trim allowance, explicit scheduled lengths</x:v>
      </x:c>
      <x:c r="K129" s="2"/>
      <x:c r="L129" s="2"/>
      <x:c r="M129" s="2"/>
      <x:c r="N129" s="2"/>
      <x:c r="O129" s="2"/>
      <x:c r="P129" s="2"/>
      <x:c r="Q129" s="2"/>
    </x:row>
    <x:row r="130" ht="22" customHeight="1">
      <x:c r="A130" s="7" t="str">
        <x:v>T1-L09-BX</x:v>
      </x:c>
      <x:c r="B130" s="7" t="str">
        <x:v>T1</x:v>
      </x:c>
      <x:c r="C130" s="7" t="str">
        <x:v>L09</x:v>
      </x:c>
      <x:c r="D130" s="7" t="str">
        <x:v>X beam longitudinal</x:v>
      </x:c>
      <x:c r="E130" s="20" t="n">
        <x:v>20</x:v>
      </x:c>
      <x:c r="F130" s="20" t="n">
        <x:v>150</x:v>
      </x:c>
      <x:c r="G130" s="20" t="n">
        <x:v>6.5</x:v>
      </x:c>
      <x:c r="H130" s="20" t="n">
        <x:f>E130^2*'Controls'!$B$52</x:f>
        <x:v>2.466</x:v>
      </x:c>
      <x:c r="I130" s="20" t="n">
        <x:f>F130*G130*H130</x:f>
        <x:v>2404.3500000000004</x:v>
      </x:c>
      <x:c r="J130" s="7" t="str">
        <x:v>25 spans x 6 bars incl. 1 m lap/anchorage provision</x:v>
      </x:c>
      <x:c r="K130" s="2"/>
      <x:c r="L130" s="2"/>
      <x:c r="M130" s="2"/>
      <x:c r="N130" s="2"/>
      <x:c r="O130" s="2"/>
      <x:c r="P130" s="2"/>
      <x:c r="Q130" s="2"/>
    </x:row>
    <x:row r="131" ht="22" customHeight="1">
      <x:c r="A131" s="2" t="str">
        <x:v>T1-L09-BY</x:v>
      </x:c>
      <x:c r="B131" s="2" t="str">
        <x:v>T1</x:v>
      </x:c>
      <x:c r="C131" s="2" t="str">
        <x:v>L09</x:v>
      </x:c>
      <x:c r="D131" s="2" t="str">
        <x:v>Y beam longitudinal</x:v>
      </x:c>
      <x:c r="E131" s="21" t="n">
        <x:v>20</x:v>
      </x:c>
      <x:c r="F131" s="21" t="n">
        <x:v>144</x:v>
      </x:c>
      <x:c r="G131" s="21" t="n">
        <x:v>6.5</x:v>
      </x:c>
      <x:c r="H131" s="21" t="n">
        <x:f>E131^2*'Controls'!$B$52</x:f>
        <x:v>2.466</x:v>
      </x:c>
      <x:c r="I131" s="21" t="n">
        <x:f>F131*G131*H131</x:f>
        <x:v>2308.1760000000004</x:v>
      </x:c>
      <x:c r="J131" s="2" t="str">
        <x:v>24 spans x 6 bars</x:v>
      </x:c>
      <x:c r="K131" s="2"/>
      <x:c r="L131" s="2"/>
      <x:c r="M131" s="2"/>
      <x:c r="N131" s="2"/>
      <x:c r="O131" s="2"/>
      <x:c r="P131" s="2"/>
      <x:c r="Q131" s="2"/>
    </x:row>
    <x:row r="132" ht="22" customHeight="1">
      <x:c r="A132" s="7" t="str">
        <x:v>T1-L09-BT</x:v>
      </x:c>
      <x:c r="B132" s="7" t="str">
        <x:v>T1</x:v>
      </x:c>
      <x:c r="C132" s="7" t="str">
        <x:v>L09</x:v>
      </x:c>
      <x:c r="D132" s="7" t="str">
        <x:v>Beam closed links</x:v>
      </x:c>
      <x:c r="E132" s="20" t="n">
        <x:v>10</x:v>
      </x:c>
      <x:c r="F132" s="20" t="n">
        <x:v>1421</x:v>
      </x:c>
      <x:c r="G132" s="20" t="n">
        <x:v>1.7</x:v>
      </x:c>
      <x:c r="H132" s="20" t="n">
        <x:f>E132^2*'Controls'!$B$52</x:f>
        <x:v>0.6165</x:v>
      </x:c>
      <x:c r="I132" s="20" t="n">
        <x:f>F132*G132*H132</x:f>
        <x:v>1489.27905</x:v>
      </x:c>
      <x:c r="J132" s="7" t="str">
        <x:v>49 beams x 29 links, 200 mm nominal</x:v>
      </x:c>
      <x:c r="K132" s="2"/>
      <x:c r="L132" s="2"/>
      <x:c r="M132" s="2"/>
      <x:c r="N132" s="2"/>
      <x:c r="O132" s="2"/>
      <x:c r="P132" s="2"/>
      <x:c r="Q132" s="2"/>
    </x:row>
    <x:row r="133" ht="22" customHeight="1">
      <x:c r="A133" s="2" t="str">
        <x:v>T1-L09-CL</x:v>
      </x:c>
      <x:c r="B133" s="2" t="str">
        <x:v>T1</x:v>
      </x:c>
      <x:c r="C133" s="2" t="str">
        <x:v>L09</x:v>
      </x:c>
      <x:c r="D133" s="2" t="str">
        <x:v>Column longitudinal</x:v>
      </x:c>
      <x:c r="E133" s="21" t="n">
        <x:v>25</x:v>
      </x:c>
      <x:c r="F133" s="21" t="n">
        <x:v>360</x:v>
      </x:c>
      <x:c r="G133" s="21" t="n">
        <x:v>3.9</x:v>
      </x:c>
      <x:c r="H133" s="21" t="n">
        <x:f>E133^2*'Controls'!$B$52</x:f>
        <x:v>3.8531250000000004</x:v>
      </x:c>
      <x:c r="I133" s="21" t="n">
        <x:f>F133*G133*H133</x:f>
        <x:v>5409.7875</x:v>
      </x:c>
      <x:c r="J133" s="2" t="str">
        <x:v>30 columns x 12 bars incl. lap</x:v>
      </x:c>
      <x:c r="K133" s="2"/>
      <x:c r="L133" s="2"/>
      <x:c r="M133" s="2"/>
      <x:c r="N133" s="2"/>
      <x:c r="O133" s="2"/>
      <x:c r="P133" s="2"/>
      <x:c r="Q133" s="2"/>
    </x:row>
    <x:row r="134" ht="22" customHeight="1">
      <x:c r="A134" s="7" t="str">
        <x:v>T1-L09-CT</x:v>
      </x:c>
      <x:c r="B134" s="7" t="str">
        <x:v>T1</x:v>
      </x:c>
      <x:c r="C134" s="7" t="str">
        <x:v>L09</x:v>
      </x:c>
      <x:c r="D134" s="7" t="str">
        <x:v>Column ties</x:v>
      </x:c>
      <x:c r="E134" s="20" t="n">
        <x:v>10</x:v>
      </x:c>
      <x:c r="F134" s="20" t="n">
        <x:v>510</x:v>
      </x:c>
      <x:c r="G134" s="20" t="n">
        <x:v>1.96</x:v>
      </x:c>
      <x:c r="H134" s="20" t="n">
        <x:f>E134^2*'Controls'!$B$52</x:f>
        <x:v>0.6165</x:v>
      </x:c>
      <x:c r="I134" s="20" t="n">
        <x:f>F134*G134*H134</x:f>
        <x:v>616.2534</x:v>
      </x:c>
      <x:c r="J134" s="7" t="str">
        <x:v>30 columns x 17 ties, cover and hooks included</x:v>
      </x:c>
      <x:c r="K134" s="2"/>
      <x:c r="L134" s="2"/>
      <x:c r="M134" s="2"/>
      <x:c r="N134" s="2"/>
      <x:c r="O134" s="2"/>
      <x:c r="P134" s="2"/>
      <x:c r="Q134" s="2"/>
    </x:row>
    <x:row r="135" ht="22" customHeight="1">
      <x:c r="A135" s="2" t="str">
        <x:v>T1-L09-CV</x:v>
      </x:c>
      <x:c r="B135" s="2" t="str">
        <x:v>T1</x:v>
      </x:c>
      <x:c r="C135" s="2" t="str">
        <x:v>L09</x:v>
      </x:c>
      <x:c r="D135" s="2" t="str">
        <x:v>Core vertical bars</x:v>
      </x:c>
      <x:c r="E135" s="21" t="n">
        <x:v>16</x:v>
      </x:c>
      <x:c r="F135" s="21" t="n">
        <x:v>244</x:v>
      </x:c>
      <x:c r="G135" s="21" t="n">
        <x:v>3.9</x:v>
      </x:c>
      <x:c r="H135" s="21" t="n">
        <x:f>E135^2*'Controls'!$B$52</x:f>
        <x:v>1.57824</x:v>
      </x:c>
      <x:c r="I135" s="21" t="n">
        <x:f>F135*G135*H135</x:f>
        <x:v>1501.853184</x:v>
      </x:c>
      <x:c r="J135" s="2" t="str">
        <x:v>Two faces, 200 mm nominal along 24 m net length</x:v>
      </x:c>
      <x:c r="K135" s="2"/>
      <x:c r="L135" s="2"/>
      <x:c r="M135" s="2"/>
      <x:c r="N135" s="2"/>
      <x:c r="O135" s="2"/>
      <x:c r="P135" s="2"/>
      <x:c r="Q135" s="2"/>
    </x:row>
    <x:row r="136" ht="22" customHeight="1">
      <x:c r="A136" s="7" t="str">
        <x:v>T1-L09-CH</x:v>
      </x:c>
      <x:c r="B136" s="7" t="str">
        <x:v>T1</x:v>
      </x:c>
      <x:c r="C136" s="7" t="str">
        <x:v>L09</x:v>
      </x:c>
      <x:c r="D136" s="7" t="str">
        <x:v>Core horizontal bars</x:v>
      </x:c>
      <x:c r="E136" s="20" t="n">
        <x:v>12</x:v>
      </x:c>
      <x:c r="F136" s="20" t="n">
        <x:v>32</x:v>
      </x:c>
      <x:c r="G136" s="20" t="n">
        <x:v>25</x:v>
      </x:c>
      <x:c r="H136" s="20" t="n">
        <x:f>E136^2*'Controls'!$B$52</x:f>
        <x:v>0.8877600000000001</x:v>
      </x:c>
      <x:c r="I136" s="20" t="n">
        <x:f>F136*G136*H136</x:f>
        <x:v>710.2080000000001</x:v>
      </x:c>
      <x:c r="J136" s="7" t="str">
        <x:v>Two faces x 16 layers incl. lap</x:v>
      </x:c>
      <x:c r="K136" s="2"/>
      <x:c r="L136" s="2"/>
      <x:c r="M136" s="2"/>
      <x:c r="N136" s="2"/>
      <x:c r="O136" s="2"/>
      <x:c r="P136" s="2"/>
      <x:c r="Q136" s="2"/>
    </x:row>
    <x:row r="137" ht="22" customHeight="1">
      <x:c r="A137" s="2" t="str">
        <x:v>T1-L09-ST</x:v>
      </x:c>
      <x:c r="B137" s="2" t="str">
        <x:v>T1</x:v>
      </x:c>
      <x:c r="C137" s="2" t="str">
        <x:v>L09</x:v>
      </x:c>
      <x:c r="D137" s="2" t="str">
        <x:v>Stair flights and landings</x:v>
      </x:c>
      <x:c r="E137" s="21" t="n">
        <x:v>12</x:v>
      </x:c>
      <x:c r="F137" s="21" t="n">
        <x:v>80</x:v>
      </x:c>
      <x:c r="G137" s="21" t="n">
        <x:v>4.8</x:v>
      </x:c>
      <x:c r="H137" s="21" t="n">
        <x:f>E137^2*'Controls'!$B$52</x:f>
        <x:v>0.8877600000000001</x:v>
      </x:c>
      <x:c r="I137" s="21" t="n">
        <x:f>F137*G137*H137</x:f>
        <x:v>340.89984000000004</x:v>
      </x:c>
      <x:c r="J137" s="2" t="str">
        <x:v>Separate stair reinforcement allowance</x:v>
      </x:c>
      <x:c r="K137" s="2"/>
      <x:c r="L137" s="2"/>
      <x:c r="M137" s="2"/>
      <x:c r="N137" s="2"/>
      <x:c r="O137" s="2"/>
      <x:c r="P137" s="2"/>
      <x:c r="Q137" s="2"/>
    </x:row>
    <x:row r="138" ht="22" customHeight="1">
      <x:c r="A138" s="7" t="str">
        <x:v>T1-L10-S1</x:v>
      </x:c>
      <x:c r="B138" s="7" t="str">
        <x:v>T1</x:v>
      </x:c>
      <x:c r="C138" s="7" t="str">
        <x:v>L10</x:v>
      </x:c>
      <x:c r="D138" s="7" t="str">
        <x:v>Slab X through strips</x:v>
      </x:c>
      <x:c r="E138" s="20" t="n">
        <x:v>12</x:v>
      </x:c>
      <x:c r="F138" s="20" t="n">
        <x:v>182</x:v>
      </x:c>
      <x:c r="G138" s="20" t="n">
        <x:v>29.95</x:v>
      </x:c>
      <x:c r="H138" s="20" t="n">
        <x:f>E138^2*'Controls'!$B$52</x:f>
        <x:v>0.8877600000000001</x:v>
      </x:c>
      <x:c r="I138" s="20" t="n">
        <x:f>F138*G138*H138</x:f>
        <x:v>4839.090984</x:v>
      </x:c>
      <x:c r="J138" s="7" t="str">
        <x:v>2 layers x 91 bars outside central opening band</x:v>
      </x:c>
      <x:c r="K138" s="2"/>
      <x:c r="L138" s="2"/>
      <x:c r="M138" s="2"/>
      <x:c r="N138" s="2"/>
      <x:c r="O138" s="2"/>
      <x:c r="P138" s="2"/>
      <x:c r="Q138" s="2"/>
    </x:row>
    <x:row r="139" ht="22" customHeight="1">
      <x:c r="A139" s="2" t="str">
        <x:v>T1-L10-S2</x:v>
      </x:c>
      <x:c r="B139" s="2" t="str">
        <x:v>T1</x:v>
      </x:c>
      <x:c r="C139" s="2" t="str">
        <x:v>L10</x:v>
      </x:c>
      <x:c r="D139" s="2" t="str">
        <x:v>Slab X split at core</x:v>
      </x:c>
      <x:c r="E139" s="21" t="n">
        <x:v>12</x:v>
      </x:c>
      <x:c r="F139" s="21" t="n">
        <x:v>60</x:v>
      </x:c>
      <x:c r="G139" s="21" t="n">
        <x:v>25.95</x:v>
      </x:c>
      <x:c r="H139" s="21" t="n">
        <x:f>E139^2*'Controls'!$B$52</x:f>
        <x:v>0.8877600000000001</x:v>
      </x:c>
      <x:c r="I139" s="21" t="n">
        <x:f>F139*G139*H139</x:f>
        <x:v>1382.24232</x:v>
      </x:c>
      <x:c r="J139" s="2" t="str">
        <x:v>2 layers x 30 bars, split lengths combined around 4 m opening</x:v>
      </x:c>
      <x:c r="K139" s="2"/>
      <x:c r="L139" s="2"/>
      <x:c r="M139" s="2"/>
      <x:c r="N139" s="2"/>
      <x:c r="O139" s="2"/>
      <x:c r="P139" s="2"/>
      <x:c r="Q139" s="2"/>
    </x:row>
    <x:row r="140" ht="22" customHeight="1">
      <x:c r="A140" s="7" t="str">
        <x:v>T1-L10-S3</x:v>
      </x:c>
      <x:c r="B140" s="7" t="str">
        <x:v>T1</x:v>
      </x:c>
      <x:c r="C140" s="7" t="str">
        <x:v>L10</x:v>
      </x:c>
      <x:c r="D140" s="7" t="str">
        <x:v>Slab Y through strips</x:v>
      </x:c>
      <x:c r="E140" s="20" t="n">
        <x:v>12</x:v>
      </x:c>
      <x:c r="F140" s="20" t="n">
        <x:v>262</x:v>
      </x:c>
      <x:c r="G140" s="20" t="n">
        <x:v>23.95</x:v>
      </x:c>
      <x:c r="H140" s="20" t="n">
        <x:f>E140^2*'Controls'!$B$52</x:f>
        <x:v>0.8877600000000001</x:v>
      </x:c>
      <x:c r="I140" s="20" t="n">
        <x:f>F140*G140*H140</x:f>
        <x:v>5570.605224</x:v>
      </x:c>
      <x:c r="J140" s="7" t="str">
        <x:v>2 layers x 131 bars outside central opening band</x:v>
      </x:c>
      <x:c r="K140" s="2"/>
      <x:c r="L140" s="2"/>
      <x:c r="M140" s="2"/>
      <x:c r="N140" s="2"/>
      <x:c r="O140" s="2"/>
      <x:c r="P140" s="2"/>
      <x:c r="Q140" s="2"/>
    </x:row>
    <x:row r="141" ht="22" customHeight="1">
      <x:c r="A141" s="2" t="str">
        <x:v>T1-L10-S4</x:v>
      </x:c>
      <x:c r="B141" s="2" t="str">
        <x:v>T1</x:v>
      </x:c>
      <x:c r="C141" s="2" t="str">
        <x:v>L10</x:v>
      </x:c>
      <x:c r="D141" s="2" t="str">
        <x:v>Slab Y split at core</x:v>
      </x:c>
      <x:c r="E141" s="21" t="n">
        <x:v>12</x:v>
      </x:c>
      <x:c r="F141" s="21" t="n">
        <x:v>40</x:v>
      </x:c>
      <x:c r="G141" s="21" t="n">
        <x:v>17.95</x:v>
      </x:c>
      <x:c r="H141" s="21" t="n">
        <x:f>E141^2*'Controls'!$B$52</x:f>
        <x:v>0.8877600000000001</x:v>
      </x:c>
      <x:c r="I141" s="21" t="n">
        <x:f>F141*G141*H141</x:f>
        <x:v>637.41168</x:v>
      </x:c>
      <x:c r="J141" s="2" t="str">
        <x:v>2 layers x 20 bars, split around 6 m opening</x:v>
      </x:c>
      <x:c r="K141" s="2"/>
      <x:c r="L141" s="2"/>
      <x:c r="M141" s="2"/>
      <x:c r="N141" s="2"/>
      <x:c r="O141" s="2"/>
      <x:c r="P141" s="2"/>
      <x:c r="Q141" s="2"/>
    </x:row>
    <x:row r="142" ht="22" customHeight="1">
      <x:c r="A142" s="7" t="str">
        <x:v>T1-L10-S5</x:v>
      </x:c>
      <x:c r="B142" s="7" t="str">
        <x:v>T1</x:v>
      </x:c>
      <x:c r="C142" s="7" t="str">
        <x:v>L10</x:v>
      </x:c>
      <x:c r="D142" s="7" t="str">
        <x:v>Opening trim bars</x:v>
      </x:c>
      <x:c r="E142" s="20" t="n">
        <x:v>16</x:v>
      </x:c>
      <x:c r="F142" s="20" t="n">
        <x:v>16</x:v>
      </x:c>
      <x:c r="G142" s="20" t="n">
        <x:v>7.2</x:v>
      </x:c>
      <x:c r="H142" s="20" t="n">
        <x:f>E142^2*'Controls'!$B$52</x:f>
        <x:v>1.57824</x:v>
      </x:c>
      <x:c r="I142" s="20" t="n">
        <x:f>F142*G142*H142</x:f>
        <x:v>181.81324800000002</x:v>
      </x:c>
      <x:c r="J142" s="7" t="str">
        <x:v>Trim allowance, explicit scheduled lengths</x:v>
      </x:c>
      <x:c r="K142" s="2"/>
      <x:c r="L142" s="2"/>
      <x:c r="M142" s="2"/>
      <x:c r="N142" s="2"/>
      <x:c r="O142" s="2"/>
      <x:c r="P142" s="2"/>
      <x:c r="Q142" s="2"/>
    </x:row>
    <x:row r="143" ht="22" customHeight="1">
      <x:c r="A143" s="2" t="str">
        <x:v>T1-L10-BX</x:v>
      </x:c>
      <x:c r="B143" s="2" t="str">
        <x:v>T1</x:v>
      </x:c>
      <x:c r="C143" s="2" t="str">
        <x:v>L10</x:v>
      </x:c>
      <x:c r="D143" s="2" t="str">
        <x:v>X beam longitudinal</x:v>
      </x:c>
      <x:c r="E143" s="21" t="n">
        <x:v>20</x:v>
      </x:c>
      <x:c r="F143" s="21" t="n">
        <x:v>150</x:v>
      </x:c>
      <x:c r="G143" s="21" t="n">
        <x:v>6.5</x:v>
      </x:c>
      <x:c r="H143" s="21" t="n">
        <x:f>E143^2*'Controls'!$B$52</x:f>
        <x:v>2.466</x:v>
      </x:c>
      <x:c r="I143" s="21" t="n">
        <x:f>F143*G143*H143</x:f>
        <x:v>2404.3500000000004</x:v>
      </x:c>
      <x:c r="J143" s="2" t="str">
        <x:v>25 spans x 6 bars incl. 1 m lap/anchorage provision</x:v>
      </x:c>
      <x:c r="K143" s="2"/>
      <x:c r="L143" s="2"/>
      <x:c r="M143" s="2"/>
      <x:c r="N143" s="2"/>
      <x:c r="O143" s="2"/>
      <x:c r="P143" s="2"/>
      <x:c r="Q143" s="2"/>
    </x:row>
    <x:row r="144" ht="22" customHeight="1">
      <x:c r="A144" s="7" t="str">
        <x:v>T1-L10-BY</x:v>
      </x:c>
      <x:c r="B144" s="7" t="str">
        <x:v>T1</x:v>
      </x:c>
      <x:c r="C144" s="7" t="str">
        <x:v>L10</x:v>
      </x:c>
      <x:c r="D144" s="7" t="str">
        <x:v>Y beam longitudinal</x:v>
      </x:c>
      <x:c r="E144" s="20" t="n">
        <x:v>20</x:v>
      </x:c>
      <x:c r="F144" s="20" t="n">
        <x:v>144</x:v>
      </x:c>
      <x:c r="G144" s="20" t="n">
        <x:v>6.5</x:v>
      </x:c>
      <x:c r="H144" s="20" t="n">
        <x:f>E144^2*'Controls'!$B$52</x:f>
        <x:v>2.466</x:v>
      </x:c>
      <x:c r="I144" s="20" t="n">
        <x:f>F144*G144*H144</x:f>
        <x:v>2308.1760000000004</x:v>
      </x:c>
      <x:c r="J144" s="7" t="str">
        <x:v>24 spans x 6 bars</x:v>
      </x:c>
      <x:c r="K144" s="2"/>
      <x:c r="L144" s="2"/>
      <x:c r="M144" s="2"/>
      <x:c r="N144" s="2"/>
      <x:c r="O144" s="2"/>
      <x:c r="P144" s="2"/>
      <x:c r="Q144" s="2"/>
    </x:row>
    <x:row r="145" ht="22" customHeight="1">
      <x:c r="A145" s="2" t="str">
        <x:v>T1-L10-BT</x:v>
      </x:c>
      <x:c r="B145" s="2" t="str">
        <x:v>T1</x:v>
      </x:c>
      <x:c r="C145" s="2" t="str">
        <x:v>L10</x:v>
      </x:c>
      <x:c r="D145" s="2" t="str">
        <x:v>Beam closed links</x:v>
      </x:c>
      <x:c r="E145" s="21" t="n">
        <x:v>10</x:v>
      </x:c>
      <x:c r="F145" s="21" t="n">
        <x:v>1421</x:v>
      </x:c>
      <x:c r="G145" s="21" t="n">
        <x:v>1.7</x:v>
      </x:c>
      <x:c r="H145" s="21" t="n">
        <x:f>E145^2*'Controls'!$B$52</x:f>
        <x:v>0.6165</x:v>
      </x:c>
      <x:c r="I145" s="21" t="n">
        <x:f>F145*G145*H145</x:f>
        <x:v>1489.27905</x:v>
      </x:c>
      <x:c r="J145" s="2" t="str">
        <x:v>49 beams x 29 links, 200 mm nominal</x:v>
      </x:c>
      <x:c r="K145" s="2"/>
      <x:c r="L145" s="2"/>
      <x:c r="M145" s="2"/>
      <x:c r="N145" s="2"/>
      <x:c r="O145" s="2"/>
      <x:c r="P145" s="2"/>
      <x:c r="Q145" s="2"/>
    </x:row>
    <x:row r="146" ht="22" customHeight="1">
      <x:c r="A146" s="7" t="str">
        <x:v>T1-L10-CL</x:v>
      </x:c>
      <x:c r="B146" s="7" t="str">
        <x:v>T1</x:v>
      </x:c>
      <x:c r="C146" s="7" t="str">
        <x:v>L10</x:v>
      </x:c>
      <x:c r="D146" s="7" t="str">
        <x:v>Column longitudinal</x:v>
      </x:c>
      <x:c r="E146" s="20" t="n">
        <x:v>25</x:v>
      </x:c>
      <x:c r="F146" s="20" t="n">
        <x:v>360</x:v>
      </x:c>
      <x:c r="G146" s="20" t="n">
        <x:v>3.9</x:v>
      </x:c>
      <x:c r="H146" s="20" t="n">
        <x:f>E146^2*'Controls'!$B$52</x:f>
        <x:v>3.8531250000000004</x:v>
      </x:c>
      <x:c r="I146" s="20" t="n">
        <x:f>F146*G146*H146</x:f>
        <x:v>5409.7875</x:v>
      </x:c>
      <x:c r="J146" s="7" t="str">
        <x:v>30 columns x 12 bars incl. lap</x:v>
      </x:c>
      <x:c r="K146" s="2"/>
      <x:c r="L146" s="2"/>
      <x:c r="M146" s="2"/>
      <x:c r="N146" s="2"/>
      <x:c r="O146" s="2"/>
      <x:c r="P146" s="2"/>
      <x:c r="Q146" s="2"/>
    </x:row>
    <x:row r="147" ht="22" customHeight="1">
      <x:c r="A147" s="2" t="str">
        <x:v>T1-L10-CT</x:v>
      </x:c>
      <x:c r="B147" s="2" t="str">
        <x:v>T1</x:v>
      </x:c>
      <x:c r="C147" s="2" t="str">
        <x:v>L10</x:v>
      </x:c>
      <x:c r="D147" s="2" t="str">
        <x:v>Column ties</x:v>
      </x:c>
      <x:c r="E147" s="21" t="n">
        <x:v>10</x:v>
      </x:c>
      <x:c r="F147" s="21" t="n">
        <x:v>510</x:v>
      </x:c>
      <x:c r="G147" s="21" t="n">
        <x:v>1.96</x:v>
      </x:c>
      <x:c r="H147" s="21" t="n">
        <x:f>E147^2*'Controls'!$B$52</x:f>
        <x:v>0.6165</x:v>
      </x:c>
      <x:c r="I147" s="21" t="n">
        <x:f>F147*G147*H147</x:f>
        <x:v>616.2534</x:v>
      </x:c>
      <x:c r="J147" s="2" t="str">
        <x:v>30 columns x 17 ties, cover and hooks included</x:v>
      </x:c>
      <x:c r="K147" s="2"/>
      <x:c r="L147" s="2"/>
      <x:c r="M147" s="2"/>
      <x:c r="N147" s="2"/>
      <x:c r="O147" s="2"/>
      <x:c r="P147" s="2"/>
      <x:c r="Q147" s="2"/>
    </x:row>
    <x:row r="148" ht="22" customHeight="1">
      <x:c r="A148" s="7" t="str">
        <x:v>T1-L10-CV</x:v>
      </x:c>
      <x:c r="B148" s="7" t="str">
        <x:v>T1</x:v>
      </x:c>
      <x:c r="C148" s="7" t="str">
        <x:v>L10</x:v>
      </x:c>
      <x:c r="D148" s="7" t="str">
        <x:v>Core vertical bars</x:v>
      </x:c>
      <x:c r="E148" s="20" t="n">
        <x:v>16</x:v>
      </x:c>
      <x:c r="F148" s="20" t="n">
        <x:v>244</x:v>
      </x:c>
      <x:c r="G148" s="20" t="n">
        <x:v>3.9</x:v>
      </x:c>
      <x:c r="H148" s="20" t="n">
        <x:f>E148^2*'Controls'!$B$52</x:f>
        <x:v>1.57824</x:v>
      </x:c>
      <x:c r="I148" s="20" t="n">
        <x:f>F148*G148*H148</x:f>
        <x:v>1501.853184</x:v>
      </x:c>
      <x:c r="J148" s="7" t="str">
        <x:v>Two faces, 200 mm nominal along 24 m net length</x:v>
      </x:c>
      <x:c r="K148" s="2"/>
      <x:c r="L148" s="2"/>
      <x:c r="M148" s="2"/>
      <x:c r="N148" s="2"/>
      <x:c r="O148" s="2"/>
      <x:c r="P148" s="2"/>
      <x:c r="Q148" s="2"/>
    </x:row>
    <x:row r="149" ht="22" customHeight="1">
      <x:c r="A149" s="2" t="str">
        <x:v>T1-L10-CH</x:v>
      </x:c>
      <x:c r="B149" s="2" t="str">
        <x:v>T1</x:v>
      </x:c>
      <x:c r="C149" s="2" t="str">
        <x:v>L10</x:v>
      </x:c>
      <x:c r="D149" s="2" t="str">
        <x:v>Core horizontal bars</x:v>
      </x:c>
      <x:c r="E149" s="21" t="n">
        <x:v>12</x:v>
      </x:c>
      <x:c r="F149" s="21" t="n">
        <x:v>32</x:v>
      </x:c>
      <x:c r="G149" s="21" t="n">
        <x:v>25</x:v>
      </x:c>
      <x:c r="H149" s="21" t="n">
        <x:f>E149^2*'Controls'!$B$52</x:f>
        <x:v>0.8877600000000001</x:v>
      </x:c>
      <x:c r="I149" s="21" t="n">
        <x:f>F149*G149*H149</x:f>
        <x:v>710.2080000000001</x:v>
      </x:c>
      <x:c r="J149" s="2" t="str">
        <x:v>Two faces x 16 layers incl. lap</x:v>
      </x:c>
      <x:c r="K149" s="2"/>
      <x:c r="L149" s="2"/>
      <x:c r="M149" s="2"/>
      <x:c r="N149" s="2"/>
      <x:c r="O149" s="2"/>
      <x:c r="P149" s="2"/>
      <x:c r="Q149" s="2"/>
    </x:row>
    <x:row r="150" ht="22" customHeight="1">
      <x:c r="A150" s="7" t="str">
        <x:v>T1-L10-ST</x:v>
      </x:c>
      <x:c r="B150" s="7" t="str">
        <x:v>T1</x:v>
      </x:c>
      <x:c r="C150" s="7" t="str">
        <x:v>L10</x:v>
      </x:c>
      <x:c r="D150" s="7" t="str">
        <x:v>Stair flights and landings</x:v>
      </x:c>
      <x:c r="E150" s="20" t="n">
        <x:v>12</x:v>
      </x:c>
      <x:c r="F150" s="20" t="n">
        <x:v>80</x:v>
      </x:c>
      <x:c r="G150" s="20" t="n">
        <x:v>4.8</x:v>
      </x:c>
      <x:c r="H150" s="20" t="n">
        <x:f>E150^2*'Controls'!$B$52</x:f>
        <x:v>0.8877600000000001</x:v>
      </x:c>
      <x:c r="I150" s="20" t="n">
        <x:f>F150*G150*H150</x:f>
        <x:v>340.89984000000004</x:v>
      </x:c>
      <x:c r="J150" s="7" t="str">
        <x:v>Separate stair reinforcement allowance</x:v>
      </x:c>
      <x:c r="K150" s="2"/>
      <x:c r="L150" s="2"/>
      <x:c r="M150" s="2"/>
      <x:c r="N150" s="2"/>
      <x:c r="O150" s="2"/>
      <x:c r="P150" s="2"/>
      <x:c r="Q150" s="2"/>
    </x:row>
    <x:row r="151" ht="22" customHeight="1">
      <x:c r="A151" s="2" t="str">
        <x:v>T1-L11-S1</x:v>
      </x:c>
      <x:c r="B151" s="2" t="str">
        <x:v>T1</x:v>
      </x:c>
      <x:c r="C151" s="2" t="str">
        <x:v>L11</x:v>
      </x:c>
      <x:c r="D151" s="2" t="str">
        <x:v>Slab X through strips</x:v>
      </x:c>
      <x:c r="E151" s="21" t="n">
        <x:v>12</x:v>
      </x:c>
      <x:c r="F151" s="21" t="n">
        <x:v>182</x:v>
      </x:c>
      <x:c r="G151" s="21" t="n">
        <x:v>29.95</x:v>
      </x:c>
      <x:c r="H151" s="21" t="n">
        <x:f>E151^2*'Controls'!$B$52</x:f>
        <x:v>0.8877600000000001</x:v>
      </x:c>
      <x:c r="I151" s="21" t="n">
        <x:f>F151*G151*H151</x:f>
        <x:v>4839.090984</x:v>
      </x:c>
      <x:c r="J151" s="2" t="str">
        <x:v>2 layers x 91 bars outside central opening band</x:v>
      </x:c>
      <x:c r="K151" s="2"/>
      <x:c r="L151" s="2"/>
      <x:c r="M151" s="2"/>
      <x:c r="N151" s="2"/>
      <x:c r="O151" s="2"/>
      <x:c r="P151" s="2"/>
      <x:c r="Q151" s="2"/>
    </x:row>
    <x:row r="152" ht="22" customHeight="1">
      <x:c r="A152" s="7" t="str">
        <x:v>T1-L11-S2</x:v>
      </x:c>
      <x:c r="B152" s="7" t="str">
        <x:v>T1</x:v>
      </x:c>
      <x:c r="C152" s="7" t="str">
        <x:v>L11</x:v>
      </x:c>
      <x:c r="D152" s="7" t="str">
        <x:v>Slab X split at core</x:v>
      </x:c>
      <x:c r="E152" s="20" t="n">
        <x:v>12</x:v>
      </x:c>
      <x:c r="F152" s="20" t="n">
        <x:v>60</x:v>
      </x:c>
      <x:c r="G152" s="20" t="n">
        <x:v>25.95</x:v>
      </x:c>
      <x:c r="H152" s="20" t="n">
        <x:f>E152^2*'Controls'!$B$52</x:f>
        <x:v>0.8877600000000001</x:v>
      </x:c>
      <x:c r="I152" s="20" t="n">
        <x:f>F152*G152*H152</x:f>
        <x:v>1382.24232</x:v>
      </x:c>
      <x:c r="J152" s="7" t="str">
        <x:v>2 layers x 30 bars, split lengths combined around 4 m opening</x:v>
      </x:c>
      <x:c r="K152" s="2"/>
      <x:c r="L152" s="2"/>
      <x:c r="M152" s="2"/>
      <x:c r="N152" s="2"/>
      <x:c r="O152" s="2"/>
      <x:c r="P152" s="2"/>
      <x:c r="Q152" s="2"/>
    </x:row>
    <x:row r="153" ht="22" customHeight="1">
      <x:c r="A153" s="2" t="str">
        <x:v>T1-L11-S3</x:v>
      </x:c>
      <x:c r="B153" s="2" t="str">
        <x:v>T1</x:v>
      </x:c>
      <x:c r="C153" s="2" t="str">
        <x:v>L11</x:v>
      </x:c>
      <x:c r="D153" s="2" t="str">
        <x:v>Slab Y through strips</x:v>
      </x:c>
      <x:c r="E153" s="21" t="n">
        <x:v>12</x:v>
      </x:c>
      <x:c r="F153" s="21" t="n">
        <x:v>262</x:v>
      </x:c>
      <x:c r="G153" s="21" t="n">
        <x:v>23.95</x:v>
      </x:c>
      <x:c r="H153" s="21" t="n">
        <x:f>E153^2*'Controls'!$B$52</x:f>
        <x:v>0.8877600000000001</x:v>
      </x:c>
      <x:c r="I153" s="21" t="n">
        <x:f>F153*G153*H153</x:f>
        <x:v>5570.605224</x:v>
      </x:c>
      <x:c r="J153" s="2" t="str">
        <x:v>2 layers x 131 bars outside central opening band</x:v>
      </x:c>
      <x:c r="K153" s="2"/>
      <x:c r="L153" s="2"/>
      <x:c r="M153" s="2"/>
      <x:c r="N153" s="2"/>
      <x:c r="O153" s="2"/>
      <x:c r="P153" s="2"/>
      <x:c r="Q153" s="2"/>
    </x:row>
    <x:row r="154" ht="22" customHeight="1">
      <x:c r="A154" s="7" t="str">
        <x:v>T1-L11-S4</x:v>
      </x:c>
      <x:c r="B154" s="7" t="str">
        <x:v>T1</x:v>
      </x:c>
      <x:c r="C154" s="7" t="str">
        <x:v>L11</x:v>
      </x:c>
      <x:c r="D154" s="7" t="str">
        <x:v>Slab Y split at core</x:v>
      </x:c>
      <x:c r="E154" s="20" t="n">
        <x:v>12</x:v>
      </x:c>
      <x:c r="F154" s="20" t="n">
        <x:v>40</x:v>
      </x:c>
      <x:c r="G154" s="20" t="n">
        <x:v>17.95</x:v>
      </x:c>
      <x:c r="H154" s="20" t="n">
        <x:f>E154^2*'Controls'!$B$52</x:f>
        <x:v>0.8877600000000001</x:v>
      </x:c>
      <x:c r="I154" s="20" t="n">
        <x:f>F154*G154*H154</x:f>
        <x:v>637.41168</x:v>
      </x:c>
      <x:c r="J154" s="7" t="str">
        <x:v>2 layers x 20 bars, split around 6 m opening</x:v>
      </x:c>
      <x:c r="K154" s="2"/>
      <x:c r="L154" s="2"/>
      <x:c r="M154" s="2"/>
      <x:c r="N154" s="2"/>
      <x:c r="O154" s="2"/>
      <x:c r="P154" s="2"/>
      <x:c r="Q154" s="2"/>
    </x:row>
    <x:row r="155" ht="22" customHeight="1">
      <x:c r="A155" s="2" t="str">
        <x:v>T1-L11-S5</x:v>
      </x:c>
      <x:c r="B155" s="2" t="str">
        <x:v>T1</x:v>
      </x:c>
      <x:c r="C155" s="2" t="str">
        <x:v>L11</x:v>
      </x:c>
      <x:c r="D155" s="2" t="str">
        <x:v>Opening trim bars</x:v>
      </x:c>
      <x:c r="E155" s="21" t="n">
        <x:v>16</x:v>
      </x:c>
      <x:c r="F155" s="21" t="n">
        <x:v>16</x:v>
      </x:c>
      <x:c r="G155" s="21" t="n">
        <x:v>7.2</x:v>
      </x:c>
      <x:c r="H155" s="21" t="n">
        <x:f>E155^2*'Controls'!$B$52</x:f>
        <x:v>1.57824</x:v>
      </x:c>
      <x:c r="I155" s="21" t="n">
        <x:f>F155*G155*H155</x:f>
        <x:v>181.81324800000002</x:v>
      </x:c>
      <x:c r="J155" s="2" t="str">
        <x:v>Trim allowance, explicit scheduled lengths</x:v>
      </x:c>
      <x:c r="K155" s="2"/>
      <x:c r="L155" s="2"/>
      <x:c r="M155" s="2"/>
      <x:c r="N155" s="2"/>
      <x:c r="O155" s="2"/>
      <x:c r="P155" s="2"/>
      <x:c r="Q155" s="2"/>
    </x:row>
    <x:row r="156" ht="22" customHeight="1">
      <x:c r="A156" s="7" t="str">
        <x:v>T1-L11-BX</x:v>
      </x:c>
      <x:c r="B156" s="7" t="str">
        <x:v>T1</x:v>
      </x:c>
      <x:c r="C156" s="7" t="str">
        <x:v>L11</x:v>
      </x:c>
      <x:c r="D156" s="7" t="str">
        <x:v>X beam longitudinal</x:v>
      </x:c>
      <x:c r="E156" s="20" t="n">
        <x:v>20</x:v>
      </x:c>
      <x:c r="F156" s="20" t="n">
        <x:v>150</x:v>
      </x:c>
      <x:c r="G156" s="20" t="n">
        <x:v>6.5</x:v>
      </x:c>
      <x:c r="H156" s="20" t="n">
        <x:f>E156^2*'Controls'!$B$52</x:f>
        <x:v>2.466</x:v>
      </x:c>
      <x:c r="I156" s="20" t="n">
        <x:f>F156*G156*H156</x:f>
        <x:v>2404.3500000000004</x:v>
      </x:c>
      <x:c r="J156" s="7" t="str">
        <x:v>25 spans x 6 bars incl. 1 m lap/anchorage provision</x:v>
      </x:c>
      <x:c r="K156" s="2"/>
      <x:c r="L156" s="2"/>
      <x:c r="M156" s="2"/>
      <x:c r="N156" s="2"/>
      <x:c r="O156" s="2"/>
      <x:c r="P156" s="2"/>
      <x:c r="Q156" s="2"/>
    </x:row>
    <x:row r="157" ht="22" customHeight="1">
      <x:c r="A157" s="2" t="str">
        <x:v>T1-L11-BY</x:v>
      </x:c>
      <x:c r="B157" s="2" t="str">
        <x:v>T1</x:v>
      </x:c>
      <x:c r="C157" s="2" t="str">
        <x:v>L11</x:v>
      </x:c>
      <x:c r="D157" s="2" t="str">
        <x:v>Y beam longitudinal</x:v>
      </x:c>
      <x:c r="E157" s="21" t="n">
        <x:v>20</x:v>
      </x:c>
      <x:c r="F157" s="21" t="n">
        <x:v>144</x:v>
      </x:c>
      <x:c r="G157" s="21" t="n">
        <x:v>6.5</x:v>
      </x:c>
      <x:c r="H157" s="21" t="n">
        <x:f>E157^2*'Controls'!$B$52</x:f>
        <x:v>2.466</x:v>
      </x:c>
      <x:c r="I157" s="21" t="n">
        <x:f>F157*G157*H157</x:f>
        <x:v>2308.1760000000004</x:v>
      </x:c>
      <x:c r="J157" s="2" t="str">
        <x:v>24 spans x 6 bars</x:v>
      </x:c>
      <x:c r="K157" s="2"/>
      <x:c r="L157" s="2"/>
      <x:c r="M157" s="2"/>
      <x:c r="N157" s="2"/>
      <x:c r="O157" s="2"/>
      <x:c r="P157" s="2"/>
      <x:c r="Q157" s="2"/>
    </x:row>
    <x:row r="158" ht="22" customHeight="1">
      <x:c r="A158" s="7" t="str">
        <x:v>T1-L11-BT</x:v>
      </x:c>
      <x:c r="B158" s="7" t="str">
        <x:v>T1</x:v>
      </x:c>
      <x:c r="C158" s="7" t="str">
        <x:v>L11</x:v>
      </x:c>
      <x:c r="D158" s="7" t="str">
        <x:v>Beam closed links</x:v>
      </x:c>
      <x:c r="E158" s="20" t="n">
        <x:v>10</x:v>
      </x:c>
      <x:c r="F158" s="20" t="n">
        <x:v>1421</x:v>
      </x:c>
      <x:c r="G158" s="20" t="n">
        <x:v>1.7</x:v>
      </x:c>
      <x:c r="H158" s="20" t="n">
        <x:f>E158^2*'Controls'!$B$52</x:f>
        <x:v>0.6165</x:v>
      </x:c>
      <x:c r="I158" s="20" t="n">
        <x:f>F158*G158*H158</x:f>
        <x:v>1489.27905</x:v>
      </x:c>
      <x:c r="J158" s="7" t="str">
        <x:v>49 beams x 29 links, 200 mm nominal</x:v>
      </x:c>
      <x:c r="K158" s="2"/>
      <x:c r="L158" s="2"/>
      <x:c r="M158" s="2"/>
      <x:c r="N158" s="2"/>
      <x:c r="O158" s="2"/>
      <x:c r="P158" s="2"/>
      <x:c r="Q158" s="2"/>
    </x:row>
    <x:row r="159" ht="22" customHeight="1">
      <x:c r="A159" s="2" t="str">
        <x:v>T1-L11-CL</x:v>
      </x:c>
      <x:c r="B159" s="2" t="str">
        <x:v>T1</x:v>
      </x:c>
      <x:c r="C159" s="2" t="str">
        <x:v>L11</x:v>
      </x:c>
      <x:c r="D159" s="2" t="str">
        <x:v>Column longitudinal</x:v>
      </x:c>
      <x:c r="E159" s="21" t="n">
        <x:v>25</x:v>
      </x:c>
      <x:c r="F159" s="21" t="n">
        <x:v>360</x:v>
      </x:c>
      <x:c r="G159" s="21" t="n">
        <x:v>3.9</x:v>
      </x:c>
      <x:c r="H159" s="21" t="n">
        <x:f>E159^2*'Controls'!$B$52</x:f>
        <x:v>3.8531250000000004</x:v>
      </x:c>
      <x:c r="I159" s="21" t="n">
        <x:f>F159*G159*H159</x:f>
        <x:v>5409.7875</x:v>
      </x:c>
      <x:c r="J159" s="2" t="str">
        <x:v>30 columns x 12 bars incl. lap</x:v>
      </x:c>
      <x:c r="K159" s="2"/>
      <x:c r="L159" s="2"/>
      <x:c r="M159" s="2"/>
      <x:c r="N159" s="2"/>
      <x:c r="O159" s="2"/>
      <x:c r="P159" s="2"/>
      <x:c r="Q159" s="2"/>
    </x:row>
    <x:row r="160" ht="22" customHeight="1">
      <x:c r="A160" s="7" t="str">
        <x:v>T1-L11-CT</x:v>
      </x:c>
      <x:c r="B160" s="7" t="str">
        <x:v>T1</x:v>
      </x:c>
      <x:c r="C160" s="7" t="str">
        <x:v>L11</x:v>
      </x:c>
      <x:c r="D160" s="7" t="str">
        <x:v>Column ties</x:v>
      </x:c>
      <x:c r="E160" s="20" t="n">
        <x:v>10</x:v>
      </x:c>
      <x:c r="F160" s="20" t="n">
        <x:v>510</x:v>
      </x:c>
      <x:c r="G160" s="20" t="n">
        <x:v>1.96</x:v>
      </x:c>
      <x:c r="H160" s="20" t="n">
        <x:f>E160^2*'Controls'!$B$52</x:f>
        <x:v>0.6165</x:v>
      </x:c>
      <x:c r="I160" s="20" t="n">
        <x:f>F160*G160*H160</x:f>
        <x:v>616.2534</x:v>
      </x:c>
      <x:c r="J160" s="7" t="str">
        <x:v>30 columns x 17 ties, cover and hooks included</x:v>
      </x:c>
      <x:c r="K160" s="2"/>
      <x:c r="L160" s="2"/>
      <x:c r="M160" s="2"/>
      <x:c r="N160" s="2"/>
      <x:c r="O160" s="2"/>
      <x:c r="P160" s="2"/>
      <x:c r="Q160" s="2"/>
    </x:row>
    <x:row r="161" ht="22" customHeight="1">
      <x:c r="A161" s="2" t="str">
        <x:v>T1-L11-CV</x:v>
      </x:c>
      <x:c r="B161" s="2" t="str">
        <x:v>T1</x:v>
      </x:c>
      <x:c r="C161" s="2" t="str">
        <x:v>L11</x:v>
      </x:c>
      <x:c r="D161" s="2" t="str">
        <x:v>Core vertical bars</x:v>
      </x:c>
      <x:c r="E161" s="21" t="n">
        <x:v>16</x:v>
      </x:c>
      <x:c r="F161" s="21" t="n">
        <x:v>244</x:v>
      </x:c>
      <x:c r="G161" s="21" t="n">
        <x:v>3.9</x:v>
      </x:c>
      <x:c r="H161" s="21" t="n">
        <x:f>E161^2*'Controls'!$B$52</x:f>
        <x:v>1.57824</x:v>
      </x:c>
      <x:c r="I161" s="21" t="n">
        <x:f>F161*G161*H161</x:f>
        <x:v>1501.853184</x:v>
      </x:c>
      <x:c r="J161" s="2" t="str">
        <x:v>Two faces, 200 mm nominal along 24 m net length</x:v>
      </x:c>
      <x:c r="K161" s="2"/>
      <x:c r="L161" s="2"/>
      <x:c r="M161" s="2"/>
      <x:c r="N161" s="2"/>
      <x:c r="O161" s="2"/>
      <x:c r="P161" s="2"/>
      <x:c r="Q161" s="2"/>
    </x:row>
    <x:row r="162" ht="22" customHeight="1">
      <x:c r="A162" s="7" t="str">
        <x:v>T1-L11-CH</x:v>
      </x:c>
      <x:c r="B162" s="7" t="str">
        <x:v>T1</x:v>
      </x:c>
      <x:c r="C162" s="7" t="str">
        <x:v>L11</x:v>
      </x:c>
      <x:c r="D162" s="7" t="str">
        <x:v>Core horizontal bars</x:v>
      </x:c>
      <x:c r="E162" s="20" t="n">
        <x:v>12</x:v>
      </x:c>
      <x:c r="F162" s="20" t="n">
        <x:v>32</x:v>
      </x:c>
      <x:c r="G162" s="20" t="n">
        <x:v>25</x:v>
      </x:c>
      <x:c r="H162" s="20" t="n">
        <x:f>E162^2*'Controls'!$B$52</x:f>
        <x:v>0.8877600000000001</x:v>
      </x:c>
      <x:c r="I162" s="20" t="n">
        <x:f>F162*G162*H162</x:f>
        <x:v>710.2080000000001</x:v>
      </x:c>
      <x:c r="J162" s="7" t="str">
        <x:v>Two faces x 16 layers incl. lap</x:v>
      </x:c>
      <x:c r="K162" s="2"/>
      <x:c r="L162" s="2"/>
      <x:c r="M162" s="2"/>
      <x:c r="N162" s="2"/>
      <x:c r="O162" s="2"/>
      <x:c r="P162" s="2"/>
      <x:c r="Q162" s="2"/>
    </x:row>
    <x:row r="163" ht="22" customHeight="1">
      <x:c r="A163" s="2" t="str">
        <x:v>T1-L11-ST</x:v>
      </x:c>
      <x:c r="B163" s="2" t="str">
        <x:v>T1</x:v>
      </x:c>
      <x:c r="C163" s="2" t="str">
        <x:v>L11</x:v>
      </x:c>
      <x:c r="D163" s="2" t="str">
        <x:v>Stair flights and landings</x:v>
      </x:c>
      <x:c r="E163" s="21" t="n">
        <x:v>12</x:v>
      </x:c>
      <x:c r="F163" s="21" t="n">
        <x:v>80</x:v>
      </x:c>
      <x:c r="G163" s="21" t="n">
        <x:v>4.8</x:v>
      </x:c>
      <x:c r="H163" s="21" t="n">
        <x:f>E163^2*'Controls'!$B$52</x:f>
        <x:v>0.8877600000000001</x:v>
      </x:c>
      <x:c r="I163" s="21" t="n">
        <x:f>F163*G163*H163</x:f>
        <x:v>340.89984000000004</x:v>
      </x:c>
      <x:c r="J163" s="2" t="str">
        <x:v>Separate stair reinforcement allowance</x:v>
      </x:c>
      <x:c r="K163" s="2"/>
      <x:c r="L163" s="2"/>
      <x:c r="M163" s="2"/>
      <x:c r="N163" s="2"/>
      <x:c r="O163" s="2"/>
      <x:c r="P163" s="2"/>
      <x:c r="Q163" s="2"/>
    </x:row>
    <x:row r="164" ht="22" customHeight="1">
      <x:c r="A164" s="7" t="str">
        <x:v>T1-L12-S1</x:v>
      </x:c>
      <x:c r="B164" s="7" t="str">
        <x:v>T1</x:v>
      </x:c>
      <x:c r="C164" s="7" t="str">
        <x:v>L12</x:v>
      </x:c>
      <x:c r="D164" s="7" t="str">
        <x:v>Slab X through strips</x:v>
      </x:c>
      <x:c r="E164" s="20" t="n">
        <x:v>12</x:v>
      </x:c>
      <x:c r="F164" s="20" t="n">
        <x:v>182</x:v>
      </x:c>
      <x:c r="G164" s="20" t="n">
        <x:v>29.95</x:v>
      </x:c>
      <x:c r="H164" s="20" t="n">
        <x:f>E164^2*'Controls'!$B$52</x:f>
        <x:v>0.8877600000000001</x:v>
      </x:c>
      <x:c r="I164" s="20" t="n">
        <x:f>F164*G164*H164</x:f>
        <x:v>4839.090984</x:v>
      </x:c>
      <x:c r="J164" s="7" t="str">
        <x:v>2 layers x 91 bars outside central opening band</x:v>
      </x:c>
      <x:c r="K164" s="2"/>
      <x:c r="L164" s="2"/>
      <x:c r="M164" s="2"/>
      <x:c r="N164" s="2"/>
      <x:c r="O164" s="2"/>
      <x:c r="P164" s="2"/>
      <x:c r="Q164" s="2"/>
    </x:row>
    <x:row r="165" ht="22" customHeight="1">
      <x:c r="A165" s="2" t="str">
        <x:v>T1-L12-S2</x:v>
      </x:c>
      <x:c r="B165" s="2" t="str">
        <x:v>T1</x:v>
      </x:c>
      <x:c r="C165" s="2" t="str">
        <x:v>L12</x:v>
      </x:c>
      <x:c r="D165" s="2" t="str">
        <x:v>Slab X split at core</x:v>
      </x:c>
      <x:c r="E165" s="21" t="n">
        <x:v>12</x:v>
      </x:c>
      <x:c r="F165" s="21" t="n">
        <x:v>60</x:v>
      </x:c>
      <x:c r="G165" s="21" t="n">
        <x:v>25.95</x:v>
      </x:c>
      <x:c r="H165" s="21" t="n">
        <x:f>E165^2*'Controls'!$B$52</x:f>
        <x:v>0.8877600000000001</x:v>
      </x:c>
      <x:c r="I165" s="21" t="n">
        <x:f>F165*G165*H165</x:f>
        <x:v>1382.24232</x:v>
      </x:c>
      <x:c r="J165" s="2" t="str">
        <x:v>2 layers x 30 bars, split lengths combined around 4 m opening</x:v>
      </x:c>
      <x:c r="K165" s="2"/>
      <x:c r="L165" s="2"/>
      <x:c r="M165" s="2"/>
      <x:c r="N165" s="2"/>
      <x:c r="O165" s="2"/>
      <x:c r="P165" s="2"/>
      <x:c r="Q165" s="2"/>
    </x:row>
    <x:row r="166" ht="22" customHeight="1">
      <x:c r="A166" s="7" t="str">
        <x:v>T1-L12-S3</x:v>
      </x:c>
      <x:c r="B166" s="7" t="str">
        <x:v>T1</x:v>
      </x:c>
      <x:c r="C166" s="7" t="str">
        <x:v>L12</x:v>
      </x:c>
      <x:c r="D166" s="7" t="str">
        <x:v>Slab Y through strips</x:v>
      </x:c>
      <x:c r="E166" s="20" t="n">
        <x:v>12</x:v>
      </x:c>
      <x:c r="F166" s="20" t="n">
        <x:v>262</x:v>
      </x:c>
      <x:c r="G166" s="20" t="n">
        <x:v>23.95</x:v>
      </x:c>
      <x:c r="H166" s="20" t="n">
        <x:f>E166^2*'Controls'!$B$52</x:f>
        <x:v>0.8877600000000001</x:v>
      </x:c>
      <x:c r="I166" s="20" t="n">
        <x:f>F166*G166*H166</x:f>
        <x:v>5570.605224</x:v>
      </x:c>
      <x:c r="J166" s="7" t="str">
        <x:v>2 layers x 131 bars outside central opening band</x:v>
      </x:c>
      <x:c r="K166" s="2"/>
      <x:c r="L166" s="2"/>
      <x:c r="M166" s="2"/>
      <x:c r="N166" s="2"/>
      <x:c r="O166" s="2"/>
      <x:c r="P166" s="2"/>
      <x:c r="Q166" s="2"/>
    </x:row>
    <x:row r="167" ht="22" customHeight="1">
      <x:c r="A167" s="2" t="str">
        <x:v>T1-L12-S4</x:v>
      </x:c>
      <x:c r="B167" s="2" t="str">
        <x:v>T1</x:v>
      </x:c>
      <x:c r="C167" s="2" t="str">
        <x:v>L12</x:v>
      </x:c>
      <x:c r="D167" s="2" t="str">
        <x:v>Slab Y split at core</x:v>
      </x:c>
      <x:c r="E167" s="21" t="n">
        <x:v>12</x:v>
      </x:c>
      <x:c r="F167" s="21" t="n">
        <x:v>40</x:v>
      </x:c>
      <x:c r="G167" s="21" t="n">
        <x:v>17.95</x:v>
      </x:c>
      <x:c r="H167" s="21" t="n">
        <x:f>E167^2*'Controls'!$B$52</x:f>
        <x:v>0.8877600000000001</x:v>
      </x:c>
      <x:c r="I167" s="21" t="n">
        <x:f>F167*G167*H167</x:f>
        <x:v>637.41168</x:v>
      </x:c>
      <x:c r="J167" s="2" t="str">
        <x:v>2 layers x 20 bars, split around 6 m opening</x:v>
      </x:c>
      <x:c r="K167" s="2"/>
      <x:c r="L167" s="2"/>
      <x:c r="M167" s="2"/>
      <x:c r="N167" s="2"/>
      <x:c r="O167" s="2"/>
      <x:c r="P167" s="2"/>
      <x:c r="Q167" s="2"/>
    </x:row>
    <x:row r="168" ht="22" customHeight="1">
      <x:c r="A168" s="7" t="str">
        <x:v>T1-L12-S5</x:v>
      </x:c>
      <x:c r="B168" s="7" t="str">
        <x:v>T1</x:v>
      </x:c>
      <x:c r="C168" s="7" t="str">
        <x:v>L12</x:v>
      </x:c>
      <x:c r="D168" s="7" t="str">
        <x:v>Opening trim bars</x:v>
      </x:c>
      <x:c r="E168" s="20" t="n">
        <x:v>16</x:v>
      </x:c>
      <x:c r="F168" s="20" t="n">
        <x:v>16</x:v>
      </x:c>
      <x:c r="G168" s="20" t="n">
        <x:v>7.2</x:v>
      </x:c>
      <x:c r="H168" s="20" t="n">
        <x:f>E168^2*'Controls'!$B$52</x:f>
        <x:v>1.57824</x:v>
      </x:c>
      <x:c r="I168" s="20" t="n">
        <x:f>F168*G168*H168</x:f>
        <x:v>181.81324800000002</x:v>
      </x:c>
      <x:c r="J168" s="7" t="str">
        <x:v>Trim allowance, explicit scheduled lengths</x:v>
      </x:c>
      <x:c r="K168" s="2"/>
      <x:c r="L168" s="2"/>
      <x:c r="M168" s="2"/>
      <x:c r="N168" s="2"/>
      <x:c r="O168" s="2"/>
      <x:c r="P168" s="2"/>
      <x:c r="Q168" s="2"/>
    </x:row>
    <x:row r="169" ht="22" customHeight="1">
      <x:c r="A169" s="2" t="str">
        <x:v>T1-L12-BX</x:v>
      </x:c>
      <x:c r="B169" s="2" t="str">
        <x:v>T1</x:v>
      </x:c>
      <x:c r="C169" s="2" t="str">
        <x:v>L12</x:v>
      </x:c>
      <x:c r="D169" s="2" t="str">
        <x:v>X beam longitudinal</x:v>
      </x:c>
      <x:c r="E169" s="21" t="n">
        <x:v>20</x:v>
      </x:c>
      <x:c r="F169" s="21" t="n">
        <x:v>150</x:v>
      </x:c>
      <x:c r="G169" s="21" t="n">
        <x:v>6.5</x:v>
      </x:c>
      <x:c r="H169" s="21" t="n">
        <x:f>E169^2*'Controls'!$B$52</x:f>
        <x:v>2.466</x:v>
      </x:c>
      <x:c r="I169" s="21" t="n">
        <x:f>F169*G169*H169</x:f>
        <x:v>2404.3500000000004</x:v>
      </x:c>
      <x:c r="J169" s="2" t="str">
        <x:v>25 spans x 6 bars incl. 1 m lap/anchorage provision</x:v>
      </x:c>
      <x:c r="K169" s="2"/>
      <x:c r="L169" s="2"/>
      <x:c r="M169" s="2"/>
      <x:c r="N169" s="2"/>
      <x:c r="O169" s="2"/>
      <x:c r="P169" s="2"/>
      <x:c r="Q169" s="2"/>
    </x:row>
    <x:row r="170" ht="22" customHeight="1">
      <x:c r="A170" s="7" t="str">
        <x:v>T1-L12-BY</x:v>
      </x:c>
      <x:c r="B170" s="7" t="str">
        <x:v>T1</x:v>
      </x:c>
      <x:c r="C170" s="7" t="str">
        <x:v>L12</x:v>
      </x:c>
      <x:c r="D170" s="7" t="str">
        <x:v>Y beam longitudinal</x:v>
      </x:c>
      <x:c r="E170" s="20" t="n">
        <x:v>20</x:v>
      </x:c>
      <x:c r="F170" s="20" t="n">
        <x:v>144</x:v>
      </x:c>
      <x:c r="G170" s="20" t="n">
        <x:v>6.5</x:v>
      </x:c>
      <x:c r="H170" s="20" t="n">
        <x:f>E170^2*'Controls'!$B$52</x:f>
        <x:v>2.466</x:v>
      </x:c>
      <x:c r="I170" s="20" t="n">
        <x:f>F170*G170*H170</x:f>
        <x:v>2308.1760000000004</x:v>
      </x:c>
      <x:c r="J170" s="7" t="str">
        <x:v>24 spans x 6 bars</x:v>
      </x:c>
      <x:c r="K170" s="2"/>
      <x:c r="L170" s="2"/>
      <x:c r="M170" s="2"/>
      <x:c r="N170" s="2"/>
      <x:c r="O170" s="2"/>
      <x:c r="P170" s="2"/>
      <x:c r="Q170" s="2"/>
    </x:row>
    <x:row r="171" ht="22" customHeight="1">
      <x:c r="A171" s="2" t="str">
        <x:v>T1-L12-BT</x:v>
      </x:c>
      <x:c r="B171" s="2" t="str">
        <x:v>T1</x:v>
      </x:c>
      <x:c r="C171" s="2" t="str">
        <x:v>L12</x:v>
      </x:c>
      <x:c r="D171" s="2" t="str">
        <x:v>Beam closed links</x:v>
      </x:c>
      <x:c r="E171" s="21" t="n">
        <x:v>10</x:v>
      </x:c>
      <x:c r="F171" s="21" t="n">
        <x:v>1421</x:v>
      </x:c>
      <x:c r="G171" s="21" t="n">
        <x:v>1.7</x:v>
      </x:c>
      <x:c r="H171" s="21" t="n">
        <x:f>E171^2*'Controls'!$B$52</x:f>
        <x:v>0.6165</x:v>
      </x:c>
      <x:c r="I171" s="21" t="n">
        <x:f>F171*G171*H171</x:f>
        <x:v>1489.27905</x:v>
      </x:c>
      <x:c r="J171" s="2" t="str">
        <x:v>49 beams x 29 links, 200 mm nominal</x:v>
      </x:c>
      <x:c r="K171" s="2"/>
      <x:c r="L171" s="2"/>
      <x:c r="M171" s="2"/>
      <x:c r="N171" s="2"/>
      <x:c r="O171" s="2"/>
      <x:c r="P171" s="2"/>
      <x:c r="Q171" s="2"/>
    </x:row>
    <x:row r="172" ht="22" customHeight="1">
      <x:c r="A172" s="7" t="str">
        <x:v>T1-L12-CL</x:v>
      </x:c>
      <x:c r="B172" s="7" t="str">
        <x:v>T1</x:v>
      </x:c>
      <x:c r="C172" s="7" t="str">
        <x:v>L12</x:v>
      </x:c>
      <x:c r="D172" s="7" t="str">
        <x:v>Column longitudinal</x:v>
      </x:c>
      <x:c r="E172" s="20" t="n">
        <x:v>25</x:v>
      </x:c>
      <x:c r="F172" s="20" t="n">
        <x:v>360</x:v>
      </x:c>
      <x:c r="G172" s="20" t="n">
        <x:v>3.9</x:v>
      </x:c>
      <x:c r="H172" s="20" t="n">
        <x:f>E172^2*'Controls'!$B$52</x:f>
        <x:v>3.8531250000000004</x:v>
      </x:c>
      <x:c r="I172" s="20" t="n">
        <x:f>F172*G172*H172</x:f>
        <x:v>5409.7875</x:v>
      </x:c>
      <x:c r="J172" s="7" t="str">
        <x:v>30 columns x 12 bars incl. lap</x:v>
      </x:c>
      <x:c r="K172" s="2"/>
      <x:c r="L172" s="2"/>
      <x:c r="M172" s="2"/>
      <x:c r="N172" s="2"/>
      <x:c r="O172" s="2"/>
      <x:c r="P172" s="2"/>
      <x:c r="Q172" s="2"/>
    </x:row>
    <x:row r="173" ht="22" customHeight="1">
      <x:c r="A173" s="2" t="str">
        <x:v>T1-L12-CT</x:v>
      </x:c>
      <x:c r="B173" s="2" t="str">
        <x:v>T1</x:v>
      </x:c>
      <x:c r="C173" s="2" t="str">
        <x:v>L12</x:v>
      </x:c>
      <x:c r="D173" s="2" t="str">
        <x:v>Column ties</x:v>
      </x:c>
      <x:c r="E173" s="21" t="n">
        <x:v>10</x:v>
      </x:c>
      <x:c r="F173" s="21" t="n">
        <x:v>510</x:v>
      </x:c>
      <x:c r="G173" s="21" t="n">
        <x:v>1.96</x:v>
      </x:c>
      <x:c r="H173" s="21" t="n">
        <x:f>E173^2*'Controls'!$B$52</x:f>
        <x:v>0.6165</x:v>
      </x:c>
      <x:c r="I173" s="21" t="n">
        <x:f>F173*G173*H173</x:f>
        <x:v>616.2534</x:v>
      </x:c>
      <x:c r="J173" s="2" t="str">
        <x:v>30 columns x 17 ties, cover and hooks included</x:v>
      </x:c>
      <x:c r="K173" s="2"/>
      <x:c r="L173" s="2"/>
      <x:c r="M173" s="2"/>
      <x:c r="N173" s="2"/>
      <x:c r="O173" s="2"/>
      <x:c r="P173" s="2"/>
      <x:c r="Q173" s="2"/>
    </x:row>
    <x:row r="174" ht="22" customHeight="1">
      <x:c r="A174" s="7" t="str">
        <x:v>T1-L12-CV</x:v>
      </x:c>
      <x:c r="B174" s="7" t="str">
        <x:v>T1</x:v>
      </x:c>
      <x:c r="C174" s="7" t="str">
        <x:v>L12</x:v>
      </x:c>
      <x:c r="D174" s="7" t="str">
        <x:v>Core vertical bars</x:v>
      </x:c>
      <x:c r="E174" s="20" t="n">
        <x:v>16</x:v>
      </x:c>
      <x:c r="F174" s="20" t="n">
        <x:v>244</x:v>
      </x:c>
      <x:c r="G174" s="20" t="n">
        <x:v>3.9</x:v>
      </x:c>
      <x:c r="H174" s="20" t="n">
        <x:f>E174^2*'Controls'!$B$52</x:f>
        <x:v>1.57824</x:v>
      </x:c>
      <x:c r="I174" s="20" t="n">
        <x:f>F174*G174*H174</x:f>
        <x:v>1501.853184</x:v>
      </x:c>
      <x:c r="J174" s="7" t="str">
        <x:v>Two faces, 200 mm nominal along 24 m net length</x:v>
      </x:c>
      <x:c r="K174" s="2"/>
      <x:c r="L174" s="2"/>
      <x:c r="M174" s="2"/>
      <x:c r="N174" s="2"/>
      <x:c r="O174" s="2"/>
      <x:c r="P174" s="2"/>
      <x:c r="Q174" s="2"/>
    </x:row>
    <x:row r="175" ht="22" customHeight="1">
      <x:c r="A175" s="2" t="str">
        <x:v>T1-L12-CH</x:v>
      </x:c>
      <x:c r="B175" s="2" t="str">
        <x:v>T1</x:v>
      </x:c>
      <x:c r="C175" s="2" t="str">
        <x:v>L12</x:v>
      </x:c>
      <x:c r="D175" s="2" t="str">
        <x:v>Core horizontal bars</x:v>
      </x:c>
      <x:c r="E175" s="21" t="n">
        <x:v>12</x:v>
      </x:c>
      <x:c r="F175" s="21" t="n">
        <x:v>32</x:v>
      </x:c>
      <x:c r="G175" s="21" t="n">
        <x:v>25</x:v>
      </x:c>
      <x:c r="H175" s="21" t="n">
        <x:f>E175^2*'Controls'!$B$52</x:f>
        <x:v>0.8877600000000001</x:v>
      </x:c>
      <x:c r="I175" s="21" t="n">
        <x:f>F175*G175*H175</x:f>
        <x:v>710.2080000000001</x:v>
      </x:c>
      <x:c r="J175" s="2" t="str">
        <x:v>Two faces x 16 layers incl. lap</x:v>
      </x:c>
      <x:c r="K175" s="2"/>
      <x:c r="L175" s="2"/>
      <x:c r="M175" s="2"/>
      <x:c r="N175" s="2"/>
      <x:c r="O175" s="2"/>
      <x:c r="P175" s="2"/>
      <x:c r="Q175" s="2"/>
    </x:row>
    <x:row r="176" ht="22" customHeight="1">
      <x:c r="A176" s="7" t="str">
        <x:v>T1-L12-ST</x:v>
      </x:c>
      <x:c r="B176" s="7" t="str">
        <x:v>T1</x:v>
      </x:c>
      <x:c r="C176" s="7" t="str">
        <x:v>L12</x:v>
      </x:c>
      <x:c r="D176" s="7" t="str">
        <x:v>Stair flights and landings</x:v>
      </x:c>
      <x:c r="E176" s="20" t="n">
        <x:v>12</x:v>
      </x:c>
      <x:c r="F176" s="20" t="n">
        <x:v>80</x:v>
      </x:c>
      <x:c r="G176" s="20" t="n">
        <x:v>4.8</x:v>
      </x:c>
      <x:c r="H176" s="20" t="n">
        <x:f>E176^2*'Controls'!$B$52</x:f>
        <x:v>0.8877600000000001</x:v>
      </x:c>
      <x:c r="I176" s="20" t="n">
        <x:f>F176*G176*H176</x:f>
        <x:v>340.89984000000004</x:v>
      </x:c>
      <x:c r="J176" s="7" t="str">
        <x:v>Separate stair reinforcement allowance</x:v>
      </x:c>
      <x:c r="K176" s="2"/>
      <x:c r="L176" s="2"/>
      <x:c r="M176" s="2"/>
      <x:c r="N176" s="2"/>
      <x:c r="O176" s="2"/>
      <x:c r="P176" s="2"/>
      <x:c r="Q176" s="2"/>
    </x:row>
    <x:row r="177" ht="22" customHeight="1">
      <x:c r="A177" s="2" t="str">
        <x:v>T2-L00-S1</x:v>
      </x:c>
      <x:c r="B177" s="2" t="str">
        <x:v>T2</x:v>
      </x:c>
      <x:c r="C177" s="2" t="str">
        <x:v>L00</x:v>
      </x:c>
      <x:c r="D177" s="2" t="str">
        <x:v>Slab X through strips</x:v>
      </x:c>
      <x:c r="E177" s="21" t="n">
        <x:v>12</x:v>
      </x:c>
      <x:c r="F177" s="21" t="n">
        <x:v>182</x:v>
      </x:c>
      <x:c r="G177" s="21" t="n">
        <x:v>29.95</x:v>
      </x:c>
      <x:c r="H177" s="21" t="n">
        <x:f>E177^2*'Controls'!$B$52</x:f>
        <x:v>0.8877600000000001</x:v>
      </x:c>
      <x:c r="I177" s="21" t="n">
        <x:f>F177*G177*H177</x:f>
        <x:v>4839.090984</x:v>
      </x:c>
      <x:c r="J177" s="2" t="str">
        <x:v>2 layers x 91 bars outside central opening band</x:v>
      </x:c>
      <x:c r="K177" s="2"/>
      <x:c r="L177" s="2"/>
      <x:c r="M177" s="2"/>
      <x:c r="N177" s="2"/>
      <x:c r="O177" s="2"/>
      <x:c r="P177" s="2"/>
      <x:c r="Q177" s="2"/>
    </x:row>
    <x:row r="178" ht="22" customHeight="1">
      <x:c r="A178" s="7" t="str">
        <x:v>T2-L00-S2</x:v>
      </x:c>
      <x:c r="B178" s="7" t="str">
        <x:v>T2</x:v>
      </x:c>
      <x:c r="C178" s="7" t="str">
        <x:v>L00</x:v>
      </x:c>
      <x:c r="D178" s="7" t="str">
        <x:v>Slab X split at core</x:v>
      </x:c>
      <x:c r="E178" s="20" t="n">
        <x:v>12</x:v>
      </x:c>
      <x:c r="F178" s="20" t="n">
        <x:v>60</x:v>
      </x:c>
      <x:c r="G178" s="20" t="n">
        <x:v>25.95</x:v>
      </x:c>
      <x:c r="H178" s="20" t="n">
        <x:f>E178^2*'Controls'!$B$52</x:f>
        <x:v>0.8877600000000001</x:v>
      </x:c>
      <x:c r="I178" s="20" t="n">
        <x:f>F178*G178*H178</x:f>
        <x:v>1382.24232</x:v>
      </x:c>
      <x:c r="J178" s="7" t="str">
        <x:v>2 layers x 30 bars, split lengths combined around 4 m opening</x:v>
      </x:c>
      <x:c r="K178" s="2"/>
      <x:c r="L178" s="2"/>
      <x:c r="M178" s="2"/>
      <x:c r="N178" s="2"/>
      <x:c r="O178" s="2"/>
      <x:c r="P178" s="2"/>
      <x:c r="Q178" s="2"/>
    </x:row>
    <x:row r="179" ht="22" customHeight="1">
      <x:c r="A179" s="2" t="str">
        <x:v>T2-L00-S3</x:v>
      </x:c>
      <x:c r="B179" s="2" t="str">
        <x:v>T2</x:v>
      </x:c>
      <x:c r="C179" s="2" t="str">
        <x:v>L00</x:v>
      </x:c>
      <x:c r="D179" s="2" t="str">
        <x:v>Slab Y through strips</x:v>
      </x:c>
      <x:c r="E179" s="21" t="n">
        <x:v>12</x:v>
      </x:c>
      <x:c r="F179" s="21" t="n">
        <x:v>262</x:v>
      </x:c>
      <x:c r="G179" s="21" t="n">
        <x:v>23.95</x:v>
      </x:c>
      <x:c r="H179" s="21" t="n">
        <x:f>E179^2*'Controls'!$B$52</x:f>
        <x:v>0.8877600000000001</x:v>
      </x:c>
      <x:c r="I179" s="21" t="n">
        <x:f>F179*G179*H179</x:f>
        <x:v>5570.605224</x:v>
      </x:c>
      <x:c r="J179" s="2" t="str">
        <x:v>2 layers x 131 bars outside central opening band</x:v>
      </x:c>
      <x:c r="K179" s="2"/>
      <x:c r="L179" s="2"/>
      <x:c r="M179" s="2"/>
      <x:c r="N179" s="2"/>
      <x:c r="O179" s="2"/>
      <x:c r="P179" s="2"/>
      <x:c r="Q179" s="2"/>
    </x:row>
    <x:row r="180" ht="22" customHeight="1">
      <x:c r="A180" s="7" t="str">
        <x:v>T2-L00-S4</x:v>
      </x:c>
      <x:c r="B180" s="7" t="str">
        <x:v>T2</x:v>
      </x:c>
      <x:c r="C180" s="7" t="str">
        <x:v>L00</x:v>
      </x:c>
      <x:c r="D180" s="7" t="str">
        <x:v>Slab Y split at core</x:v>
      </x:c>
      <x:c r="E180" s="20" t="n">
        <x:v>12</x:v>
      </x:c>
      <x:c r="F180" s="20" t="n">
        <x:v>40</x:v>
      </x:c>
      <x:c r="G180" s="20" t="n">
        <x:v>17.95</x:v>
      </x:c>
      <x:c r="H180" s="20" t="n">
        <x:f>E180^2*'Controls'!$B$52</x:f>
        <x:v>0.8877600000000001</x:v>
      </x:c>
      <x:c r="I180" s="20" t="n">
        <x:f>F180*G180*H180</x:f>
        <x:v>637.41168</x:v>
      </x:c>
      <x:c r="J180" s="7" t="str">
        <x:v>2 layers x 20 bars, split around 6 m opening</x:v>
      </x:c>
      <x:c r="K180" s="2"/>
      <x:c r="L180" s="2"/>
      <x:c r="M180" s="2"/>
      <x:c r="N180" s="2"/>
      <x:c r="O180" s="2"/>
      <x:c r="P180" s="2"/>
      <x:c r="Q180" s="2"/>
    </x:row>
    <x:row r="181" ht="22" customHeight="1">
      <x:c r="A181" s="2" t="str">
        <x:v>T2-L00-S5</x:v>
      </x:c>
      <x:c r="B181" s="2" t="str">
        <x:v>T2</x:v>
      </x:c>
      <x:c r="C181" s="2" t="str">
        <x:v>L00</x:v>
      </x:c>
      <x:c r="D181" s="2" t="str">
        <x:v>Opening trim bars</x:v>
      </x:c>
      <x:c r="E181" s="21" t="n">
        <x:v>16</x:v>
      </x:c>
      <x:c r="F181" s="21" t="n">
        <x:v>16</x:v>
      </x:c>
      <x:c r="G181" s="21" t="n">
        <x:v>7.2</x:v>
      </x:c>
      <x:c r="H181" s="21" t="n">
        <x:f>E181^2*'Controls'!$B$52</x:f>
        <x:v>1.57824</x:v>
      </x:c>
      <x:c r="I181" s="21" t="n">
        <x:f>F181*G181*H181</x:f>
        <x:v>181.81324800000002</x:v>
      </x:c>
      <x:c r="J181" s="2" t="str">
        <x:v>Trim allowance, explicit scheduled lengths</x:v>
      </x:c>
      <x:c r="K181" s="2"/>
      <x:c r="L181" s="2"/>
      <x:c r="M181" s="2"/>
      <x:c r="N181" s="2"/>
      <x:c r="O181" s="2"/>
      <x:c r="P181" s="2"/>
      <x:c r="Q181" s="2"/>
    </x:row>
    <x:row r="182" ht="22" customHeight="1">
      <x:c r="A182" s="7" t="str">
        <x:v>T2-L00-BX</x:v>
      </x:c>
      <x:c r="B182" s="7" t="str">
        <x:v>T2</x:v>
      </x:c>
      <x:c r="C182" s="7" t="str">
        <x:v>L00</x:v>
      </x:c>
      <x:c r="D182" s="7" t="str">
        <x:v>X beam longitudinal</x:v>
      </x:c>
      <x:c r="E182" s="20" t="n">
        <x:v>20</x:v>
      </x:c>
      <x:c r="F182" s="20" t="n">
        <x:v>150</x:v>
      </x:c>
      <x:c r="G182" s="20" t="n">
        <x:v>6.5</x:v>
      </x:c>
      <x:c r="H182" s="20" t="n">
        <x:f>E182^2*'Controls'!$B$52</x:f>
        <x:v>2.466</x:v>
      </x:c>
      <x:c r="I182" s="20" t="n">
        <x:f>F182*G182*H182</x:f>
        <x:v>2404.3500000000004</x:v>
      </x:c>
      <x:c r="J182" s="7" t="str">
        <x:v>25 spans x 6 bars incl. 1 m lap/anchorage provision</x:v>
      </x:c>
      <x:c r="K182" s="2"/>
      <x:c r="L182" s="2"/>
      <x:c r="M182" s="2"/>
      <x:c r="N182" s="2"/>
      <x:c r="O182" s="2"/>
      <x:c r="P182" s="2"/>
      <x:c r="Q182" s="2"/>
    </x:row>
    <x:row r="183" ht="22" customHeight="1">
      <x:c r="A183" s="2" t="str">
        <x:v>T2-L00-BY</x:v>
      </x:c>
      <x:c r="B183" s="2" t="str">
        <x:v>T2</x:v>
      </x:c>
      <x:c r="C183" s="2" t="str">
        <x:v>L00</x:v>
      </x:c>
      <x:c r="D183" s="2" t="str">
        <x:v>Y beam longitudinal</x:v>
      </x:c>
      <x:c r="E183" s="21" t="n">
        <x:v>20</x:v>
      </x:c>
      <x:c r="F183" s="21" t="n">
        <x:v>144</x:v>
      </x:c>
      <x:c r="G183" s="21" t="n">
        <x:v>6.5</x:v>
      </x:c>
      <x:c r="H183" s="21" t="n">
        <x:f>E183^2*'Controls'!$B$52</x:f>
        <x:v>2.466</x:v>
      </x:c>
      <x:c r="I183" s="21" t="n">
        <x:f>F183*G183*H183</x:f>
        <x:v>2308.1760000000004</x:v>
      </x:c>
      <x:c r="J183" s="2" t="str">
        <x:v>24 spans x 6 bars</x:v>
      </x:c>
      <x:c r="K183" s="2"/>
      <x:c r="L183" s="2"/>
      <x:c r="M183" s="2"/>
      <x:c r="N183" s="2"/>
      <x:c r="O183" s="2"/>
      <x:c r="P183" s="2"/>
      <x:c r="Q183" s="2"/>
    </x:row>
    <x:row r="184" ht="22" customHeight="1">
      <x:c r="A184" s="7" t="str">
        <x:v>T2-L00-BT</x:v>
      </x:c>
      <x:c r="B184" s="7" t="str">
        <x:v>T2</x:v>
      </x:c>
      <x:c r="C184" s="7" t="str">
        <x:v>L00</x:v>
      </x:c>
      <x:c r="D184" s="7" t="str">
        <x:v>Beam closed links</x:v>
      </x:c>
      <x:c r="E184" s="20" t="n">
        <x:v>10</x:v>
      </x:c>
      <x:c r="F184" s="20" t="n">
        <x:v>1421</x:v>
      </x:c>
      <x:c r="G184" s="20" t="n">
        <x:v>1.7</x:v>
      </x:c>
      <x:c r="H184" s="20" t="n">
        <x:f>E184^2*'Controls'!$B$52</x:f>
        <x:v>0.6165</x:v>
      </x:c>
      <x:c r="I184" s="20" t="n">
        <x:f>F184*G184*H184</x:f>
        <x:v>1489.27905</x:v>
      </x:c>
      <x:c r="J184" s="7" t="str">
        <x:v>49 beams x 29 links, 200 mm nominal</x:v>
      </x:c>
      <x:c r="K184" s="2"/>
      <x:c r="L184" s="2"/>
      <x:c r="M184" s="2"/>
      <x:c r="N184" s="2"/>
      <x:c r="O184" s="2"/>
      <x:c r="P184" s="2"/>
      <x:c r="Q184" s="2"/>
    </x:row>
    <x:row r="185" ht="22" customHeight="1">
      <x:c r="A185" s="2" t="str">
        <x:v>T2-L00-CL</x:v>
      </x:c>
      <x:c r="B185" s="2" t="str">
        <x:v>T2</x:v>
      </x:c>
      <x:c r="C185" s="2" t="str">
        <x:v>L00</x:v>
      </x:c>
      <x:c r="D185" s="2" t="str">
        <x:v>Column longitudinal</x:v>
      </x:c>
      <x:c r="E185" s="21" t="n">
        <x:v>25</x:v>
      </x:c>
      <x:c r="F185" s="21" t="n">
        <x:v>360</x:v>
      </x:c>
      <x:c r="G185" s="21" t="n">
        <x:v>3.9</x:v>
      </x:c>
      <x:c r="H185" s="21" t="n">
        <x:f>E185^2*'Controls'!$B$52</x:f>
        <x:v>3.8531250000000004</x:v>
      </x:c>
      <x:c r="I185" s="21" t="n">
        <x:f>F185*G185*H185</x:f>
        <x:v>5409.7875</x:v>
      </x:c>
      <x:c r="J185" s="2" t="str">
        <x:v>30 columns x 12 bars incl. lap</x:v>
      </x:c>
      <x:c r="K185" s="2"/>
      <x:c r="L185" s="2"/>
      <x:c r="M185" s="2"/>
      <x:c r="N185" s="2"/>
      <x:c r="O185" s="2"/>
      <x:c r="P185" s="2"/>
      <x:c r="Q185" s="2"/>
    </x:row>
    <x:row r="186" ht="22" customHeight="1">
      <x:c r="A186" s="7" t="str">
        <x:v>T2-L00-CT</x:v>
      </x:c>
      <x:c r="B186" s="7" t="str">
        <x:v>T2</x:v>
      </x:c>
      <x:c r="C186" s="7" t="str">
        <x:v>L00</x:v>
      </x:c>
      <x:c r="D186" s="7" t="str">
        <x:v>Column ties</x:v>
      </x:c>
      <x:c r="E186" s="20" t="n">
        <x:v>10</x:v>
      </x:c>
      <x:c r="F186" s="20" t="n">
        <x:v>510</x:v>
      </x:c>
      <x:c r="G186" s="20" t="n">
        <x:v>1.96</x:v>
      </x:c>
      <x:c r="H186" s="20" t="n">
        <x:f>E186^2*'Controls'!$B$52</x:f>
        <x:v>0.6165</x:v>
      </x:c>
      <x:c r="I186" s="20" t="n">
        <x:f>F186*G186*H186</x:f>
        <x:v>616.2534</x:v>
      </x:c>
      <x:c r="J186" s="7" t="str">
        <x:v>30 columns x 17 ties, cover and hooks included</x:v>
      </x:c>
      <x:c r="K186" s="2"/>
      <x:c r="L186" s="2"/>
      <x:c r="M186" s="2"/>
      <x:c r="N186" s="2"/>
      <x:c r="O186" s="2"/>
      <x:c r="P186" s="2"/>
      <x:c r="Q186" s="2"/>
    </x:row>
    <x:row r="187" ht="22" customHeight="1">
      <x:c r="A187" s="2" t="str">
        <x:v>T2-L00-CV</x:v>
      </x:c>
      <x:c r="B187" s="2" t="str">
        <x:v>T2</x:v>
      </x:c>
      <x:c r="C187" s="2" t="str">
        <x:v>L00</x:v>
      </x:c>
      <x:c r="D187" s="2" t="str">
        <x:v>Core vertical bars</x:v>
      </x:c>
      <x:c r="E187" s="21" t="n">
        <x:v>16</x:v>
      </x:c>
      <x:c r="F187" s="21" t="n">
        <x:v>244</x:v>
      </x:c>
      <x:c r="G187" s="21" t="n">
        <x:v>3.9</x:v>
      </x:c>
      <x:c r="H187" s="21" t="n">
        <x:f>E187^2*'Controls'!$B$52</x:f>
        <x:v>1.57824</x:v>
      </x:c>
      <x:c r="I187" s="21" t="n">
        <x:f>F187*G187*H187</x:f>
        <x:v>1501.853184</x:v>
      </x:c>
      <x:c r="J187" s="2" t="str">
        <x:v>Two faces, 200 mm nominal along 24 m net length</x:v>
      </x:c>
      <x:c r="K187" s="2"/>
      <x:c r="L187" s="2"/>
      <x:c r="M187" s="2"/>
      <x:c r="N187" s="2"/>
      <x:c r="O187" s="2"/>
      <x:c r="P187" s="2"/>
      <x:c r="Q187" s="2"/>
    </x:row>
    <x:row r="188" ht="22" customHeight="1">
      <x:c r="A188" s="7" t="str">
        <x:v>T2-L00-CH</x:v>
      </x:c>
      <x:c r="B188" s="7" t="str">
        <x:v>T2</x:v>
      </x:c>
      <x:c r="C188" s="7" t="str">
        <x:v>L00</x:v>
      </x:c>
      <x:c r="D188" s="7" t="str">
        <x:v>Core horizontal bars</x:v>
      </x:c>
      <x:c r="E188" s="20" t="n">
        <x:v>12</x:v>
      </x:c>
      <x:c r="F188" s="20" t="n">
        <x:v>32</x:v>
      </x:c>
      <x:c r="G188" s="20" t="n">
        <x:v>25</x:v>
      </x:c>
      <x:c r="H188" s="20" t="n">
        <x:f>E188^2*'Controls'!$B$52</x:f>
        <x:v>0.8877600000000001</x:v>
      </x:c>
      <x:c r="I188" s="20" t="n">
        <x:f>F188*G188*H188</x:f>
        <x:v>710.2080000000001</x:v>
      </x:c>
      <x:c r="J188" s="7" t="str">
        <x:v>Two faces x 16 layers incl. lap</x:v>
      </x:c>
      <x:c r="K188" s="2"/>
      <x:c r="L188" s="2"/>
      <x:c r="M188" s="2"/>
      <x:c r="N188" s="2"/>
      <x:c r="O188" s="2"/>
      <x:c r="P188" s="2"/>
      <x:c r="Q188" s="2"/>
    </x:row>
    <x:row r="189" ht="22" customHeight="1">
      <x:c r="A189" s="2" t="str">
        <x:v>T2-L00-ST</x:v>
      </x:c>
      <x:c r="B189" s="2" t="str">
        <x:v>T2</x:v>
      </x:c>
      <x:c r="C189" s="2" t="str">
        <x:v>L00</x:v>
      </x:c>
      <x:c r="D189" s="2" t="str">
        <x:v>Stair flights and landings</x:v>
      </x:c>
      <x:c r="E189" s="21" t="n">
        <x:v>12</x:v>
      </x:c>
      <x:c r="F189" s="21" t="n">
        <x:v>80</x:v>
      </x:c>
      <x:c r="G189" s="21" t="n">
        <x:v>4.8</x:v>
      </x:c>
      <x:c r="H189" s="21" t="n">
        <x:f>E189^2*'Controls'!$B$52</x:f>
        <x:v>0.8877600000000001</x:v>
      </x:c>
      <x:c r="I189" s="21" t="n">
        <x:f>F189*G189*H189</x:f>
        <x:v>340.89984000000004</x:v>
      </x:c>
      <x:c r="J189" s="2" t="str">
        <x:v>Separate stair reinforcement allowance</x:v>
      </x:c>
      <x:c r="K189" s="2"/>
      <x:c r="L189" s="2"/>
      <x:c r="M189" s="2"/>
      <x:c r="N189" s="2"/>
      <x:c r="O189" s="2"/>
      <x:c r="P189" s="2"/>
      <x:c r="Q189" s="2"/>
    </x:row>
    <x:row r="190" ht="22" customHeight="1">
      <x:c r="A190" s="7" t="str">
        <x:v>T2-L01-S1</x:v>
      </x:c>
      <x:c r="B190" s="7" t="str">
        <x:v>T2</x:v>
      </x:c>
      <x:c r="C190" s="7" t="str">
        <x:v>L01</x:v>
      </x:c>
      <x:c r="D190" s="7" t="str">
        <x:v>Slab X through strips</x:v>
      </x:c>
      <x:c r="E190" s="20" t="n">
        <x:v>12</x:v>
      </x:c>
      <x:c r="F190" s="20" t="n">
        <x:v>182</x:v>
      </x:c>
      <x:c r="G190" s="20" t="n">
        <x:v>29.95</x:v>
      </x:c>
      <x:c r="H190" s="20" t="n">
        <x:f>E190^2*'Controls'!$B$52</x:f>
        <x:v>0.8877600000000001</x:v>
      </x:c>
      <x:c r="I190" s="20" t="n">
        <x:f>F190*G190*H190</x:f>
        <x:v>4839.090984</x:v>
      </x:c>
      <x:c r="J190" s="7" t="str">
        <x:v>2 layers x 91 bars outside central opening band</x:v>
      </x:c>
      <x:c r="K190" s="2"/>
      <x:c r="L190" s="2"/>
      <x:c r="M190" s="2"/>
      <x:c r="N190" s="2"/>
      <x:c r="O190" s="2"/>
      <x:c r="P190" s="2"/>
      <x:c r="Q190" s="2"/>
    </x:row>
    <x:row r="191" ht="22" customHeight="1">
      <x:c r="A191" s="2" t="str">
        <x:v>T2-L01-S2</x:v>
      </x:c>
      <x:c r="B191" s="2" t="str">
        <x:v>T2</x:v>
      </x:c>
      <x:c r="C191" s="2" t="str">
        <x:v>L01</x:v>
      </x:c>
      <x:c r="D191" s="2" t="str">
        <x:v>Slab X split at core</x:v>
      </x:c>
      <x:c r="E191" s="21" t="n">
        <x:v>12</x:v>
      </x:c>
      <x:c r="F191" s="21" t="n">
        <x:v>60</x:v>
      </x:c>
      <x:c r="G191" s="21" t="n">
        <x:v>25.95</x:v>
      </x:c>
      <x:c r="H191" s="21" t="n">
        <x:f>E191^2*'Controls'!$B$52</x:f>
        <x:v>0.8877600000000001</x:v>
      </x:c>
      <x:c r="I191" s="21" t="n">
        <x:f>F191*G191*H191</x:f>
        <x:v>1382.24232</x:v>
      </x:c>
      <x:c r="J191" s="2" t="str">
        <x:v>2 layers x 30 bars, split lengths combined around 4 m opening</x:v>
      </x:c>
      <x:c r="K191" s="2"/>
      <x:c r="L191" s="2"/>
      <x:c r="M191" s="2"/>
      <x:c r="N191" s="2"/>
      <x:c r="O191" s="2"/>
      <x:c r="P191" s="2"/>
      <x:c r="Q191" s="2"/>
    </x:row>
    <x:row r="192" ht="22" customHeight="1">
      <x:c r="A192" s="7" t="str">
        <x:v>T2-L01-S3</x:v>
      </x:c>
      <x:c r="B192" s="7" t="str">
        <x:v>T2</x:v>
      </x:c>
      <x:c r="C192" s="7" t="str">
        <x:v>L01</x:v>
      </x:c>
      <x:c r="D192" s="7" t="str">
        <x:v>Slab Y through strips</x:v>
      </x:c>
      <x:c r="E192" s="20" t="n">
        <x:v>12</x:v>
      </x:c>
      <x:c r="F192" s="20" t="n">
        <x:v>262</x:v>
      </x:c>
      <x:c r="G192" s="20" t="n">
        <x:v>23.95</x:v>
      </x:c>
      <x:c r="H192" s="20" t="n">
        <x:f>E192^2*'Controls'!$B$52</x:f>
        <x:v>0.8877600000000001</x:v>
      </x:c>
      <x:c r="I192" s="20" t="n">
        <x:f>F192*G192*H192</x:f>
        <x:v>5570.605224</x:v>
      </x:c>
      <x:c r="J192" s="7" t="str">
        <x:v>2 layers x 131 bars outside central opening band</x:v>
      </x:c>
      <x:c r="K192" s="2"/>
      <x:c r="L192" s="2"/>
      <x:c r="M192" s="2"/>
      <x:c r="N192" s="2"/>
      <x:c r="O192" s="2"/>
      <x:c r="P192" s="2"/>
      <x:c r="Q192" s="2"/>
    </x:row>
    <x:row r="193" ht="22" customHeight="1">
      <x:c r="A193" s="2" t="str">
        <x:v>T2-L01-S4</x:v>
      </x:c>
      <x:c r="B193" s="2" t="str">
        <x:v>T2</x:v>
      </x:c>
      <x:c r="C193" s="2" t="str">
        <x:v>L01</x:v>
      </x:c>
      <x:c r="D193" s="2" t="str">
        <x:v>Slab Y split at core</x:v>
      </x:c>
      <x:c r="E193" s="21" t="n">
        <x:v>12</x:v>
      </x:c>
      <x:c r="F193" s="21" t="n">
        <x:v>40</x:v>
      </x:c>
      <x:c r="G193" s="21" t="n">
        <x:v>17.95</x:v>
      </x:c>
      <x:c r="H193" s="21" t="n">
        <x:f>E193^2*'Controls'!$B$52</x:f>
        <x:v>0.8877600000000001</x:v>
      </x:c>
      <x:c r="I193" s="21" t="n">
        <x:f>F193*G193*H193</x:f>
        <x:v>637.41168</x:v>
      </x:c>
      <x:c r="J193" s="2" t="str">
        <x:v>2 layers x 20 bars, split around 6 m opening</x:v>
      </x:c>
      <x:c r="K193" s="2"/>
      <x:c r="L193" s="2"/>
      <x:c r="M193" s="2"/>
      <x:c r="N193" s="2"/>
      <x:c r="O193" s="2"/>
      <x:c r="P193" s="2"/>
      <x:c r="Q193" s="2"/>
    </x:row>
    <x:row r="194" ht="22" customHeight="1">
      <x:c r="A194" s="7" t="str">
        <x:v>T2-L01-S5</x:v>
      </x:c>
      <x:c r="B194" s="7" t="str">
        <x:v>T2</x:v>
      </x:c>
      <x:c r="C194" s="7" t="str">
        <x:v>L01</x:v>
      </x:c>
      <x:c r="D194" s="7" t="str">
        <x:v>Opening trim bars</x:v>
      </x:c>
      <x:c r="E194" s="20" t="n">
        <x:v>16</x:v>
      </x:c>
      <x:c r="F194" s="20" t="n">
        <x:v>16</x:v>
      </x:c>
      <x:c r="G194" s="20" t="n">
        <x:v>7.2</x:v>
      </x:c>
      <x:c r="H194" s="20" t="n">
        <x:f>E194^2*'Controls'!$B$52</x:f>
        <x:v>1.57824</x:v>
      </x:c>
      <x:c r="I194" s="20" t="n">
        <x:f>F194*G194*H194</x:f>
        <x:v>181.81324800000002</x:v>
      </x:c>
      <x:c r="J194" s="7" t="str">
        <x:v>Trim allowance, explicit scheduled lengths</x:v>
      </x:c>
      <x:c r="K194" s="2"/>
      <x:c r="L194" s="2"/>
      <x:c r="M194" s="2"/>
      <x:c r="N194" s="2"/>
      <x:c r="O194" s="2"/>
      <x:c r="P194" s="2"/>
      <x:c r="Q194" s="2"/>
    </x:row>
    <x:row r="195" ht="22" customHeight="1">
      <x:c r="A195" s="2" t="str">
        <x:v>T2-L01-BX</x:v>
      </x:c>
      <x:c r="B195" s="2" t="str">
        <x:v>T2</x:v>
      </x:c>
      <x:c r="C195" s="2" t="str">
        <x:v>L01</x:v>
      </x:c>
      <x:c r="D195" s="2" t="str">
        <x:v>X beam longitudinal</x:v>
      </x:c>
      <x:c r="E195" s="21" t="n">
        <x:v>20</x:v>
      </x:c>
      <x:c r="F195" s="21" t="n">
        <x:v>150</x:v>
      </x:c>
      <x:c r="G195" s="21" t="n">
        <x:v>6.5</x:v>
      </x:c>
      <x:c r="H195" s="21" t="n">
        <x:f>E195^2*'Controls'!$B$52</x:f>
        <x:v>2.466</x:v>
      </x:c>
      <x:c r="I195" s="21" t="n">
        <x:f>F195*G195*H195</x:f>
        <x:v>2404.3500000000004</x:v>
      </x:c>
      <x:c r="J195" s="2" t="str">
        <x:v>25 spans x 6 bars incl. 1 m lap/anchorage provision</x:v>
      </x:c>
      <x:c r="K195" s="2"/>
      <x:c r="L195" s="2"/>
      <x:c r="M195" s="2"/>
      <x:c r="N195" s="2"/>
      <x:c r="O195" s="2"/>
      <x:c r="P195" s="2"/>
      <x:c r="Q195" s="2"/>
    </x:row>
    <x:row r="196" ht="22" customHeight="1">
      <x:c r="A196" s="7" t="str">
        <x:v>T2-L01-BY</x:v>
      </x:c>
      <x:c r="B196" s="7" t="str">
        <x:v>T2</x:v>
      </x:c>
      <x:c r="C196" s="7" t="str">
        <x:v>L01</x:v>
      </x:c>
      <x:c r="D196" s="7" t="str">
        <x:v>Y beam longitudinal</x:v>
      </x:c>
      <x:c r="E196" s="20" t="n">
        <x:v>20</x:v>
      </x:c>
      <x:c r="F196" s="20" t="n">
        <x:v>144</x:v>
      </x:c>
      <x:c r="G196" s="20" t="n">
        <x:v>6.5</x:v>
      </x:c>
      <x:c r="H196" s="20" t="n">
        <x:f>E196^2*'Controls'!$B$52</x:f>
        <x:v>2.466</x:v>
      </x:c>
      <x:c r="I196" s="20" t="n">
        <x:f>F196*G196*H196</x:f>
        <x:v>2308.1760000000004</x:v>
      </x:c>
      <x:c r="J196" s="7" t="str">
        <x:v>24 spans x 6 bars</x:v>
      </x:c>
      <x:c r="K196" s="2"/>
      <x:c r="L196" s="2"/>
      <x:c r="M196" s="2"/>
      <x:c r="N196" s="2"/>
      <x:c r="O196" s="2"/>
      <x:c r="P196" s="2"/>
      <x:c r="Q196" s="2"/>
    </x:row>
    <x:row r="197" ht="22" customHeight="1">
      <x:c r="A197" s="2" t="str">
        <x:v>T2-L01-BT</x:v>
      </x:c>
      <x:c r="B197" s="2" t="str">
        <x:v>T2</x:v>
      </x:c>
      <x:c r="C197" s="2" t="str">
        <x:v>L01</x:v>
      </x:c>
      <x:c r="D197" s="2" t="str">
        <x:v>Beam closed links</x:v>
      </x:c>
      <x:c r="E197" s="21" t="n">
        <x:v>10</x:v>
      </x:c>
      <x:c r="F197" s="21" t="n">
        <x:v>1421</x:v>
      </x:c>
      <x:c r="G197" s="21" t="n">
        <x:v>1.7</x:v>
      </x:c>
      <x:c r="H197" s="21" t="n">
        <x:f>E197^2*'Controls'!$B$52</x:f>
        <x:v>0.6165</x:v>
      </x:c>
      <x:c r="I197" s="21" t="n">
        <x:f>F197*G197*H197</x:f>
        <x:v>1489.27905</x:v>
      </x:c>
      <x:c r="J197" s="2" t="str">
        <x:v>49 beams x 29 links, 200 mm nominal</x:v>
      </x:c>
      <x:c r="K197" s="2"/>
      <x:c r="L197" s="2"/>
      <x:c r="M197" s="2"/>
      <x:c r="N197" s="2"/>
      <x:c r="O197" s="2"/>
      <x:c r="P197" s="2"/>
      <x:c r="Q197" s="2"/>
    </x:row>
    <x:row r="198" ht="22" customHeight="1">
      <x:c r="A198" s="7" t="str">
        <x:v>T2-L01-CL</x:v>
      </x:c>
      <x:c r="B198" s="7" t="str">
        <x:v>T2</x:v>
      </x:c>
      <x:c r="C198" s="7" t="str">
        <x:v>L01</x:v>
      </x:c>
      <x:c r="D198" s="7" t="str">
        <x:v>Column longitudinal</x:v>
      </x:c>
      <x:c r="E198" s="20" t="n">
        <x:v>25</x:v>
      </x:c>
      <x:c r="F198" s="20" t="n">
        <x:v>360</x:v>
      </x:c>
      <x:c r="G198" s="20" t="n">
        <x:v>3.9</x:v>
      </x:c>
      <x:c r="H198" s="20" t="n">
        <x:f>E198^2*'Controls'!$B$52</x:f>
        <x:v>3.8531250000000004</x:v>
      </x:c>
      <x:c r="I198" s="20" t="n">
        <x:f>F198*G198*H198</x:f>
        <x:v>5409.7875</x:v>
      </x:c>
      <x:c r="J198" s="7" t="str">
        <x:v>30 columns x 12 bars incl. lap</x:v>
      </x:c>
      <x:c r="K198" s="2"/>
      <x:c r="L198" s="2"/>
      <x:c r="M198" s="2"/>
      <x:c r="N198" s="2"/>
      <x:c r="O198" s="2"/>
      <x:c r="P198" s="2"/>
      <x:c r="Q198" s="2"/>
    </x:row>
    <x:row r="199" ht="22" customHeight="1">
      <x:c r="A199" s="2" t="str">
        <x:v>T2-L01-CT</x:v>
      </x:c>
      <x:c r="B199" s="2" t="str">
        <x:v>T2</x:v>
      </x:c>
      <x:c r="C199" s="2" t="str">
        <x:v>L01</x:v>
      </x:c>
      <x:c r="D199" s="2" t="str">
        <x:v>Column ties</x:v>
      </x:c>
      <x:c r="E199" s="21" t="n">
        <x:v>10</x:v>
      </x:c>
      <x:c r="F199" s="21" t="n">
        <x:v>510</x:v>
      </x:c>
      <x:c r="G199" s="21" t="n">
        <x:v>1.96</x:v>
      </x:c>
      <x:c r="H199" s="21" t="n">
        <x:f>E199^2*'Controls'!$B$52</x:f>
        <x:v>0.6165</x:v>
      </x:c>
      <x:c r="I199" s="21" t="n">
        <x:f>F199*G199*H199</x:f>
        <x:v>616.2534</x:v>
      </x:c>
      <x:c r="J199" s="2" t="str">
        <x:v>30 columns x 17 ties, cover and hooks included</x:v>
      </x:c>
      <x:c r="K199" s="2"/>
      <x:c r="L199" s="2"/>
      <x:c r="M199" s="2"/>
      <x:c r="N199" s="2"/>
      <x:c r="O199" s="2"/>
      <x:c r="P199" s="2"/>
      <x:c r="Q199" s="2"/>
    </x:row>
    <x:row r="200" ht="22" customHeight="1">
      <x:c r="A200" s="7" t="str">
        <x:v>T2-L01-CV</x:v>
      </x:c>
      <x:c r="B200" s="7" t="str">
        <x:v>T2</x:v>
      </x:c>
      <x:c r="C200" s="7" t="str">
        <x:v>L01</x:v>
      </x:c>
      <x:c r="D200" s="7" t="str">
        <x:v>Core vertical bars</x:v>
      </x:c>
      <x:c r="E200" s="20" t="n">
        <x:v>16</x:v>
      </x:c>
      <x:c r="F200" s="20" t="n">
        <x:v>244</x:v>
      </x:c>
      <x:c r="G200" s="20" t="n">
        <x:v>3.9</x:v>
      </x:c>
      <x:c r="H200" s="20" t="n">
        <x:f>E200^2*'Controls'!$B$52</x:f>
        <x:v>1.57824</x:v>
      </x:c>
      <x:c r="I200" s="20" t="n">
        <x:f>F200*G200*H200</x:f>
        <x:v>1501.853184</x:v>
      </x:c>
      <x:c r="J200" s="7" t="str">
        <x:v>Two faces, 200 mm nominal along 24 m net length</x:v>
      </x:c>
      <x:c r="K200" s="2"/>
      <x:c r="L200" s="2"/>
      <x:c r="M200" s="2"/>
      <x:c r="N200" s="2"/>
      <x:c r="O200" s="2"/>
      <x:c r="P200" s="2"/>
      <x:c r="Q200" s="2"/>
    </x:row>
    <x:row r="201" ht="22" customHeight="1">
      <x:c r="A201" s="2" t="str">
        <x:v>T2-L01-CH</x:v>
      </x:c>
      <x:c r="B201" s="2" t="str">
        <x:v>T2</x:v>
      </x:c>
      <x:c r="C201" s="2" t="str">
        <x:v>L01</x:v>
      </x:c>
      <x:c r="D201" s="2" t="str">
        <x:v>Core horizontal bars</x:v>
      </x:c>
      <x:c r="E201" s="21" t="n">
        <x:v>12</x:v>
      </x:c>
      <x:c r="F201" s="21" t="n">
        <x:v>32</x:v>
      </x:c>
      <x:c r="G201" s="21" t="n">
        <x:v>25</x:v>
      </x:c>
      <x:c r="H201" s="21" t="n">
        <x:f>E201^2*'Controls'!$B$52</x:f>
        <x:v>0.8877600000000001</x:v>
      </x:c>
      <x:c r="I201" s="21" t="n">
        <x:f>F201*G201*H201</x:f>
        <x:v>710.2080000000001</x:v>
      </x:c>
      <x:c r="J201" s="2" t="str">
        <x:v>Two faces x 16 layers incl. lap</x:v>
      </x:c>
      <x:c r="K201" s="2"/>
      <x:c r="L201" s="2"/>
      <x:c r="M201" s="2"/>
      <x:c r="N201" s="2"/>
      <x:c r="O201" s="2"/>
      <x:c r="P201" s="2"/>
      <x:c r="Q201" s="2"/>
    </x:row>
    <x:row r="202" ht="22" customHeight="1">
      <x:c r="A202" s="7" t="str">
        <x:v>T2-L01-ST</x:v>
      </x:c>
      <x:c r="B202" s="7" t="str">
        <x:v>T2</x:v>
      </x:c>
      <x:c r="C202" s="7" t="str">
        <x:v>L01</x:v>
      </x:c>
      <x:c r="D202" s="7" t="str">
        <x:v>Stair flights and landings</x:v>
      </x:c>
      <x:c r="E202" s="20" t="n">
        <x:v>12</x:v>
      </x:c>
      <x:c r="F202" s="20" t="n">
        <x:v>80</x:v>
      </x:c>
      <x:c r="G202" s="20" t="n">
        <x:v>4.8</x:v>
      </x:c>
      <x:c r="H202" s="20" t="n">
        <x:f>E202^2*'Controls'!$B$52</x:f>
        <x:v>0.8877600000000001</x:v>
      </x:c>
      <x:c r="I202" s="20" t="n">
        <x:f>F202*G202*H202</x:f>
        <x:v>340.89984000000004</x:v>
      </x:c>
      <x:c r="J202" s="7" t="str">
        <x:v>Separate stair reinforcement allowance</x:v>
      </x:c>
      <x:c r="K202" s="2"/>
      <x:c r="L202" s="2"/>
      <x:c r="M202" s="2"/>
      <x:c r="N202" s="2"/>
      <x:c r="O202" s="2"/>
      <x:c r="P202" s="2"/>
      <x:c r="Q202" s="2"/>
    </x:row>
    <x:row r="203" ht="22" customHeight="1">
      <x:c r="A203" s="2" t="str">
        <x:v>T2-L02-S1</x:v>
      </x:c>
      <x:c r="B203" s="2" t="str">
        <x:v>T2</x:v>
      </x:c>
      <x:c r="C203" s="2" t="str">
        <x:v>L02</x:v>
      </x:c>
      <x:c r="D203" s="2" t="str">
        <x:v>Slab X through strips</x:v>
      </x:c>
      <x:c r="E203" s="21" t="n">
        <x:v>12</x:v>
      </x:c>
      <x:c r="F203" s="21" t="n">
        <x:v>182</x:v>
      </x:c>
      <x:c r="G203" s="21" t="n">
        <x:v>29.95</x:v>
      </x:c>
      <x:c r="H203" s="21" t="n">
        <x:f>E203^2*'Controls'!$B$52</x:f>
        <x:v>0.8877600000000001</x:v>
      </x:c>
      <x:c r="I203" s="21" t="n">
        <x:f>F203*G203*H203</x:f>
        <x:v>4839.090984</x:v>
      </x:c>
      <x:c r="J203" s="2" t="str">
        <x:v>2 layers x 91 bars outside central opening band</x:v>
      </x:c>
      <x:c r="K203" s="2"/>
      <x:c r="L203" s="2"/>
      <x:c r="M203" s="2"/>
      <x:c r="N203" s="2"/>
      <x:c r="O203" s="2"/>
      <x:c r="P203" s="2"/>
      <x:c r="Q203" s="2"/>
    </x:row>
    <x:row r="204" ht="22" customHeight="1">
      <x:c r="A204" s="7" t="str">
        <x:v>T2-L02-S2</x:v>
      </x:c>
      <x:c r="B204" s="7" t="str">
        <x:v>T2</x:v>
      </x:c>
      <x:c r="C204" s="7" t="str">
        <x:v>L02</x:v>
      </x:c>
      <x:c r="D204" s="7" t="str">
        <x:v>Slab X split at core</x:v>
      </x:c>
      <x:c r="E204" s="20" t="n">
        <x:v>12</x:v>
      </x:c>
      <x:c r="F204" s="20" t="n">
        <x:v>60</x:v>
      </x:c>
      <x:c r="G204" s="20" t="n">
        <x:v>25.95</x:v>
      </x:c>
      <x:c r="H204" s="20" t="n">
        <x:f>E204^2*'Controls'!$B$52</x:f>
        <x:v>0.8877600000000001</x:v>
      </x:c>
      <x:c r="I204" s="20" t="n">
        <x:f>F204*G204*H204</x:f>
        <x:v>1382.24232</x:v>
      </x:c>
      <x:c r="J204" s="7" t="str">
        <x:v>2 layers x 30 bars, split lengths combined around 4 m opening</x:v>
      </x:c>
      <x:c r="K204" s="2"/>
      <x:c r="L204" s="2"/>
      <x:c r="M204" s="2"/>
      <x:c r="N204" s="2"/>
      <x:c r="O204" s="2"/>
      <x:c r="P204" s="2"/>
      <x:c r="Q204" s="2"/>
    </x:row>
    <x:row r="205" ht="22" customHeight="1">
      <x:c r="A205" s="2" t="str">
        <x:v>T2-L02-S3</x:v>
      </x:c>
      <x:c r="B205" s="2" t="str">
        <x:v>T2</x:v>
      </x:c>
      <x:c r="C205" s="2" t="str">
        <x:v>L02</x:v>
      </x:c>
      <x:c r="D205" s="2" t="str">
        <x:v>Slab Y through strips</x:v>
      </x:c>
      <x:c r="E205" s="21" t="n">
        <x:v>12</x:v>
      </x:c>
      <x:c r="F205" s="21" t="n">
        <x:v>262</x:v>
      </x:c>
      <x:c r="G205" s="21" t="n">
        <x:v>23.95</x:v>
      </x:c>
      <x:c r="H205" s="21" t="n">
        <x:f>E205^2*'Controls'!$B$52</x:f>
        <x:v>0.8877600000000001</x:v>
      </x:c>
      <x:c r="I205" s="21" t="n">
        <x:f>F205*G205*H205</x:f>
        <x:v>5570.605224</x:v>
      </x:c>
      <x:c r="J205" s="2" t="str">
        <x:v>2 layers x 131 bars outside central opening band</x:v>
      </x:c>
      <x:c r="K205" s="2"/>
      <x:c r="L205" s="2"/>
      <x:c r="M205" s="2"/>
      <x:c r="N205" s="2"/>
      <x:c r="O205" s="2"/>
      <x:c r="P205" s="2"/>
      <x:c r="Q205" s="2"/>
    </x:row>
    <x:row r="206" ht="22" customHeight="1">
      <x:c r="A206" s="7" t="str">
        <x:v>T2-L02-S4</x:v>
      </x:c>
      <x:c r="B206" s="7" t="str">
        <x:v>T2</x:v>
      </x:c>
      <x:c r="C206" s="7" t="str">
        <x:v>L02</x:v>
      </x:c>
      <x:c r="D206" s="7" t="str">
        <x:v>Slab Y split at core</x:v>
      </x:c>
      <x:c r="E206" s="20" t="n">
        <x:v>12</x:v>
      </x:c>
      <x:c r="F206" s="20" t="n">
        <x:v>40</x:v>
      </x:c>
      <x:c r="G206" s="20" t="n">
        <x:v>17.95</x:v>
      </x:c>
      <x:c r="H206" s="20" t="n">
        <x:f>E206^2*'Controls'!$B$52</x:f>
        <x:v>0.8877600000000001</x:v>
      </x:c>
      <x:c r="I206" s="20" t="n">
        <x:f>F206*G206*H206</x:f>
        <x:v>637.41168</x:v>
      </x:c>
      <x:c r="J206" s="7" t="str">
        <x:v>2 layers x 20 bars, split around 6 m opening</x:v>
      </x:c>
      <x:c r="K206" s="2"/>
      <x:c r="L206" s="2"/>
      <x:c r="M206" s="2"/>
      <x:c r="N206" s="2"/>
      <x:c r="O206" s="2"/>
      <x:c r="P206" s="2"/>
      <x:c r="Q206" s="2"/>
    </x:row>
    <x:row r="207" ht="22" customHeight="1">
      <x:c r="A207" s="2" t="str">
        <x:v>T2-L02-S5</x:v>
      </x:c>
      <x:c r="B207" s="2" t="str">
        <x:v>T2</x:v>
      </x:c>
      <x:c r="C207" s="2" t="str">
        <x:v>L02</x:v>
      </x:c>
      <x:c r="D207" s="2" t="str">
        <x:v>Opening trim bars</x:v>
      </x:c>
      <x:c r="E207" s="21" t="n">
        <x:v>16</x:v>
      </x:c>
      <x:c r="F207" s="21" t="n">
        <x:v>16</x:v>
      </x:c>
      <x:c r="G207" s="21" t="n">
        <x:v>7.2</x:v>
      </x:c>
      <x:c r="H207" s="21" t="n">
        <x:f>E207^2*'Controls'!$B$52</x:f>
        <x:v>1.57824</x:v>
      </x:c>
      <x:c r="I207" s="21" t="n">
        <x:f>F207*G207*H207</x:f>
        <x:v>181.81324800000002</x:v>
      </x:c>
      <x:c r="J207" s="2" t="str">
        <x:v>Trim allowance, explicit scheduled lengths</x:v>
      </x:c>
      <x:c r="K207" s="2"/>
      <x:c r="L207" s="2"/>
      <x:c r="M207" s="2"/>
      <x:c r="N207" s="2"/>
      <x:c r="O207" s="2"/>
      <x:c r="P207" s="2"/>
      <x:c r="Q207" s="2"/>
    </x:row>
    <x:row r="208" ht="22" customHeight="1">
      <x:c r="A208" s="7" t="str">
        <x:v>T2-L02-BX</x:v>
      </x:c>
      <x:c r="B208" s="7" t="str">
        <x:v>T2</x:v>
      </x:c>
      <x:c r="C208" s="7" t="str">
        <x:v>L02</x:v>
      </x:c>
      <x:c r="D208" s="7" t="str">
        <x:v>X beam longitudinal</x:v>
      </x:c>
      <x:c r="E208" s="20" t="n">
        <x:v>20</x:v>
      </x:c>
      <x:c r="F208" s="20" t="n">
        <x:v>150</x:v>
      </x:c>
      <x:c r="G208" s="20" t="n">
        <x:v>6.5</x:v>
      </x:c>
      <x:c r="H208" s="20" t="n">
        <x:f>E208^2*'Controls'!$B$52</x:f>
        <x:v>2.466</x:v>
      </x:c>
      <x:c r="I208" s="20" t="n">
        <x:f>F208*G208*H208</x:f>
        <x:v>2404.3500000000004</x:v>
      </x:c>
      <x:c r="J208" s="7" t="str">
        <x:v>25 spans x 6 bars incl. 1 m lap/anchorage provision</x:v>
      </x:c>
      <x:c r="K208" s="2"/>
      <x:c r="L208" s="2"/>
      <x:c r="M208" s="2"/>
      <x:c r="N208" s="2"/>
      <x:c r="O208" s="2"/>
      <x:c r="P208" s="2"/>
      <x:c r="Q208" s="2"/>
    </x:row>
    <x:row r="209" ht="22" customHeight="1">
      <x:c r="A209" s="2" t="str">
        <x:v>T2-L02-BY</x:v>
      </x:c>
      <x:c r="B209" s="2" t="str">
        <x:v>T2</x:v>
      </x:c>
      <x:c r="C209" s="2" t="str">
        <x:v>L02</x:v>
      </x:c>
      <x:c r="D209" s="2" t="str">
        <x:v>Y beam longitudinal</x:v>
      </x:c>
      <x:c r="E209" s="21" t="n">
        <x:v>20</x:v>
      </x:c>
      <x:c r="F209" s="21" t="n">
        <x:v>144</x:v>
      </x:c>
      <x:c r="G209" s="21" t="n">
        <x:v>6.5</x:v>
      </x:c>
      <x:c r="H209" s="21" t="n">
        <x:f>E209^2*'Controls'!$B$52</x:f>
        <x:v>2.466</x:v>
      </x:c>
      <x:c r="I209" s="21" t="n">
        <x:f>F209*G209*H209</x:f>
        <x:v>2308.1760000000004</x:v>
      </x:c>
      <x:c r="J209" s="2" t="str">
        <x:v>24 spans x 6 bars</x:v>
      </x:c>
      <x:c r="K209" s="2"/>
      <x:c r="L209" s="2"/>
      <x:c r="M209" s="2"/>
      <x:c r="N209" s="2"/>
      <x:c r="O209" s="2"/>
      <x:c r="P209" s="2"/>
      <x:c r="Q209" s="2"/>
    </x:row>
    <x:row r="210" ht="22" customHeight="1">
      <x:c r="A210" s="7" t="str">
        <x:v>T2-L02-BT</x:v>
      </x:c>
      <x:c r="B210" s="7" t="str">
        <x:v>T2</x:v>
      </x:c>
      <x:c r="C210" s="7" t="str">
        <x:v>L02</x:v>
      </x:c>
      <x:c r="D210" s="7" t="str">
        <x:v>Beam closed links</x:v>
      </x:c>
      <x:c r="E210" s="20" t="n">
        <x:v>10</x:v>
      </x:c>
      <x:c r="F210" s="20" t="n">
        <x:v>1421</x:v>
      </x:c>
      <x:c r="G210" s="20" t="n">
        <x:v>1.7</x:v>
      </x:c>
      <x:c r="H210" s="20" t="n">
        <x:f>E210^2*'Controls'!$B$52</x:f>
        <x:v>0.6165</x:v>
      </x:c>
      <x:c r="I210" s="20" t="n">
        <x:f>F210*G210*H210</x:f>
        <x:v>1489.27905</x:v>
      </x:c>
      <x:c r="J210" s="7" t="str">
        <x:v>49 beams x 29 links, 200 mm nominal</x:v>
      </x:c>
      <x:c r="K210" s="2"/>
      <x:c r="L210" s="2"/>
      <x:c r="M210" s="2"/>
      <x:c r="N210" s="2"/>
      <x:c r="O210" s="2"/>
      <x:c r="P210" s="2"/>
      <x:c r="Q210" s="2"/>
    </x:row>
    <x:row r="211" ht="22" customHeight="1">
      <x:c r="A211" s="2" t="str">
        <x:v>T2-L02-CL</x:v>
      </x:c>
      <x:c r="B211" s="2" t="str">
        <x:v>T2</x:v>
      </x:c>
      <x:c r="C211" s="2" t="str">
        <x:v>L02</x:v>
      </x:c>
      <x:c r="D211" s="2" t="str">
        <x:v>Column longitudinal</x:v>
      </x:c>
      <x:c r="E211" s="21" t="n">
        <x:v>25</x:v>
      </x:c>
      <x:c r="F211" s="21" t="n">
        <x:v>360</x:v>
      </x:c>
      <x:c r="G211" s="21" t="n">
        <x:v>3.9</x:v>
      </x:c>
      <x:c r="H211" s="21" t="n">
        <x:f>E211^2*'Controls'!$B$52</x:f>
        <x:v>3.8531250000000004</x:v>
      </x:c>
      <x:c r="I211" s="21" t="n">
        <x:f>F211*G211*H211</x:f>
        <x:v>5409.7875</x:v>
      </x:c>
      <x:c r="J211" s="2" t="str">
        <x:v>30 columns x 12 bars incl. lap</x:v>
      </x:c>
      <x:c r="K211" s="2"/>
      <x:c r="L211" s="2"/>
      <x:c r="M211" s="2"/>
      <x:c r="N211" s="2"/>
      <x:c r="O211" s="2"/>
      <x:c r="P211" s="2"/>
      <x:c r="Q211" s="2"/>
    </x:row>
    <x:row r="212" ht="22" customHeight="1">
      <x:c r="A212" s="7" t="str">
        <x:v>T2-L02-CT</x:v>
      </x:c>
      <x:c r="B212" s="7" t="str">
        <x:v>T2</x:v>
      </x:c>
      <x:c r="C212" s="7" t="str">
        <x:v>L02</x:v>
      </x:c>
      <x:c r="D212" s="7" t="str">
        <x:v>Column ties</x:v>
      </x:c>
      <x:c r="E212" s="20" t="n">
        <x:v>10</x:v>
      </x:c>
      <x:c r="F212" s="20" t="n">
        <x:v>510</x:v>
      </x:c>
      <x:c r="G212" s="20" t="n">
        <x:v>1.96</x:v>
      </x:c>
      <x:c r="H212" s="20" t="n">
        <x:f>E212^2*'Controls'!$B$52</x:f>
        <x:v>0.6165</x:v>
      </x:c>
      <x:c r="I212" s="20" t="n">
        <x:f>F212*G212*H212</x:f>
        <x:v>616.2534</x:v>
      </x:c>
      <x:c r="J212" s="7" t="str">
        <x:v>30 columns x 17 ties, cover and hooks included</x:v>
      </x:c>
      <x:c r="K212" s="2"/>
      <x:c r="L212" s="2"/>
      <x:c r="M212" s="2"/>
      <x:c r="N212" s="2"/>
      <x:c r="O212" s="2"/>
      <x:c r="P212" s="2"/>
      <x:c r="Q212" s="2"/>
    </x:row>
    <x:row r="213" ht="22" customHeight="1">
      <x:c r="A213" s="2" t="str">
        <x:v>T2-L02-CV</x:v>
      </x:c>
      <x:c r="B213" s="2" t="str">
        <x:v>T2</x:v>
      </x:c>
      <x:c r="C213" s="2" t="str">
        <x:v>L02</x:v>
      </x:c>
      <x:c r="D213" s="2" t="str">
        <x:v>Core vertical bars</x:v>
      </x:c>
      <x:c r="E213" s="21" t="n">
        <x:v>16</x:v>
      </x:c>
      <x:c r="F213" s="21" t="n">
        <x:v>244</x:v>
      </x:c>
      <x:c r="G213" s="21" t="n">
        <x:v>3.9</x:v>
      </x:c>
      <x:c r="H213" s="21" t="n">
        <x:f>E213^2*'Controls'!$B$52</x:f>
        <x:v>1.57824</x:v>
      </x:c>
      <x:c r="I213" s="21" t="n">
        <x:f>F213*G213*H213</x:f>
        <x:v>1501.853184</x:v>
      </x:c>
      <x:c r="J213" s="2" t="str">
        <x:v>Two faces, 200 mm nominal along 24 m net length</x:v>
      </x:c>
      <x:c r="K213" s="2"/>
      <x:c r="L213" s="2"/>
      <x:c r="M213" s="2"/>
      <x:c r="N213" s="2"/>
      <x:c r="O213" s="2"/>
      <x:c r="P213" s="2"/>
      <x:c r="Q213" s="2"/>
    </x:row>
    <x:row r="214" ht="22" customHeight="1">
      <x:c r="A214" s="7" t="str">
        <x:v>T2-L02-CH</x:v>
      </x:c>
      <x:c r="B214" s="7" t="str">
        <x:v>T2</x:v>
      </x:c>
      <x:c r="C214" s="7" t="str">
        <x:v>L02</x:v>
      </x:c>
      <x:c r="D214" s="7" t="str">
        <x:v>Core horizontal bars</x:v>
      </x:c>
      <x:c r="E214" s="20" t="n">
        <x:v>12</x:v>
      </x:c>
      <x:c r="F214" s="20" t="n">
        <x:v>32</x:v>
      </x:c>
      <x:c r="G214" s="20" t="n">
        <x:v>25</x:v>
      </x:c>
      <x:c r="H214" s="20" t="n">
        <x:f>E214^2*'Controls'!$B$52</x:f>
        <x:v>0.8877600000000001</x:v>
      </x:c>
      <x:c r="I214" s="20" t="n">
        <x:f>F214*G214*H214</x:f>
        <x:v>710.2080000000001</x:v>
      </x:c>
      <x:c r="J214" s="7" t="str">
        <x:v>Two faces x 16 layers incl. lap</x:v>
      </x:c>
      <x:c r="K214" s="2"/>
      <x:c r="L214" s="2"/>
      <x:c r="M214" s="2"/>
      <x:c r="N214" s="2"/>
      <x:c r="O214" s="2"/>
      <x:c r="P214" s="2"/>
      <x:c r="Q214" s="2"/>
    </x:row>
    <x:row r="215" ht="22" customHeight="1">
      <x:c r="A215" s="2" t="str">
        <x:v>T2-L02-ST</x:v>
      </x:c>
      <x:c r="B215" s="2" t="str">
        <x:v>T2</x:v>
      </x:c>
      <x:c r="C215" s="2" t="str">
        <x:v>L02</x:v>
      </x:c>
      <x:c r="D215" s="2" t="str">
        <x:v>Stair flights and landings</x:v>
      </x:c>
      <x:c r="E215" s="21" t="n">
        <x:v>12</x:v>
      </x:c>
      <x:c r="F215" s="21" t="n">
        <x:v>80</x:v>
      </x:c>
      <x:c r="G215" s="21" t="n">
        <x:v>4.8</x:v>
      </x:c>
      <x:c r="H215" s="21" t="n">
        <x:f>E215^2*'Controls'!$B$52</x:f>
        <x:v>0.8877600000000001</x:v>
      </x:c>
      <x:c r="I215" s="21" t="n">
        <x:f>F215*G215*H215</x:f>
        <x:v>340.89984000000004</x:v>
      </x:c>
      <x:c r="J215" s="2" t="str">
        <x:v>Separate stair reinforcement allowance</x:v>
      </x:c>
      <x:c r="K215" s="2"/>
      <x:c r="L215" s="2"/>
      <x:c r="M215" s="2"/>
      <x:c r="N215" s="2"/>
      <x:c r="O215" s="2"/>
      <x:c r="P215" s="2"/>
      <x:c r="Q215" s="2"/>
    </x:row>
    <x:row r="216" ht="22" customHeight="1">
      <x:c r="A216" s="7" t="str">
        <x:v>T2-L03-S1</x:v>
      </x:c>
      <x:c r="B216" s="7" t="str">
        <x:v>T2</x:v>
      </x:c>
      <x:c r="C216" s="7" t="str">
        <x:v>L03</x:v>
      </x:c>
      <x:c r="D216" s="7" t="str">
        <x:v>Slab X through strips</x:v>
      </x:c>
      <x:c r="E216" s="20" t="n">
        <x:v>12</x:v>
      </x:c>
      <x:c r="F216" s="20" t="n">
        <x:v>182</x:v>
      </x:c>
      <x:c r="G216" s="20" t="n">
        <x:v>29.95</x:v>
      </x:c>
      <x:c r="H216" s="20" t="n">
        <x:f>E216^2*'Controls'!$B$52</x:f>
        <x:v>0.8877600000000001</x:v>
      </x:c>
      <x:c r="I216" s="20" t="n">
        <x:f>F216*G216*H216</x:f>
        <x:v>4839.090984</x:v>
      </x:c>
      <x:c r="J216" s="7" t="str">
        <x:v>2 layers x 91 bars outside central opening band</x:v>
      </x:c>
      <x:c r="K216" s="2"/>
      <x:c r="L216" s="2"/>
      <x:c r="M216" s="2"/>
      <x:c r="N216" s="2"/>
      <x:c r="O216" s="2"/>
      <x:c r="P216" s="2"/>
      <x:c r="Q216" s="2"/>
    </x:row>
    <x:row r="217" ht="22" customHeight="1">
      <x:c r="A217" s="2" t="str">
        <x:v>T2-L03-S2</x:v>
      </x:c>
      <x:c r="B217" s="2" t="str">
        <x:v>T2</x:v>
      </x:c>
      <x:c r="C217" s="2" t="str">
        <x:v>L03</x:v>
      </x:c>
      <x:c r="D217" s="2" t="str">
        <x:v>Slab X split at core</x:v>
      </x:c>
      <x:c r="E217" s="21" t="n">
        <x:v>12</x:v>
      </x:c>
      <x:c r="F217" s="21" t="n">
        <x:v>60</x:v>
      </x:c>
      <x:c r="G217" s="21" t="n">
        <x:v>25.95</x:v>
      </x:c>
      <x:c r="H217" s="21" t="n">
        <x:f>E217^2*'Controls'!$B$52</x:f>
        <x:v>0.8877600000000001</x:v>
      </x:c>
      <x:c r="I217" s="21" t="n">
        <x:f>F217*G217*H217</x:f>
        <x:v>1382.24232</x:v>
      </x:c>
      <x:c r="J217" s="2" t="str">
        <x:v>2 layers x 30 bars, split lengths combined around 4 m opening</x:v>
      </x:c>
      <x:c r="K217" s="2"/>
      <x:c r="L217" s="2"/>
      <x:c r="M217" s="2"/>
      <x:c r="N217" s="2"/>
      <x:c r="O217" s="2"/>
      <x:c r="P217" s="2"/>
      <x:c r="Q217" s="2"/>
    </x:row>
    <x:row r="218" ht="22" customHeight="1">
      <x:c r="A218" s="7" t="str">
        <x:v>T2-L03-S3</x:v>
      </x:c>
      <x:c r="B218" s="7" t="str">
        <x:v>T2</x:v>
      </x:c>
      <x:c r="C218" s="7" t="str">
        <x:v>L03</x:v>
      </x:c>
      <x:c r="D218" s="7" t="str">
        <x:v>Slab Y through strips</x:v>
      </x:c>
      <x:c r="E218" s="20" t="n">
        <x:v>12</x:v>
      </x:c>
      <x:c r="F218" s="20" t="n">
        <x:v>262</x:v>
      </x:c>
      <x:c r="G218" s="20" t="n">
        <x:v>23.95</x:v>
      </x:c>
      <x:c r="H218" s="20" t="n">
        <x:f>E218^2*'Controls'!$B$52</x:f>
        <x:v>0.8877600000000001</x:v>
      </x:c>
      <x:c r="I218" s="20" t="n">
        <x:f>F218*G218*H218</x:f>
        <x:v>5570.605224</x:v>
      </x:c>
      <x:c r="J218" s="7" t="str">
        <x:v>2 layers x 131 bars outside central opening band</x:v>
      </x:c>
      <x:c r="K218" s="2"/>
      <x:c r="L218" s="2"/>
      <x:c r="M218" s="2"/>
      <x:c r="N218" s="2"/>
      <x:c r="O218" s="2"/>
      <x:c r="P218" s="2"/>
      <x:c r="Q218" s="2"/>
    </x:row>
    <x:row r="219" ht="22" customHeight="1">
      <x:c r="A219" s="2" t="str">
        <x:v>T2-L03-S4</x:v>
      </x:c>
      <x:c r="B219" s="2" t="str">
        <x:v>T2</x:v>
      </x:c>
      <x:c r="C219" s="2" t="str">
        <x:v>L03</x:v>
      </x:c>
      <x:c r="D219" s="2" t="str">
        <x:v>Slab Y split at core</x:v>
      </x:c>
      <x:c r="E219" s="21" t="n">
        <x:v>12</x:v>
      </x:c>
      <x:c r="F219" s="21" t="n">
        <x:v>40</x:v>
      </x:c>
      <x:c r="G219" s="21" t="n">
        <x:v>17.95</x:v>
      </x:c>
      <x:c r="H219" s="21" t="n">
        <x:f>E219^2*'Controls'!$B$52</x:f>
        <x:v>0.8877600000000001</x:v>
      </x:c>
      <x:c r="I219" s="21" t="n">
        <x:f>F219*G219*H219</x:f>
        <x:v>637.41168</x:v>
      </x:c>
      <x:c r="J219" s="2" t="str">
        <x:v>2 layers x 20 bars, split around 6 m opening</x:v>
      </x:c>
      <x:c r="K219" s="2"/>
      <x:c r="L219" s="2"/>
      <x:c r="M219" s="2"/>
      <x:c r="N219" s="2"/>
      <x:c r="O219" s="2"/>
      <x:c r="P219" s="2"/>
      <x:c r="Q219" s="2"/>
    </x:row>
    <x:row r="220" ht="22" customHeight="1">
      <x:c r="A220" s="7" t="str">
        <x:v>T2-L03-S5</x:v>
      </x:c>
      <x:c r="B220" s="7" t="str">
        <x:v>T2</x:v>
      </x:c>
      <x:c r="C220" s="7" t="str">
        <x:v>L03</x:v>
      </x:c>
      <x:c r="D220" s="7" t="str">
        <x:v>Opening trim bars</x:v>
      </x:c>
      <x:c r="E220" s="20" t="n">
        <x:v>16</x:v>
      </x:c>
      <x:c r="F220" s="20" t="n">
        <x:v>16</x:v>
      </x:c>
      <x:c r="G220" s="20" t="n">
        <x:v>7.2</x:v>
      </x:c>
      <x:c r="H220" s="20" t="n">
        <x:f>E220^2*'Controls'!$B$52</x:f>
        <x:v>1.57824</x:v>
      </x:c>
      <x:c r="I220" s="20" t="n">
        <x:f>F220*G220*H220</x:f>
        <x:v>181.81324800000002</x:v>
      </x:c>
      <x:c r="J220" s="7" t="str">
        <x:v>Trim allowance, explicit scheduled lengths</x:v>
      </x:c>
      <x:c r="K220" s="2"/>
      <x:c r="L220" s="2"/>
      <x:c r="M220" s="2"/>
      <x:c r="N220" s="2"/>
      <x:c r="O220" s="2"/>
      <x:c r="P220" s="2"/>
      <x:c r="Q220" s="2"/>
    </x:row>
    <x:row r="221" ht="22" customHeight="1">
      <x:c r="A221" s="2" t="str">
        <x:v>T2-L03-BX</x:v>
      </x:c>
      <x:c r="B221" s="2" t="str">
        <x:v>T2</x:v>
      </x:c>
      <x:c r="C221" s="2" t="str">
        <x:v>L03</x:v>
      </x:c>
      <x:c r="D221" s="2" t="str">
        <x:v>X beam longitudinal</x:v>
      </x:c>
      <x:c r="E221" s="21" t="n">
        <x:v>20</x:v>
      </x:c>
      <x:c r="F221" s="21" t="n">
        <x:v>150</x:v>
      </x:c>
      <x:c r="G221" s="21" t="n">
        <x:v>6.5</x:v>
      </x:c>
      <x:c r="H221" s="21" t="n">
        <x:f>E221^2*'Controls'!$B$52</x:f>
        <x:v>2.466</x:v>
      </x:c>
      <x:c r="I221" s="21" t="n">
        <x:f>F221*G221*H221</x:f>
        <x:v>2404.3500000000004</x:v>
      </x:c>
      <x:c r="J221" s="2" t="str">
        <x:v>25 spans x 6 bars incl. 1 m lap/anchorage provision</x:v>
      </x:c>
      <x:c r="K221" s="2"/>
      <x:c r="L221" s="2"/>
      <x:c r="M221" s="2"/>
      <x:c r="N221" s="2"/>
      <x:c r="O221" s="2"/>
      <x:c r="P221" s="2"/>
      <x:c r="Q221" s="2"/>
    </x:row>
    <x:row r="222" ht="22" customHeight="1">
      <x:c r="A222" s="7" t="str">
        <x:v>T2-L03-BY</x:v>
      </x:c>
      <x:c r="B222" s="7" t="str">
        <x:v>T2</x:v>
      </x:c>
      <x:c r="C222" s="7" t="str">
        <x:v>L03</x:v>
      </x:c>
      <x:c r="D222" s="7" t="str">
        <x:v>Y beam longitudinal</x:v>
      </x:c>
      <x:c r="E222" s="20" t="n">
        <x:v>20</x:v>
      </x:c>
      <x:c r="F222" s="20" t="n">
        <x:v>144</x:v>
      </x:c>
      <x:c r="G222" s="20" t="n">
        <x:v>6.5</x:v>
      </x:c>
      <x:c r="H222" s="20" t="n">
        <x:f>E222^2*'Controls'!$B$52</x:f>
        <x:v>2.466</x:v>
      </x:c>
      <x:c r="I222" s="20" t="n">
        <x:f>F222*G222*H222</x:f>
        <x:v>2308.1760000000004</x:v>
      </x:c>
      <x:c r="J222" s="7" t="str">
        <x:v>24 spans x 6 bars</x:v>
      </x:c>
      <x:c r="K222" s="2"/>
      <x:c r="L222" s="2"/>
      <x:c r="M222" s="2"/>
      <x:c r="N222" s="2"/>
      <x:c r="O222" s="2"/>
      <x:c r="P222" s="2"/>
      <x:c r="Q222" s="2"/>
    </x:row>
    <x:row r="223" ht="22" customHeight="1">
      <x:c r="A223" s="2" t="str">
        <x:v>T2-L03-BT</x:v>
      </x:c>
      <x:c r="B223" s="2" t="str">
        <x:v>T2</x:v>
      </x:c>
      <x:c r="C223" s="2" t="str">
        <x:v>L03</x:v>
      </x:c>
      <x:c r="D223" s="2" t="str">
        <x:v>Beam closed links</x:v>
      </x:c>
      <x:c r="E223" s="21" t="n">
        <x:v>10</x:v>
      </x:c>
      <x:c r="F223" s="21" t="n">
        <x:v>1421</x:v>
      </x:c>
      <x:c r="G223" s="21" t="n">
        <x:v>1.7</x:v>
      </x:c>
      <x:c r="H223" s="21" t="n">
        <x:f>E223^2*'Controls'!$B$52</x:f>
        <x:v>0.6165</x:v>
      </x:c>
      <x:c r="I223" s="21" t="n">
        <x:f>F223*G223*H223</x:f>
        <x:v>1489.27905</x:v>
      </x:c>
      <x:c r="J223" s="2" t="str">
        <x:v>49 beams x 29 links, 200 mm nominal</x:v>
      </x:c>
      <x:c r="K223" s="2"/>
      <x:c r="L223" s="2"/>
      <x:c r="M223" s="2"/>
      <x:c r="N223" s="2"/>
      <x:c r="O223" s="2"/>
      <x:c r="P223" s="2"/>
      <x:c r="Q223" s="2"/>
    </x:row>
    <x:row r="224" ht="22" customHeight="1">
      <x:c r="A224" s="7" t="str">
        <x:v>T2-L03-CL</x:v>
      </x:c>
      <x:c r="B224" s="7" t="str">
        <x:v>T2</x:v>
      </x:c>
      <x:c r="C224" s="7" t="str">
        <x:v>L03</x:v>
      </x:c>
      <x:c r="D224" s="7" t="str">
        <x:v>Column longitudinal</x:v>
      </x:c>
      <x:c r="E224" s="20" t="n">
        <x:v>25</x:v>
      </x:c>
      <x:c r="F224" s="20" t="n">
        <x:v>360</x:v>
      </x:c>
      <x:c r="G224" s="20" t="n">
        <x:v>3.9</x:v>
      </x:c>
      <x:c r="H224" s="20" t="n">
        <x:f>E224^2*'Controls'!$B$52</x:f>
        <x:v>3.8531250000000004</x:v>
      </x:c>
      <x:c r="I224" s="20" t="n">
        <x:f>F224*G224*H224</x:f>
        <x:v>5409.7875</x:v>
      </x:c>
      <x:c r="J224" s="7" t="str">
        <x:v>30 columns x 12 bars incl. lap</x:v>
      </x:c>
      <x:c r="K224" s="2"/>
      <x:c r="L224" s="2"/>
      <x:c r="M224" s="2"/>
      <x:c r="N224" s="2"/>
      <x:c r="O224" s="2"/>
      <x:c r="P224" s="2"/>
      <x:c r="Q224" s="2"/>
    </x:row>
    <x:row r="225" ht="22" customHeight="1">
      <x:c r="A225" s="2" t="str">
        <x:v>T2-L03-CT</x:v>
      </x:c>
      <x:c r="B225" s="2" t="str">
        <x:v>T2</x:v>
      </x:c>
      <x:c r="C225" s="2" t="str">
        <x:v>L03</x:v>
      </x:c>
      <x:c r="D225" s="2" t="str">
        <x:v>Column ties</x:v>
      </x:c>
      <x:c r="E225" s="21" t="n">
        <x:v>10</x:v>
      </x:c>
      <x:c r="F225" s="21" t="n">
        <x:v>510</x:v>
      </x:c>
      <x:c r="G225" s="21" t="n">
        <x:v>1.96</x:v>
      </x:c>
      <x:c r="H225" s="21" t="n">
        <x:f>E225^2*'Controls'!$B$52</x:f>
        <x:v>0.6165</x:v>
      </x:c>
      <x:c r="I225" s="21" t="n">
        <x:f>F225*G225*H225</x:f>
        <x:v>616.2534</x:v>
      </x:c>
      <x:c r="J225" s="2" t="str">
        <x:v>30 columns x 17 ties, cover and hooks included</x:v>
      </x:c>
      <x:c r="K225" s="2"/>
      <x:c r="L225" s="2"/>
      <x:c r="M225" s="2"/>
      <x:c r="N225" s="2"/>
      <x:c r="O225" s="2"/>
      <x:c r="P225" s="2"/>
      <x:c r="Q225" s="2"/>
    </x:row>
    <x:row r="226" ht="22" customHeight="1">
      <x:c r="A226" s="7" t="str">
        <x:v>T2-L03-CV</x:v>
      </x:c>
      <x:c r="B226" s="7" t="str">
        <x:v>T2</x:v>
      </x:c>
      <x:c r="C226" s="7" t="str">
        <x:v>L03</x:v>
      </x:c>
      <x:c r="D226" s="7" t="str">
        <x:v>Core vertical bars</x:v>
      </x:c>
      <x:c r="E226" s="20" t="n">
        <x:v>16</x:v>
      </x:c>
      <x:c r="F226" s="20" t="n">
        <x:v>244</x:v>
      </x:c>
      <x:c r="G226" s="20" t="n">
        <x:v>3.9</x:v>
      </x:c>
      <x:c r="H226" s="20" t="n">
        <x:f>E226^2*'Controls'!$B$52</x:f>
        <x:v>1.57824</x:v>
      </x:c>
      <x:c r="I226" s="20" t="n">
        <x:f>F226*G226*H226</x:f>
        <x:v>1501.853184</x:v>
      </x:c>
      <x:c r="J226" s="7" t="str">
        <x:v>Two faces, 200 mm nominal along 24 m net length</x:v>
      </x:c>
      <x:c r="K226" s="2"/>
      <x:c r="L226" s="2"/>
      <x:c r="M226" s="2"/>
      <x:c r="N226" s="2"/>
      <x:c r="O226" s="2"/>
      <x:c r="P226" s="2"/>
      <x:c r="Q226" s="2"/>
    </x:row>
    <x:row r="227" ht="22" customHeight="1">
      <x:c r="A227" s="2" t="str">
        <x:v>T2-L03-CH</x:v>
      </x:c>
      <x:c r="B227" s="2" t="str">
        <x:v>T2</x:v>
      </x:c>
      <x:c r="C227" s="2" t="str">
        <x:v>L03</x:v>
      </x:c>
      <x:c r="D227" s="2" t="str">
        <x:v>Core horizontal bars</x:v>
      </x:c>
      <x:c r="E227" s="21" t="n">
        <x:v>12</x:v>
      </x:c>
      <x:c r="F227" s="21" t="n">
        <x:v>32</x:v>
      </x:c>
      <x:c r="G227" s="21" t="n">
        <x:v>25</x:v>
      </x:c>
      <x:c r="H227" s="21" t="n">
        <x:f>E227^2*'Controls'!$B$52</x:f>
        <x:v>0.8877600000000001</x:v>
      </x:c>
      <x:c r="I227" s="21" t="n">
        <x:f>F227*G227*H227</x:f>
        <x:v>710.2080000000001</x:v>
      </x:c>
      <x:c r="J227" s="2" t="str">
        <x:v>Two faces x 16 layers incl. lap</x:v>
      </x:c>
      <x:c r="K227" s="2"/>
      <x:c r="L227" s="2"/>
      <x:c r="M227" s="2"/>
      <x:c r="N227" s="2"/>
      <x:c r="O227" s="2"/>
      <x:c r="P227" s="2"/>
      <x:c r="Q227" s="2"/>
    </x:row>
    <x:row r="228" ht="22" customHeight="1">
      <x:c r="A228" s="7" t="str">
        <x:v>T2-L03-ST</x:v>
      </x:c>
      <x:c r="B228" s="7" t="str">
        <x:v>T2</x:v>
      </x:c>
      <x:c r="C228" s="7" t="str">
        <x:v>L03</x:v>
      </x:c>
      <x:c r="D228" s="7" t="str">
        <x:v>Stair flights and landings</x:v>
      </x:c>
      <x:c r="E228" s="20" t="n">
        <x:v>12</x:v>
      </x:c>
      <x:c r="F228" s="20" t="n">
        <x:v>80</x:v>
      </x:c>
      <x:c r="G228" s="20" t="n">
        <x:v>4.8</x:v>
      </x:c>
      <x:c r="H228" s="20" t="n">
        <x:f>E228^2*'Controls'!$B$52</x:f>
        <x:v>0.8877600000000001</x:v>
      </x:c>
      <x:c r="I228" s="20" t="n">
        <x:f>F228*G228*H228</x:f>
        <x:v>340.89984000000004</x:v>
      </x:c>
      <x:c r="J228" s="7" t="str">
        <x:v>Separate stair reinforcement allowance</x:v>
      </x:c>
      <x:c r="K228" s="2"/>
      <x:c r="L228" s="2"/>
      <x:c r="M228" s="2"/>
      <x:c r="N228" s="2"/>
      <x:c r="O228" s="2"/>
      <x:c r="P228" s="2"/>
      <x:c r="Q228" s="2"/>
    </x:row>
    <x:row r="229" ht="22" customHeight="1">
      <x:c r="A229" s="2" t="str">
        <x:v>T2-L04-S1</x:v>
      </x:c>
      <x:c r="B229" s="2" t="str">
        <x:v>T2</x:v>
      </x:c>
      <x:c r="C229" s="2" t="str">
        <x:v>L04</x:v>
      </x:c>
      <x:c r="D229" s="2" t="str">
        <x:v>Slab X through strips</x:v>
      </x:c>
      <x:c r="E229" s="21" t="n">
        <x:v>12</x:v>
      </x:c>
      <x:c r="F229" s="21" t="n">
        <x:v>182</x:v>
      </x:c>
      <x:c r="G229" s="21" t="n">
        <x:v>29.95</x:v>
      </x:c>
      <x:c r="H229" s="21" t="n">
        <x:f>E229^2*'Controls'!$B$52</x:f>
        <x:v>0.8877600000000001</x:v>
      </x:c>
      <x:c r="I229" s="21" t="n">
        <x:f>F229*G229*H229</x:f>
        <x:v>4839.090984</x:v>
      </x:c>
      <x:c r="J229" s="2" t="str">
        <x:v>2 layers x 91 bars outside central opening band</x:v>
      </x:c>
      <x:c r="K229" s="2"/>
      <x:c r="L229" s="2"/>
      <x:c r="M229" s="2"/>
      <x:c r="N229" s="2"/>
      <x:c r="O229" s="2"/>
      <x:c r="P229" s="2"/>
      <x:c r="Q229" s="2"/>
    </x:row>
    <x:row r="230" ht="22" customHeight="1">
      <x:c r="A230" s="7" t="str">
        <x:v>T2-L04-S2</x:v>
      </x:c>
      <x:c r="B230" s="7" t="str">
        <x:v>T2</x:v>
      </x:c>
      <x:c r="C230" s="7" t="str">
        <x:v>L04</x:v>
      </x:c>
      <x:c r="D230" s="7" t="str">
        <x:v>Slab X split at core</x:v>
      </x:c>
      <x:c r="E230" s="20" t="n">
        <x:v>12</x:v>
      </x:c>
      <x:c r="F230" s="20" t="n">
        <x:v>60</x:v>
      </x:c>
      <x:c r="G230" s="20" t="n">
        <x:v>25.95</x:v>
      </x:c>
      <x:c r="H230" s="20" t="n">
        <x:f>E230^2*'Controls'!$B$52</x:f>
        <x:v>0.8877600000000001</x:v>
      </x:c>
      <x:c r="I230" s="20" t="n">
        <x:f>F230*G230*H230</x:f>
        <x:v>1382.24232</x:v>
      </x:c>
      <x:c r="J230" s="7" t="str">
        <x:v>2 layers x 30 bars, split lengths combined around 4 m opening</x:v>
      </x:c>
      <x:c r="K230" s="2"/>
      <x:c r="L230" s="2"/>
      <x:c r="M230" s="2"/>
      <x:c r="N230" s="2"/>
      <x:c r="O230" s="2"/>
      <x:c r="P230" s="2"/>
      <x:c r="Q230" s="2"/>
    </x:row>
    <x:row r="231" ht="22" customHeight="1">
      <x:c r="A231" s="2" t="str">
        <x:v>T2-L04-S3</x:v>
      </x:c>
      <x:c r="B231" s="2" t="str">
        <x:v>T2</x:v>
      </x:c>
      <x:c r="C231" s="2" t="str">
        <x:v>L04</x:v>
      </x:c>
      <x:c r="D231" s="2" t="str">
        <x:v>Slab Y through strips</x:v>
      </x:c>
      <x:c r="E231" s="21" t="n">
        <x:v>12</x:v>
      </x:c>
      <x:c r="F231" s="21" t="n">
        <x:v>262</x:v>
      </x:c>
      <x:c r="G231" s="21" t="n">
        <x:v>23.95</x:v>
      </x:c>
      <x:c r="H231" s="21" t="n">
        <x:f>E231^2*'Controls'!$B$52</x:f>
        <x:v>0.8877600000000001</x:v>
      </x:c>
      <x:c r="I231" s="21" t="n">
        <x:f>F231*G231*H231</x:f>
        <x:v>5570.605224</x:v>
      </x:c>
      <x:c r="J231" s="2" t="str">
        <x:v>2 layers x 131 bars outside central opening band</x:v>
      </x:c>
      <x:c r="K231" s="2"/>
      <x:c r="L231" s="2"/>
      <x:c r="M231" s="2"/>
      <x:c r="N231" s="2"/>
      <x:c r="O231" s="2"/>
      <x:c r="P231" s="2"/>
      <x:c r="Q231" s="2"/>
    </x:row>
    <x:row r="232" ht="22" customHeight="1">
      <x:c r="A232" s="7" t="str">
        <x:v>T2-L04-S4</x:v>
      </x:c>
      <x:c r="B232" s="7" t="str">
        <x:v>T2</x:v>
      </x:c>
      <x:c r="C232" s="7" t="str">
        <x:v>L04</x:v>
      </x:c>
      <x:c r="D232" s="7" t="str">
        <x:v>Slab Y split at core</x:v>
      </x:c>
      <x:c r="E232" s="20" t="n">
        <x:v>12</x:v>
      </x:c>
      <x:c r="F232" s="20" t="n">
        <x:v>40</x:v>
      </x:c>
      <x:c r="G232" s="20" t="n">
        <x:v>17.95</x:v>
      </x:c>
      <x:c r="H232" s="20" t="n">
        <x:f>E232^2*'Controls'!$B$52</x:f>
        <x:v>0.8877600000000001</x:v>
      </x:c>
      <x:c r="I232" s="20" t="n">
        <x:f>F232*G232*H232</x:f>
        <x:v>637.41168</x:v>
      </x:c>
      <x:c r="J232" s="7" t="str">
        <x:v>2 layers x 20 bars, split around 6 m opening</x:v>
      </x:c>
      <x:c r="K232" s="2"/>
      <x:c r="L232" s="2"/>
      <x:c r="M232" s="2"/>
      <x:c r="N232" s="2"/>
      <x:c r="O232" s="2"/>
      <x:c r="P232" s="2"/>
      <x:c r="Q232" s="2"/>
    </x:row>
    <x:row r="233" ht="22" customHeight="1">
      <x:c r="A233" s="2" t="str">
        <x:v>T2-L04-S5</x:v>
      </x:c>
      <x:c r="B233" s="2" t="str">
        <x:v>T2</x:v>
      </x:c>
      <x:c r="C233" s="2" t="str">
        <x:v>L04</x:v>
      </x:c>
      <x:c r="D233" s="2" t="str">
        <x:v>Opening trim bars</x:v>
      </x:c>
      <x:c r="E233" s="21" t="n">
        <x:v>16</x:v>
      </x:c>
      <x:c r="F233" s="21" t="n">
        <x:v>16</x:v>
      </x:c>
      <x:c r="G233" s="21" t="n">
        <x:v>7.2</x:v>
      </x:c>
      <x:c r="H233" s="21" t="n">
        <x:f>E233^2*'Controls'!$B$52</x:f>
        <x:v>1.57824</x:v>
      </x:c>
      <x:c r="I233" s="21" t="n">
        <x:f>F233*G233*H233</x:f>
        <x:v>181.81324800000002</x:v>
      </x:c>
      <x:c r="J233" s="2" t="str">
        <x:v>Trim allowance, explicit scheduled lengths</x:v>
      </x:c>
      <x:c r="K233" s="2"/>
      <x:c r="L233" s="2"/>
      <x:c r="M233" s="2"/>
      <x:c r="N233" s="2"/>
      <x:c r="O233" s="2"/>
      <x:c r="P233" s="2"/>
      <x:c r="Q233" s="2"/>
    </x:row>
    <x:row r="234" ht="22" customHeight="1">
      <x:c r="A234" s="7" t="str">
        <x:v>T2-L04-BX</x:v>
      </x:c>
      <x:c r="B234" s="7" t="str">
        <x:v>T2</x:v>
      </x:c>
      <x:c r="C234" s="7" t="str">
        <x:v>L04</x:v>
      </x:c>
      <x:c r="D234" s="7" t="str">
        <x:v>X beam longitudinal</x:v>
      </x:c>
      <x:c r="E234" s="20" t="n">
        <x:v>20</x:v>
      </x:c>
      <x:c r="F234" s="20" t="n">
        <x:v>150</x:v>
      </x:c>
      <x:c r="G234" s="20" t="n">
        <x:v>6.5</x:v>
      </x:c>
      <x:c r="H234" s="20" t="n">
        <x:f>E234^2*'Controls'!$B$52</x:f>
        <x:v>2.466</x:v>
      </x:c>
      <x:c r="I234" s="20" t="n">
        <x:f>F234*G234*H234</x:f>
        <x:v>2404.3500000000004</x:v>
      </x:c>
      <x:c r="J234" s="7" t="str">
        <x:v>25 spans x 6 bars incl. 1 m lap/anchorage provision</x:v>
      </x:c>
      <x:c r="K234" s="2"/>
      <x:c r="L234" s="2"/>
      <x:c r="M234" s="2"/>
      <x:c r="N234" s="2"/>
      <x:c r="O234" s="2"/>
      <x:c r="P234" s="2"/>
      <x:c r="Q234" s="2"/>
    </x:row>
    <x:row r="235" ht="22" customHeight="1">
      <x:c r="A235" s="2" t="str">
        <x:v>T2-L04-BY</x:v>
      </x:c>
      <x:c r="B235" s="2" t="str">
        <x:v>T2</x:v>
      </x:c>
      <x:c r="C235" s="2" t="str">
        <x:v>L04</x:v>
      </x:c>
      <x:c r="D235" s="2" t="str">
        <x:v>Y beam longitudinal</x:v>
      </x:c>
      <x:c r="E235" s="21" t="n">
        <x:v>20</x:v>
      </x:c>
      <x:c r="F235" s="21" t="n">
        <x:v>144</x:v>
      </x:c>
      <x:c r="G235" s="21" t="n">
        <x:v>6.5</x:v>
      </x:c>
      <x:c r="H235" s="21" t="n">
        <x:f>E235^2*'Controls'!$B$52</x:f>
        <x:v>2.466</x:v>
      </x:c>
      <x:c r="I235" s="21" t="n">
        <x:f>F235*G235*H235</x:f>
        <x:v>2308.1760000000004</x:v>
      </x:c>
      <x:c r="J235" s="2" t="str">
        <x:v>24 spans x 6 bars</x:v>
      </x:c>
      <x:c r="K235" s="2"/>
      <x:c r="L235" s="2"/>
      <x:c r="M235" s="2"/>
      <x:c r="N235" s="2"/>
      <x:c r="O235" s="2"/>
      <x:c r="P235" s="2"/>
      <x:c r="Q235" s="2"/>
    </x:row>
    <x:row r="236" ht="22" customHeight="1">
      <x:c r="A236" s="7" t="str">
        <x:v>T2-L04-BT</x:v>
      </x:c>
      <x:c r="B236" s="7" t="str">
        <x:v>T2</x:v>
      </x:c>
      <x:c r="C236" s="7" t="str">
        <x:v>L04</x:v>
      </x:c>
      <x:c r="D236" s="7" t="str">
        <x:v>Beam closed links</x:v>
      </x:c>
      <x:c r="E236" s="20" t="n">
        <x:v>10</x:v>
      </x:c>
      <x:c r="F236" s="20" t="n">
        <x:v>1421</x:v>
      </x:c>
      <x:c r="G236" s="20" t="n">
        <x:v>1.7</x:v>
      </x:c>
      <x:c r="H236" s="20" t="n">
        <x:f>E236^2*'Controls'!$B$52</x:f>
        <x:v>0.6165</x:v>
      </x:c>
      <x:c r="I236" s="20" t="n">
        <x:f>F236*G236*H236</x:f>
        <x:v>1489.27905</x:v>
      </x:c>
      <x:c r="J236" s="7" t="str">
        <x:v>49 beams x 29 links, 200 mm nominal</x:v>
      </x:c>
      <x:c r="K236" s="2"/>
      <x:c r="L236" s="2"/>
      <x:c r="M236" s="2"/>
      <x:c r="N236" s="2"/>
      <x:c r="O236" s="2"/>
      <x:c r="P236" s="2"/>
      <x:c r="Q236" s="2"/>
    </x:row>
    <x:row r="237" ht="22" customHeight="1">
      <x:c r="A237" s="2" t="str">
        <x:v>T2-L04-CL</x:v>
      </x:c>
      <x:c r="B237" s="2" t="str">
        <x:v>T2</x:v>
      </x:c>
      <x:c r="C237" s="2" t="str">
        <x:v>L04</x:v>
      </x:c>
      <x:c r="D237" s="2" t="str">
        <x:v>Column longitudinal</x:v>
      </x:c>
      <x:c r="E237" s="21" t="n">
        <x:v>25</x:v>
      </x:c>
      <x:c r="F237" s="21" t="n">
        <x:v>360</x:v>
      </x:c>
      <x:c r="G237" s="21" t="n">
        <x:v>3.9</x:v>
      </x:c>
      <x:c r="H237" s="21" t="n">
        <x:f>E237^2*'Controls'!$B$52</x:f>
        <x:v>3.8531250000000004</x:v>
      </x:c>
      <x:c r="I237" s="21" t="n">
        <x:f>F237*G237*H237</x:f>
        <x:v>5409.7875</x:v>
      </x:c>
      <x:c r="J237" s="2" t="str">
        <x:v>30 columns x 12 bars incl. lap</x:v>
      </x:c>
      <x:c r="K237" s="2"/>
      <x:c r="L237" s="2"/>
      <x:c r="M237" s="2"/>
      <x:c r="N237" s="2"/>
      <x:c r="O237" s="2"/>
      <x:c r="P237" s="2"/>
      <x:c r="Q237" s="2"/>
    </x:row>
    <x:row r="238" ht="22" customHeight="1">
      <x:c r="A238" s="7" t="str">
        <x:v>T2-L04-CT</x:v>
      </x:c>
      <x:c r="B238" s="7" t="str">
        <x:v>T2</x:v>
      </x:c>
      <x:c r="C238" s="7" t="str">
        <x:v>L04</x:v>
      </x:c>
      <x:c r="D238" s="7" t="str">
        <x:v>Column ties</x:v>
      </x:c>
      <x:c r="E238" s="20" t="n">
        <x:v>10</x:v>
      </x:c>
      <x:c r="F238" s="20" t="n">
        <x:v>510</x:v>
      </x:c>
      <x:c r="G238" s="20" t="n">
        <x:v>1.96</x:v>
      </x:c>
      <x:c r="H238" s="20" t="n">
        <x:f>E238^2*'Controls'!$B$52</x:f>
        <x:v>0.6165</x:v>
      </x:c>
      <x:c r="I238" s="20" t="n">
        <x:f>F238*G238*H238</x:f>
        <x:v>616.2534</x:v>
      </x:c>
      <x:c r="J238" s="7" t="str">
        <x:v>30 columns x 17 ties, cover and hooks included</x:v>
      </x:c>
      <x:c r="K238" s="2"/>
      <x:c r="L238" s="2"/>
      <x:c r="M238" s="2"/>
      <x:c r="N238" s="2"/>
      <x:c r="O238" s="2"/>
      <x:c r="P238" s="2"/>
      <x:c r="Q238" s="2"/>
    </x:row>
    <x:row r="239" ht="22" customHeight="1">
      <x:c r="A239" s="2" t="str">
        <x:v>T2-L04-CV</x:v>
      </x:c>
      <x:c r="B239" s="2" t="str">
        <x:v>T2</x:v>
      </x:c>
      <x:c r="C239" s="2" t="str">
        <x:v>L04</x:v>
      </x:c>
      <x:c r="D239" s="2" t="str">
        <x:v>Core vertical bars</x:v>
      </x:c>
      <x:c r="E239" s="21" t="n">
        <x:v>16</x:v>
      </x:c>
      <x:c r="F239" s="21" t="n">
        <x:v>244</x:v>
      </x:c>
      <x:c r="G239" s="21" t="n">
        <x:v>3.9</x:v>
      </x:c>
      <x:c r="H239" s="21" t="n">
        <x:f>E239^2*'Controls'!$B$52</x:f>
        <x:v>1.57824</x:v>
      </x:c>
      <x:c r="I239" s="21" t="n">
        <x:f>F239*G239*H239</x:f>
        <x:v>1501.853184</x:v>
      </x:c>
      <x:c r="J239" s="2" t="str">
        <x:v>Two faces, 200 mm nominal along 24 m net length</x:v>
      </x:c>
      <x:c r="K239" s="2"/>
      <x:c r="L239" s="2"/>
      <x:c r="M239" s="2"/>
      <x:c r="N239" s="2"/>
      <x:c r="O239" s="2"/>
      <x:c r="P239" s="2"/>
      <x:c r="Q239" s="2"/>
    </x:row>
    <x:row r="240" ht="22" customHeight="1">
      <x:c r="A240" s="7" t="str">
        <x:v>T2-L04-CH</x:v>
      </x:c>
      <x:c r="B240" s="7" t="str">
        <x:v>T2</x:v>
      </x:c>
      <x:c r="C240" s="7" t="str">
        <x:v>L04</x:v>
      </x:c>
      <x:c r="D240" s="7" t="str">
        <x:v>Core horizontal bars</x:v>
      </x:c>
      <x:c r="E240" s="20" t="n">
        <x:v>12</x:v>
      </x:c>
      <x:c r="F240" s="20" t="n">
        <x:v>32</x:v>
      </x:c>
      <x:c r="G240" s="20" t="n">
        <x:v>25</x:v>
      </x:c>
      <x:c r="H240" s="20" t="n">
        <x:f>E240^2*'Controls'!$B$52</x:f>
        <x:v>0.8877600000000001</x:v>
      </x:c>
      <x:c r="I240" s="20" t="n">
        <x:f>F240*G240*H240</x:f>
        <x:v>710.2080000000001</x:v>
      </x:c>
      <x:c r="J240" s="7" t="str">
        <x:v>Two faces x 16 layers incl. lap</x:v>
      </x:c>
      <x:c r="K240" s="2"/>
      <x:c r="L240" s="2"/>
      <x:c r="M240" s="2"/>
      <x:c r="N240" s="2"/>
      <x:c r="O240" s="2"/>
      <x:c r="P240" s="2"/>
      <x:c r="Q240" s="2"/>
    </x:row>
    <x:row r="241" ht="22" customHeight="1">
      <x:c r="A241" s="2" t="str">
        <x:v>T2-L04-ST</x:v>
      </x:c>
      <x:c r="B241" s="2" t="str">
        <x:v>T2</x:v>
      </x:c>
      <x:c r="C241" s="2" t="str">
        <x:v>L04</x:v>
      </x:c>
      <x:c r="D241" s="2" t="str">
        <x:v>Stair flights and landings</x:v>
      </x:c>
      <x:c r="E241" s="21" t="n">
        <x:v>12</x:v>
      </x:c>
      <x:c r="F241" s="21" t="n">
        <x:v>80</x:v>
      </x:c>
      <x:c r="G241" s="21" t="n">
        <x:v>4.8</x:v>
      </x:c>
      <x:c r="H241" s="21" t="n">
        <x:f>E241^2*'Controls'!$B$52</x:f>
        <x:v>0.8877600000000001</x:v>
      </x:c>
      <x:c r="I241" s="21" t="n">
        <x:f>F241*G241*H241</x:f>
        <x:v>340.89984000000004</x:v>
      </x:c>
      <x:c r="J241" s="2" t="str">
        <x:v>Separate stair reinforcement allowance</x:v>
      </x:c>
      <x:c r="K241" s="2"/>
      <x:c r="L241" s="2"/>
      <x:c r="M241" s="2"/>
      <x:c r="N241" s="2"/>
      <x:c r="O241" s="2"/>
      <x:c r="P241" s="2"/>
      <x:c r="Q241" s="2"/>
    </x:row>
    <x:row r="242" ht="22" customHeight="1">
      <x:c r="A242" s="7" t="str">
        <x:v>T2-L05-S1</x:v>
      </x:c>
      <x:c r="B242" s="7" t="str">
        <x:v>T2</x:v>
      </x:c>
      <x:c r="C242" s="7" t="str">
        <x:v>L05</x:v>
      </x:c>
      <x:c r="D242" s="7" t="str">
        <x:v>Slab X through strips</x:v>
      </x:c>
      <x:c r="E242" s="20" t="n">
        <x:v>12</x:v>
      </x:c>
      <x:c r="F242" s="20" t="n">
        <x:v>182</x:v>
      </x:c>
      <x:c r="G242" s="20" t="n">
        <x:v>29.95</x:v>
      </x:c>
      <x:c r="H242" s="20" t="n">
        <x:f>E242^2*'Controls'!$B$52</x:f>
        <x:v>0.8877600000000001</x:v>
      </x:c>
      <x:c r="I242" s="20" t="n">
        <x:f>F242*G242*H242</x:f>
        <x:v>4839.090984</x:v>
      </x:c>
      <x:c r="J242" s="7" t="str">
        <x:v>2 layers x 91 bars outside central opening band</x:v>
      </x:c>
      <x:c r="K242" s="2"/>
      <x:c r="L242" s="2"/>
      <x:c r="M242" s="2"/>
      <x:c r="N242" s="2"/>
      <x:c r="O242" s="2"/>
      <x:c r="P242" s="2"/>
      <x:c r="Q242" s="2"/>
    </x:row>
    <x:row r="243" ht="22" customHeight="1">
      <x:c r="A243" s="2" t="str">
        <x:v>T2-L05-S2</x:v>
      </x:c>
      <x:c r="B243" s="2" t="str">
        <x:v>T2</x:v>
      </x:c>
      <x:c r="C243" s="2" t="str">
        <x:v>L05</x:v>
      </x:c>
      <x:c r="D243" s="2" t="str">
        <x:v>Slab X split at core</x:v>
      </x:c>
      <x:c r="E243" s="21" t="n">
        <x:v>12</x:v>
      </x:c>
      <x:c r="F243" s="21" t="n">
        <x:v>60</x:v>
      </x:c>
      <x:c r="G243" s="21" t="n">
        <x:v>25.95</x:v>
      </x:c>
      <x:c r="H243" s="21" t="n">
        <x:f>E243^2*'Controls'!$B$52</x:f>
        <x:v>0.8877600000000001</x:v>
      </x:c>
      <x:c r="I243" s="21" t="n">
        <x:f>F243*G243*H243</x:f>
        <x:v>1382.24232</x:v>
      </x:c>
      <x:c r="J243" s="2" t="str">
        <x:v>2 layers x 30 bars, split lengths combined around 4 m opening</x:v>
      </x:c>
      <x:c r="K243" s="2"/>
      <x:c r="L243" s="2"/>
      <x:c r="M243" s="2"/>
      <x:c r="N243" s="2"/>
      <x:c r="O243" s="2"/>
      <x:c r="P243" s="2"/>
      <x:c r="Q243" s="2"/>
    </x:row>
    <x:row r="244" ht="22" customHeight="1">
      <x:c r="A244" s="7" t="str">
        <x:v>T2-L05-S3</x:v>
      </x:c>
      <x:c r="B244" s="7" t="str">
        <x:v>T2</x:v>
      </x:c>
      <x:c r="C244" s="7" t="str">
        <x:v>L05</x:v>
      </x:c>
      <x:c r="D244" s="7" t="str">
        <x:v>Slab Y through strips</x:v>
      </x:c>
      <x:c r="E244" s="20" t="n">
        <x:v>12</x:v>
      </x:c>
      <x:c r="F244" s="20" t="n">
        <x:v>262</x:v>
      </x:c>
      <x:c r="G244" s="20" t="n">
        <x:v>23.95</x:v>
      </x:c>
      <x:c r="H244" s="20" t="n">
        <x:f>E244^2*'Controls'!$B$52</x:f>
        <x:v>0.8877600000000001</x:v>
      </x:c>
      <x:c r="I244" s="20" t="n">
        <x:f>F244*G244*H244</x:f>
        <x:v>5570.605224</x:v>
      </x:c>
      <x:c r="J244" s="7" t="str">
        <x:v>2 layers x 131 bars outside central opening band</x:v>
      </x:c>
      <x:c r="K244" s="2"/>
      <x:c r="L244" s="2"/>
      <x:c r="M244" s="2"/>
      <x:c r="N244" s="2"/>
      <x:c r="O244" s="2"/>
      <x:c r="P244" s="2"/>
      <x:c r="Q244" s="2"/>
    </x:row>
    <x:row r="245" ht="22" customHeight="1">
      <x:c r="A245" s="2" t="str">
        <x:v>T2-L05-S4</x:v>
      </x:c>
      <x:c r="B245" s="2" t="str">
        <x:v>T2</x:v>
      </x:c>
      <x:c r="C245" s="2" t="str">
        <x:v>L05</x:v>
      </x:c>
      <x:c r="D245" s="2" t="str">
        <x:v>Slab Y split at core</x:v>
      </x:c>
      <x:c r="E245" s="21" t="n">
        <x:v>12</x:v>
      </x:c>
      <x:c r="F245" s="21" t="n">
        <x:v>40</x:v>
      </x:c>
      <x:c r="G245" s="21" t="n">
        <x:v>17.95</x:v>
      </x:c>
      <x:c r="H245" s="21" t="n">
        <x:f>E245^2*'Controls'!$B$52</x:f>
        <x:v>0.8877600000000001</x:v>
      </x:c>
      <x:c r="I245" s="21" t="n">
        <x:f>F245*G245*H245</x:f>
        <x:v>637.41168</x:v>
      </x:c>
      <x:c r="J245" s="2" t="str">
        <x:v>2 layers x 20 bars, split around 6 m opening</x:v>
      </x:c>
      <x:c r="K245" s="2"/>
      <x:c r="L245" s="2"/>
      <x:c r="M245" s="2"/>
      <x:c r="N245" s="2"/>
      <x:c r="O245" s="2"/>
      <x:c r="P245" s="2"/>
      <x:c r="Q245" s="2"/>
    </x:row>
    <x:row r="246" ht="22" customHeight="1">
      <x:c r="A246" s="7" t="str">
        <x:v>T2-L05-S5</x:v>
      </x:c>
      <x:c r="B246" s="7" t="str">
        <x:v>T2</x:v>
      </x:c>
      <x:c r="C246" s="7" t="str">
        <x:v>L05</x:v>
      </x:c>
      <x:c r="D246" s="7" t="str">
        <x:v>Opening trim bars</x:v>
      </x:c>
      <x:c r="E246" s="20" t="n">
        <x:v>16</x:v>
      </x:c>
      <x:c r="F246" s="20" t="n">
        <x:v>16</x:v>
      </x:c>
      <x:c r="G246" s="20" t="n">
        <x:v>7.2</x:v>
      </x:c>
      <x:c r="H246" s="20" t="n">
        <x:f>E246^2*'Controls'!$B$52</x:f>
        <x:v>1.57824</x:v>
      </x:c>
      <x:c r="I246" s="20" t="n">
        <x:f>F246*G246*H246</x:f>
        <x:v>181.81324800000002</x:v>
      </x:c>
      <x:c r="J246" s="7" t="str">
        <x:v>Trim allowance, explicit scheduled lengths</x:v>
      </x:c>
      <x:c r="K246" s="2"/>
      <x:c r="L246" s="2"/>
      <x:c r="M246" s="2"/>
      <x:c r="N246" s="2"/>
      <x:c r="O246" s="2"/>
      <x:c r="P246" s="2"/>
      <x:c r="Q246" s="2"/>
    </x:row>
    <x:row r="247" ht="22" customHeight="1">
      <x:c r="A247" s="2" t="str">
        <x:v>T2-L05-BX</x:v>
      </x:c>
      <x:c r="B247" s="2" t="str">
        <x:v>T2</x:v>
      </x:c>
      <x:c r="C247" s="2" t="str">
        <x:v>L05</x:v>
      </x:c>
      <x:c r="D247" s="2" t="str">
        <x:v>X beam longitudinal</x:v>
      </x:c>
      <x:c r="E247" s="21" t="n">
        <x:v>20</x:v>
      </x:c>
      <x:c r="F247" s="21" t="n">
        <x:v>150</x:v>
      </x:c>
      <x:c r="G247" s="21" t="n">
        <x:v>6.5</x:v>
      </x:c>
      <x:c r="H247" s="21" t="n">
        <x:f>E247^2*'Controls'!$B$52</x:f>
        <x:v>2.466</x:v>
      </x:c>
      <x:c r="I247" s="21" t="n">
        <x:f>F247*G247*H247</x:f>
        <x:v>2404.3500000000004</x:v>
      </x:c>
      <x:c r="J247" s="2" t="str">
        <x:v>25 spans x 6 bars incl. 1 m lap/anchorage provision</x:v>
      </x:c>
      <x:c r="K247" s="2"/>
      <x:c r="L247" s="2"/>
      <x:c r="M247" s="2"/>
      <x:c r="N247" s="2"/>
      <x:c r="O247" s="2"/>
      <x:c r="P247" s="2"/>
      <x:c r="Q247" s="2"/>
    </x:row>
    <x:row r="248" ht="22" customHeight="1">
      <x:c r="A248" s="7" t="str">
        <x:v>T2-L05-BY</x:v>
      </x:c>
      <x:c r="B248" s="7" t="str">
        <x:v>T2</x:v>
      </x:c>
      <x:c r="C248" s="7" t="str">
        <x:v>L05</x:v>
      </x:c>
      <x:c r="D248" s="7" t="str">
        <x:v>Y beam longitudinal</x:v>
      </x:c>
      <x:c r="E248" s="20" t="n">
        <x:v>20</x:v>
      </x:c>
      <x:c r="F248" s="20" t="n">
        <x:v>144</x:v>
      </x:c>
      <x:c r="G248" s="20" t="n">
        <x:v>6.5</x:v>
      </x:c>
      <x:c r="H248" s="20" t="n">
        <x:f>E248^2*'Controls'!$B$52</x:f>
        <x:v>2.466</x:v>
      </x:c>
      <x:c r="I248" s="20" t="n">
        <x:f>F248*G248*H248</x:f>
        <x:v>2308.1760000000004</x:v>
      </x:c>
      <x:c r="J248" s="7" t="str">
        <x:v>24 spans x 6 bars</x:v>
      </x:c>
      <x:c r="K248" s="2"/>
      <x:c r="L248" s="2"/>
      <x:c r="M248" s="2"/>
      <x:c r="N248" s="2"/>
      <x:c r="O248" s="2"/>
      <x:c r="P248" s="2"/>
      <x:c r="Q248" s="2"/>
    </x:row>
    <x:row r="249" ht="22" customHeight="1">
      <x:c r="A249" s="2" t="str">
        <x:v>T2-L05-BT</x:v>
      </x:c>
      <x:c r="B249" s="2" t="str">
        <x:v>T2</x:v>
      </x:c>
      <x:c r="C249" s="2" t="str">
        <x:v>L05</x:v>
      </x:c>
      <x:c r="D249" s="2" t="str">
        <x:v>Beam closed links</x:v>
      </x:c>
      <x:c r="E249" s="21" t="n">
        <x:v>10</x:v>
      </x:c>
      <x:c r="F249" s="21" t="n">
        <x:v>1421</x:v>
      </x:c>
      <x:c r="G249" s="21" t="n">
        <x:v>1.7</x:v>
      </x:c>
      <x:c r="H249" s="21" t="n">
        <x:f>E249^2*'Controls'!$B$52</x:f>
        <x:v>0.6165</x:v>
      </x:c>
      <x:c r="I249" s="21" t="n">
        <x:f>F249*G249*H249</x:f>
        <x:v>1489.27905</x:v>
      </x:c>
      <x:c r="J249" s="2" t="str">
        <x:v>49 beams x 29 links, 200 mm nominal</x:v>
      </x:c>
      <x:c r="K249" s="2"/>
      <x:c r="L249" s="2"/>
      <x:c r="M249" s="2"/>
      <x:c r="N249" s="2"/>
      <x:c r="O249" s="2"/>
      <x:c r="P249" s="2"/>
      <x:c r="Q249" s="2"/>
    </x:row>
    <x:row r="250" ht="22" customHeight="1">
      <x:c r="A250" s="7" t="str">
        <x:v>T2-L05-CL</x:v>
      </x:c>
      <x:c r="B250" s="7" t="str">
        <x:v>T2</x:v>
      </x:c>
      <x:c r="C250" s="7" t="str">
        <x:v>L05</x:v>
      </x:c>
      <x:c r="D250" s="7" t="str">
        <x:v>Column longitudinal</x:v>
      </x:c>
      <x:c r="E250" s="20" t="n">
        <x:v>25</x:v>
      </x:c>
      <x:c r="F250" s="20" t="n">
        <x:v>360</x:v>
      </x:c>
      <x:c r="G250" s="20" t="n">
        <x:v>3.9</x:v>
      </x:c>
      <x:c r="H250" s="20" t="n">
        <x:f>E250^2*'Controls'!$B$52</x:f>
        <x:v>3.8531250000000004</x:v>
      </x:c>
      <x:c r="I250" s="20" t="n">
        <x:f>F250*G250*H250</x:f>
        <x:v>5409.7875</x:v>
      </x:c>
      <x:c r="J250" s="7" t="str">
        <x:v>30 columns x 12 bars incl. lap</x:v>
      </x:c>
      <x:c r="K250" s="2"/>
      <x:c r="L250" s="2"/>
      <x:c r="M250" s="2"/>
      <x:c r="N250" s="2"/>
      <x:c r="O250" s="2"/>
      <x:c r="P250" s="2"/>
      <x:c r="Q250" s="2"/>
    </x:row>
    <x:row r="251" ht="22" customHeight="1">
      <x:c r="A251" s="2" t="str">
        <x:v>T2-L05-CT</x:v>
      </x:c>
      <x:c r="B251" s="2" t="str">
        <x:v>T2</x:v>
      </x:c>
      <x:c r="C251" s="2" t="str">
        <x:v>L05</x:v>
      </x:c>
      <x:c r="D251" s="2" t="str">
        <x:v>Column ties</x:v>
      </x:c>
      <x:c r="E251" s="21" t="n">
        <x:v>10</x:v>
      </x:c>
      <x:c r="F251" s="21" t="n">
        <x:v>510</x:v>
      </x:c>
      <x:c r="G251" s="21" t="n">
        <x:v>1.96</x:v>
      </x:c>
      <x:c r="H251" s="21" t="n">
        <x:f>E251^2*'Controls'!$B$52</x:f>
        <x:v>0.6165</x:v>
      </x:c>
      <x:c r="I251" s="21" t="n">
        <x:f>F251*G251*H251</x:f>
        <x:v>616.2534</x:v>
      </x:c>
      <x:c r="J251" s="2" t="str">
        <x:v>30 columns x 17 ties, cover and hooks included</x:v>
      </x:c>
      <x:c r="K251" s="2"/>
      <x:c r="L251" s="2"/>
      <x:c r="M251" s="2"/>
      <x:c r="N251" s="2"/>
      <x:c r="O251" s="2"/>
      <x:c r="P251" s="2"/>
      <x:c r="Q251" s="2"/>
    </x:row>
    <x:row r="252" ht="22" customHeight="1">
      <x:c r="A252" s="7" t="str">
        <x:v>T2-L05-CV</x:v>
      </x:c>
      <x:c r="B252" s="7" t="str">
        <x:v>T2</x:v>
      </x:c>
      <x:c r="C252" s="7" t="str">
        <x:v>L05</x:v>
      </x:c>
      <x:c r="D252" s="7" t="str">
        <x:v>Core vertical bars</x:v>
      </x:c>
      <x:c r="E252" s="20" t="n">
        <x:v>16</x:v>
      </x:c>
      <x:c r="F252" s="20" t="n">
        <x:v>244</x:v>
      </x:c>
      <x:c r="G252" s="20" t="n">
        <x:v>3.9</x:v>
      </x:c>
      <x:c r="H252" s="20" t="n">
        <x:f>E252^2*'Controls'!$B$52</x:f>
        <x:v>1.57824</x:v>
      </x:c>
      <x:c r="I252" s="20" t="n">
        <x:f>F252*G252*H252</x:f>
        <x:v>1501.853184</x:v>
      </x:c>
      <x:c r="J252" s="7" t="str">
        <x:v>Two faces, 200 mm nominal along 24 m net length</x:v>
      </x:c>
      <x:c r="K252" s="2"/>
      <x:c r="L252" s="2"/>
      <x:c r="M252" s="2"/>
      <x:c r="N252" s="2"/>
      <x:c r="O252" s="2"/>
      <x:c r="P252" s="2"/>
      <x:c r="Q252" s="2"/>
    </x:row>
    <x:row r="253" ht="22" customHeight="1">
      <x:c r="A253" s="2" t="str">
        <x:v>T2-L05-CH</x:v>
      </x:c>
      <x:c r="B253" s="2" t="str">
        <x:v>T2</x:v>
      </x:c>
      <x:c r="C253" s="2" t="str">
        <x:v>L05</x:v>
      </x:c>
      <x:c r="D253" s="2" t="str">
        <x:v>Core horizontal bars</x:v>
      </x:c>
      <x:c r="E253" s="21" t="n">
        <x:v>12</x:v>
      </x:c>
      <x:c r="F253" s="21" t="n">
        <x:v>32</x:v>
      </x:c>
      <x:c r="G253" s="21" t="n">
        <x:v>25</x:v>
      </x:c>
      <x:c r="H253" s="21" t="n">
        <x:f>E253^2*'Controls'!$B$52</x:f>
        <x:v>0.8877600000000001</x:v>
      </x:c>
      <x:c r="I253" s="21" t="n">
        <x:f>F253*G253*H253</x:f>
        <x:v>710.2080000000001</x:v>
      </x:c>
      <x:c r="J253" s="2" t="str">
        <x:v>Two faces x 16 layers incl. lap</x:v>
      </x:c>
      <x:c r="K253" s="2"/>
      <x:c r="L253" s="2"/>
      <x:c r="M253" s="2"/>
      <x:c r="N253" s="2"/>
      <x:c r="O253" s="2"/>
      <x:c r="P253" s="2"/>
      <x:c r="Q253" s="2"/>
    </x:row>
    <x:row r="254" ht="22" customHeight="1">
      <x:c r="A254" s="7" t="str">
        <x:v>T2-L05-ST</x:v>
      </x:c>
      <x:c r="B254" s="7" t="str">
        <x:v>T2</x:v>
      </x:c>
      <x:c r="C254" s="7" t="str">
        <x:v>L05</x:v>
      </x:c>
      <x:c r="D254" s="7" t="str">
        <x:v>Stair flights and landings</x:v>
      </x:c>
      <x:c r="E254" s="20" t="n">
        <x:v>12</x:v>
      </x:c>
      <x:c r="F254" s="20" t="n">
        <x:v>80</x:v>
      </x:c>
      <x:c r="G254" s="20" t="n">
        <x:v>4.8</x:v>
      </x:c>
      <x:c r="H254" s="20" t="n">
        <x:f>E254^2*'Controls'!$B$52</x:f>
        <x:v>0.8877600000000001</x:v>
      </x:c>
      <x:c r="I254" s="20" t="n">
        <x:f>F254*G254*H254</x:f>
        <x:v>340.89984000000004</x:v>
      </x:c>
      <x:c r="J254" s="7" t="str">
        <x:v>Separate stair reinforcement allowance</x:v>
      </x:c>
      <x:c r="K254" s="2"/>
      <x:c r="L254" s="2"/>
      <x:c r="M254" s="2"/>
      <x:c r="N254" s="2"/>
      <x:c r="O254" s="2"/>
      <x:c r="P254" s="2"/>
      <x:c r="Q254" s="2"/>
    </x:row>
    <x:row r="255" ht="22" customHeight="1">
      <x:c r="A255" s="2" t="str">
        <x:v>T2-L06-S1</x:v>
      </x:c>
      <x:c r="B255" s="2" t="str">
        <x:v>T2</x:v>
      </x:c>
      <x:c r="C255" s="2" t="str">
        <x:v>L06</x:v>
      </x:c>
      <x:c r="D255" s="2" t="str">
        <x:v>Slab X through strips</x:v>
      </x:c>
      <x:c r="E255" s="21" t="n">
        <x:v>12</x:v>
      </x:c>
      <x:c r="F255" s="21" t="n">
        <x:v>182</x:v>
      </x:c>
      <x:c r="G255" s="21" t="n">
        <x:v>29.95</x:v>
      </x:c>
      <x:c r="H255" s="21" t="n">
        <x:f>E255^2*'Controls'!$B$52</x:f>
        <x:v>0.8877600000000001</x:v>
      </x:c>
      <x:c r="I255" s="21" t="n">
        <x:f>F255*G255*H255</x:f>
        <x:v>4839.090984</x:v>
      </x:c>
      <x:c r="J255" s="2" t="str">
        <x:v>2 layers x 91 bars outside central opening band</x:v>
      </x:c>
      <x:c r="K255" s="2"/>
      <x:c r="L255" s="2"/>
      <x:c r="M255" s="2"/>
      <x:c r="N255" s="2"/>
      <x:c r="O255" s="2"/>
      <x:c r="P255" s="2"/>
      <x:c r="Q255" s="2"/>
    </x:row>
    <x:row r="256" ht="22" customHeight="1">
      <x:c r="A256" s="7" t="str">
        <x:v>T2-L06-S2</x:v>
      </x:c>
      <x:c r="B256" s="7" t="str">
        <x:v>T2</x:v>
      </x:c>
      <x:c r="C256" s="7" t="str">
        <x:v>L06</x:v>
      </x:c>
      <x:c r="D256" s="7" t="str">
        <x:v>Slab X split at core</x:v>
      </x:c>
      <x:c r="E256" s="20" t="n">
        <x:v>12</x:v>
      </x:c>
      <x:c r="F256" s="20" t="n">
        <x:v>60</x:v>
      </x:c>
      <x:c r="G256" s="20" t="n">
        <x:v>25.95</x:v>
      </x:c>
      <x:c r="H256" s="20" t="n">
        <x:f>E256^2*'Controls'!$B$52</x:f>
        <x:v>0.8877600000000001</x:v>
      </x:c>
      <x:c r="I256" s="20" t="n">
        <x:f>F256*G256*H256</x:f>
        <x:v>1382.24232</x:v>
      </x:c>
      <x:c r="J256" s="7" t="str">
        <x:v>2 layers x 30 bars, split lengths combined around 4 m opening</x:v>
      </x:c>
      <x:c r="K256" s="2"/>
      <x:c r="L256" s="2"/>
      <x:c r="M256" s="2"/>
      <x:c r="N256" s="2"/>
      <x:c r="O256" s="2"/>
      <x:c r="P256" s="2"/>
      <x:c r="Q256" s="2"/>
    </x:row>
    <x:row r="257" ht="22" customHeight="1">
      <x:c r="A257" s="2" t="str">
        <x:v>T2-L06-S3</x:v>
      </x:c>
      <x:c r="B257" s="2" t="str">
        <x:v>T2</x:v>
      </x:c>
      <x:c r="C257" s="2" t="str">
        <x:v>L06</x:v>
      </x:c>
      <x:c r="D257" s="2" t="str">
        <x:v>Slab Y through strips</x:v>
      </x:c>
      <x:c r="E257" s="21" t="n">
        <x:v>12</x:v>
      </x:c>
      <x:c r="F257" s="21" t="n">
        <x:v>262</x:v>
      </x:c>
      <x:c r="G257" s="21" t="n">
        <x:v>23.95</x:v>
      </x:c>
      <x:c r="H257" s="21" t="n">
        <x:f>E257^2*'Controls'!$B$52</x:f>
        <x:v>0.8877600000000001</x:v>
      </x:c>
      <x:c r="I257" s="21" t="n">
        <x:f>F257*G257*H257</x:f>
        <x:v>5570.605224</x:v>
      </x:c>
      <x:c r="J257" s="2" t="str">
        <x:v>2 layers x 131 bars outside central opening band</x:v>
      </x:c>
      <x:c r="K257" s="2"/>
      <x:c r="L257" s="2"/>
      <x:c r="M257" s="2"/>
      <x:c r="N257" s="2"/>
      <x:c r="O257" s="2"/>
      <x:c r="P257" s="2"/>
      <x:c r="Q257" s="2"/>
    </x:row>
    <x:row r="258" ht="22" customHeight="1">
      <x:c r="A258" s="7" t="str">
        <x:v>T2-L06-S4</x:v>
      </x:c>
      <x:c r="B258" s="7" t="str">
        <x:v>T2</x:v>
      </x:c>
      <x:c r="C258" s="7" t="str">
        <x:v>L06</x:v>
      </x:c>
      <x:c r="D258" s="7" t="str">
        <x:v>Slab Y split at core</x:v>
      </x:c>
      <x:c r="E258" s="20" t="n">
        <x:v>12</x:v>
      </x:c>
      <x:c r="F258" s="20" t="n">
        <x:v>40</x:v>
      </x:c>
      <x:c r="G258" s="20" t="n">
        <x:v>17.95</x:v>
      </x:c>
      <x:c r="H258" s="20" t="n">
        <x:f>E258^2*'Controls'!$B$52</x:f>
        <x:v>0.8877600000000001</x:v>
      </x:c>
      <x:c r="I258" s="20" t="n">
        <x:f>F258*G258*H258</x:f>
        <x:v>637.41168</x:v>
      </x:c>
      <x:c r="J258" s="7" t="str">
        <x:v>2 layers x 20 bars, split around 6 m opening</x:v>
      </x:c>
      <x:c r="K258" s="2"/>
      <x:c r="L258" s="2"/>
      <x:c r="M258" s="2"/>
      <x:c r="N258" s="2"/>
      <x:c r="O258" s="2"/>
      <x:c r="P258" s="2"/>
      <x:c r="Q258" s="2"/>
    </x:row>
    <x:row r="259" ht="22" customHeight="1">
      <x:c r="A259" s="2" t="str">
        <x:v>T2-L06-S5</x:v>
      </x:c>
      <x:c r="B259" s="2" t="str">
        <x:v>T2</x:v>
      </x:c>
      <x:c r="C259" s="2" t="str">
        <x:v>L06</x:v>
      </x:c>
      <x:c r="D259" s="2" t="str">
        <x:v>Opening trim bars</x:v>
      </x:c>
      <x:c r="E259" s="21" t="n">
        <x:v>16</x:v>
      </x:c>
      <x:c r="F259" s="21" t="n">
        <x:v>16</x:v>
      </x:c>
      <x:c r="G259" s="21" t="n">
        <x:v>7.2</x:v>
      </x:c>
      <x:c r="H259" s="21" t="n">
        <x:f>E259^2*'Controls'!$B$52</x:f>
        <x:v>1.57824</x:v>
      </x:c>
      <x:c r="I259" s="21" t="n">
        <x:f>F259*G259*H259</x:f>
        <x:v>181.81324800000002</x:v>
      </x:c>
      <x:c r="J259" s="2" t="str">
        <x:v>Trim allowance, explicit scheduled lengths</x:v>
      </x:c>
      <x:c r="K259" s="2"/>
      <x:c r="L259" s="2"/>
      <x:c r="M259" s="2"/>
      <x:c r="N259" s="2"/>
      <x:c r="O259" s="2"/>
      <x:c r="P259" s="2"/>
      <x:c r="Q259" s="2"/>
    </x:row>
    <x:row r="260" ht="22" customHeight="1">
      <x:c r="A260" s="7" t="str">
        <x:v>T2-L06-BX</x:v>
      </x:c>
      <x:c r="B260" s="7" t="str">
        <x:v>T2</x:v>
      </x:c>
      <x:c r="C260" s="7" t="str">
        <x:v>L06</x:v>
      </x:c>
      <x:c r="D260" s="7" t="str">
        <x:v>X beam longitudinal</x:v>
      </x:c>
      <x:c r="E260" s="20" t="n">
        <x:v>20</x:v>
      </x:c>
      <x:c r="F260" s="20" t="n">
        <x:v>150</x:v>
      </x:c>
      <x:c r="G260" s="20" t="n">
        <x:v>6.5</x:v>
      </x:c>
      <x:c r="H260" s="20" t="n">
        <x:f>E260^2*'Controls'!$B$52</x:f>
        <x:v>2.466</x:v>
      </x:c>
      <x:c r="I260" s="20" t="n">
        <x:f>F260*G260*H260</x:f>
        <x:v>2404.3500000000004</x:v>
      </x:c>
      <x:c r="J260" s="7" t="str">
        <x:v>25 spans x 6 bars incl. 1 m lap/anchorage provision</x:v>
      </x:c>
      <x:c r="K260" s="2"/>
      <x:c r="L260" s="2"/>
      <x:c r="M260" s="2"/>
      <x:c r="N260" s="2"/>
      <x:c r="O260" s="2"/>
      <x:c r="P260" s="2"/>
      <x:c r="Q260" s="2"/>
    </x:row>
    <x:row r="261" ht="22" customHeight="1">
      <x:c r="A261" s="2" t="str">
        <x:v>T2-L06-BY</x:v>
      </x:c>
      <x:c r="B261" s="2" t="str">
        <x:v>T2</x:v>
      </x:c>
      <x:c r="C261" s="2" t="str">
        <x:v>L06</x:v>
      </x:c>
      <x:c r="D261" s="2" t="str">
        <x:v>Y beam longitudinal</x:v>
      </x:c>
      <x:c r="E261" s="21" t="n">
        <x:v>20</x:v>
      </x:c>
      <x:c r="F261" s="21" t="n">
        <x:v>144</x:v>
      </x:c>
      <x:c r="G261" s="21" t="n">
        <x:v>6.5</x:v>
      </x:c>
      <x:c r="H261" s="21" t="n">
        <x:f>E261^2*'Controls'!$B$52</x:f>
        <x:v>2.466</x:v>
      </x:c>
      <x:c r="I261" s="21" t="n">
        <x:f>F261*G261*H261</x:f>
        <x:v>2308.1760000000004</x:v>
      </x:c>
      <x:c r="J261" s="2" t="str">
        <x:v>24 spans x 6 bars</x:v>
      </x:c>
      <x:c r="K261" s="2"/>
      <x:c r="L261" s="2"/>
      <x:c r="M261" s="2"/>
      <x:c r="N261" s="2"/>
      <x:c r="O261" s="2"/>
      <x:c r="P261" s="2"/>
      <x:c r="Q261" s="2"/>
    </x:row>
    <x:row r="262" ht="22" customHeight="1">
      <x:c r="A262" s="7" t="str">
        <x:v>T2-L06-BT</x:v>
      </x:c>
      <x:c r="B262" s="7" t="str">
        <x:v>T2</x:v>
      </x:c>
      <x:c r="C262" s="7" t="str">
        <x:v>L06</x:v>
      </x:c>
      <x:c r="D262" s="7" t="str">
        <x:v>Beam closed links</x:v>
      </x:c>
      <x:c r="E262" s="20" t="n">
        <x:v>10</x:v>
      </x:c>
      <x:c r="F262" s="20" t="n">
        <x:v>1421</x:v>
      </x:c>
      <x:c r="G262" s="20" t="n">
        <x:v>1.7</x:v>
      </x:c>
      <x:c r="H262" s="20" t="n">
        <x:f>E262^2*'Controls'!$B$52</x:f>
        <x:v>0.6165</x:v>
      </x:c>
      <x:c r="I262" s="20" t="n">
        <x:f>F262*G262*H262</x:f>
        <x:v>1489.27905</x:v>
      </x:c>
      <x:c r="J262" s="7" t="str">
        <x:v>49 beams x 29 links, 200 mm nominal</x:v>
      </x:c>
      <x:c r="K262" s="2"/>
      <x:c r="L262" s="2"/>
      <x:c r="M262" s="2"/>
      <x:c r="N262" s="2"/>
      <x:c r="O262" s="2"/>
      <x:c r="P262" s="2"/>
      <x:c r="Q262" s="2"/>
    </x:row>
    <x:row r="263" ht="22" customHeight="1">
      <x:c r="A263" s="2" t="str">
        <x:v>T2-L06-CL</x:v>
      </x:c>
      <x:c r="B263" s="2" t="str">
        <x:v>T2</x:v>
      </x:c>
      <x:c r="C263" s="2" t="str">
        <x:v>L06</x:v>
      </x:c>
      <x:c r="D263" s="2" t="str">
        <x:v>Column longitudinal</x:v>
      </x:c>
      <x:c r="E263" s="21" t="n">
        <x:v>25</x:v>
      </x:c>
      <x:c r="F263" s="21" t="n">
        <x:v>360</x:v>
      </x:c>
      <x:c r="G263" s="21" t="n">
        <x:v>3.9</x:v>
      </x:c>
      <x:c r="H263" s="21" t="n">
        <x:f>E263^2*'Controls'!$B$52</x:f>
        <x:v>3.8531250000000004</x:v>
      </x:c>
      <x:c r="I263" s="21" t="n">
        <x:f>F263*G263*H263</x:f>
        <x:v>5409.7875</x:v>
      </x:c>
      <x:c r="J263" s="2" t="str">
        <x:v>30 columns x 12 bars incl. lap</x:v>
      </x:c>
      <x:c r="K263" s="2"/>
      <x:c r="L263" s="2"/>
      <x:c r="M263" s="2"/>
      <x:c r="N263" s="2"/>
      <x:c r="O263" s="2"/>
      <x:c r="P263" s="2"/>
      <x:c r="Q263" s="2"/>
    </x:row>
    <x:row r="264" ht="22" customHeight="1">
      <x:c r="A264" s="7" t="str">
        <x:v>T2-L06-CT</x:v>
      </x:c>
      <x:c r="B264" s="7" t="str">
        <x:v>T2</x:v>
      </x:c>
      <x:c r="C264" s="7" t="str">
        <x:v>L06</x:v>
      </x:c>
      <x:c r="D264" s="7" t="str">
        <x:v>Column ties</x:v>
      </x:c>
      <x:c r="E264" s="20" t="n">
        <x:v>10</x:v>
      </x:c>
      <x:c r="F264" s="20" t="n">
        <x:v>510</x:v>
      </x:c>
      <x:c r="G264" s="20" t="n">
        <x:v>1.96</x:v>
      </x:c>
      <x:c r="H264" s="20" t="n">
        <x:f>E264^2*'Controls'!$B$52</x:f>
        <x:v>0.6165</x:v>
      </x:c>
      <x:c r="I264" s="20" t="n">
        <x:f>F264*G264*H264</x:f>
        <x:v>616.2534</x:v>
      </x:c>
      <x:c r="J264" s="7" t="str">
        <x:v>30 columns x 17 ties, cover and hooks included</x:v>
      </x:c>
      <x:c r="K264" s="2"/>
      <x:c r="L264" s="2"/>
      <x:c r="M264" s="2"/>
      <x:c r="N264" s="2"/>
      <x:c r="O264" s="2"/>
      <x:c r="P264" s="2"/>
      <x:c r="Q264" s="2"/>
    </x:row>
    <x:row r="265" ht="22" customHeight="1">
      <x:c r="A265" s="2" t="str">
        <x:v>T2-L06-CV</x:v>
      </x:c>
      <x:c r="B265" s="2" t="str">
        <x:v>T2</x:v>
      </x:c>
      <x:c r="C265" s="2" t="str">
        <x:v>L06</x:v>
      </x:c>
      <x:c r="D265" s="2" t="str">
        <x:v>Core vertical bars</x:v>
      </x:c>
      <x:c r="E265" s="21" t="n">
        <x:v>16</x:v>
      </x:c>
      <x:c r="F265" s="21" t="n">
        <x:v>244</x:v>
      </x:c>
      <x:c r="G265" s="21" t="n">
        <x:v>3.9</x:v>
      </x:c>
      <x:c r="H265" s="21" t="n">
        <x:f>E265^2*'Controls'!$B$52</x:f>
        <x:v>1.57824</x:v>
      </x:c>
      <x:c r="I265" s="21" t="n">
        <x:f>F265*G265*H265</x:f>
        <x:v>1501.853184</x:v>
      </x:c>
      <x:c r="J265" s="2" t="str">
        <x:v>Two faces, 200 mm nominal along 24 m net length</x:v>
      </x:c>
      <x:c r="K265" s="2"/>
      <x:c r="L265" s="2"/>
      <x:c r="M265" s="2"/>
      <x:c r="N265" s="2"/>
      <x:c r="O265" s="2"/>
      <x:c r="P265" s="2"/>
      <x:c r="Q265" s="2"/>
    </x:row>
    <x:row r="266" ht="22" customHeight="1">
      <x:c r="A266" s="7" t="str">
        <x:v>T2-L06-CH</x:v>
      </x:c>
      <x:c r="B266" s="7" t="str">
        <x:v>T2</x:v>
      </x:c>
      <x:c r="C266" s="7" t="str">
        <x:v>L06</x:v>
      </x:c>
      <x:c r="D266" s="7" t="str">
        <x:v>Core horizontal bars</x:v>
      </x:c>
      <x:c r="E266" s="20" t="n">
        <x:v>12</x:v>
      </x:c>
      <x:c r="F266" s="20" t="n">
        <x:v>32</x:v>
      </x:c>
      <x:c r="G266" s="20" t="n">
        <x:v>25</x:v>
      </x:c>
      <x:c r="H266" s="20" t="n">
        <x:f>E266^2*'Controls'!$B$52</x:f>
        <x:v>0.8877600000000001</x:v>
      </x:c>
      <x:c r="I266" s="20" t="n">
        <x:f>F266*G266*H266</x:f>
        <x:v>710.2080000000001</x:v>
      </x:c>
      <x:c r="J266" s="7" t="str">
        <x:v>Two faces x 16 layers incl. lap</x:v>
      </x:c>
      <x:c r="K266" s="2"/>
      <x:c r="L266" s="2"/>
      <x:c r="M266" s="2"/>
      <x:c r="N266" s="2"/>
      <x:c r="O266" s="2"/>
      <x:c r="P266" s="2"/>
      <x:c r="Q266" s="2"/>
    </x:row>
    <x:row r="267" ht="22" customHeight="1">
      <x:c r="A267" s="2" t="str">
        <x:v>T2-L06-ST</x:v>
      </x:c>
      <x:c r="B267" s="2" t="str">
        <x:v>T2</x:v>
      </x:c>
      <x:c r="C267" s="2" t="str">
        <x:v>L06</x:v>
      </x:c>
      <x:c r="D267" s="2" t="str">
        <x:v>Stair flights and landings</x:v>
      </x:c>
      <x:c r="E267" s="21" t="n">
        <x:v>12</x:v>
      </x:c>
      <x:c r="F267" s="21" t="n">
        <x:v>80</x:v>
      </x:c>
      <x:c r="G267" s="21" t="n">
        <x:v>4.8</x:v>
      </x:c>
      <x:c r="H267" s="21" t="n">
        <x:f>E267^2*'Controls'!$B$52</x:f>
        <x:v>0.8877600000000001</x:v>
      </x:c>
      <x:c r="I267" s="21" t="n">
        <x:f>F267*G267*H267</x:f>
        <x:v>340.89984000000004</x:v>
      </x:c>
      <x:c r="J267" s="2" t="str">
        <x:v>Separate stair reinforcement allowance</x:v>
      </x:c>
      <x:c r="K267" s="2"/>
      <x:c r="L267" s="2"/>
      <x:c r="M267" s="2"/>
      <x:c r="N267" s="2"/>
      <x:c r="O267" s="2"/>
      <x:c r="P267" s="2"/>
      <x:c r="Q267" s="2"/>
    </x:row>
    <x:row r="268" ht="22" customHeight="1">
      <x:c r="A268" s="7" t="str">
        <x:v>T2-L07-S1</x:v>
      </x:c>
      <x:c r="B268" s="7" t="str">
        <x:v>T2</x:v>
      </x:c>
      <x:c r="C268" s="7" t="str">
        <x:v>L07</x:v>
      </x:c>
      <x:c r="D268" s="7" t="str">
        <x:v>Slab X through strips</x:v>
      </x:c>
      <x:c r="E268" s="20" t="n">
        <x:v>12</x:v>
      </x:c>
      <x:c r="F268" s="20" t="n">
        <x:v>182</x:v>
      </x:c>
      <x:c r="G268" s="20" t="n">
        <x:v>29.95</x:v>
      </x:c>
      <x:c r="H268" s="20" t="n">
        <x:f>E268^2*'Controls'!$B$52</x:f>
        <x:v>0.8877600000000001</x:v>
      </x:c>
      <x:c r="I268" s="20" t="n">
        <x:f>F268*G268*H268</x:f>
        <x:v>4839.090984</x:v>
      </x:c>
      <x:c r="J268" s="7" t="str">
        <x:v>2 layers x 91 bars outside central opening band</x:v>
      </x:c>
      <x:c r="K268" s="2"/>
      <x:c r="L268" s="2"/>
      <x:c r="M268" s="2"/>
      <x:c r="N268" s="2"/>
      <x:c r="O268" s="2"/>
      <x:c r="P268" s="2"/>
      <x:c r="Q268" s="2"/>
    </x:row>
    <x:row r="269" ht="22" customHeight="1">
      <x:c r="A269" s="2" t="str">
        <x:v>T2-L07-S2</x:v>
      </x:c>
      <x:c r="B269" s="2" t="str">
        <x:v>T2</x:v>
      </x:c>
      <x:c r="C269" s="2" t="str">
        <x:v>L07</x:v>
      </x:c>
      <x:c r="D269" s="2" t="str">
        <x:v>Slab X split at core</x:v>
      </x:c>
      <x:c r="E269" s="21" t="n">
        <x:v>12</x:v>
      </x:c>
      <x:c r="F269" s="21" t="n">
        <x:v>60</x:v>
      </x:c>
      <x:c r="G269" s="21" t="n">
        <x:v>25.95</x:v>
      </x:c>
      <x:c r="H269" s="21" t="n">
        <x:f>E269^2*'Controls'!$B$52</x:f>
        <x:v>0.8877600000000001</x:v>
      </x:c>
      <x:c r="I269" s="21" t="n">
        <x:f>F269*G269*H269</x:f>
        <x:v>1382.24232</x:v>
      </x:c>
      <x:c r="J269" s="2" t="str">
        <x:v>2 layers x 30 bars, split lengths combined around 4 m opening</x:v>
      </x:c>
      <x:c r="K269" s="2"/>
      <x:c r="L269" s="2"/>
      <x:c r="M269" s="2"/>
      <x:c r="N269" s="2"/>
      <x:c r="O269" s="2"/>
      <x:c r="P269" s="2"/>
      <x:c r="Q269" s="2"/>
    </x:row>
    <x:row r="270" ht="22" customHeight="1">
      <x:c r="A270" s="7" t="str">
        <x:v>T2-L07-S3</x:v>
      </x:c>
      <x:c r="B270" s="7" t="str">
        <x:v>T2</x:v>
      </x:c>
      <x:c r="C270" s="7" t="str">
        <x:v>L07</x:v>
      </x:c>
      <x:c r="D270" s="7" t="str">
        <x:v>Slab Y through strips</x:v>
      </x:c>
      <x:c r="E270" s="20" t="n">
        <x:v>12</x:v>
      </x:c>
      <x:c r="F270" s="20" t="n">
        <x:v>262</x:v>
      </x:c>
      <x:c r="G270" s="20" t="n">
        <x:v>23.95</x:v>
      </x:c>
      <x:c r="H270" s="20" t="n">
        <x:f>E270^2*'Controls'!$B$52</x:f>
        <x:v>0.8877600000000001</x:v>
      </x:c>
      <x:c r="I270" s="20" t="n">
        <x:f>F270*G270*H270</x:f>
        <x:v>5570.605224</x:v>
      </x:c>
      <x:c r="J270" s="7" t="str">
        <x:v>2 layers x 131 bars outside central opening band</x:v>
      </x:c>
      <x:c r="K270" s="2"/>
      <x:c r="L270" s="2"/>
      <x:c r="M270" s="2"/>
      <x:c r="N270" s="2"/>
      <x:c r="O270" s="2"/>
      <x:c r="P270" s="2"/>
      <x:c r="Q270" s="2"/>
    </x:row>
    <x:row r="271" ht="22" customHeight="1">
      <x:c r="A271" s="2" t="str">
        <x:v>T2-L07-S4</x:v>
      </x:c>
      <x:c r="B271" s="2" t="str">
        <x:v>T2</x:v>
      </x:c>
      <x:c r="C271" s="2" t="str">
        <x:v>L07</x:v>
      </x:c>
      <x:c r="D271" s="2" t="str">
        <x:v>Slab Y split at core</x:v>
      </x:c>
      <x:c r="E271" s="21" t="n">
        <x:v>12</x:v>
      </x:c>
      <x:c r="F271" s="21" t="n">
        <x:v>40</x:v>
      </x:c>
      <x:c r="G271" s="21" t="n">
        <x:v>17.95</x:v>
      </x:c>
      <x:c r="H271" s="21" t="n">
        <x:f>E271^2*'Controls'!$B$52</x:f>
        <x:v>0.8877600000000001</x:v>
      </x:c>
      <x:c r="I271" s="21" t="n">
        <x:f>F271*G271*H271</x:f>
        <x:v>637.41168</x:v>
      </x:c>
      <x:c r="J271" s="2" t="str">
        <x:v>2 layers x 20 bars, split around 6 m opening</x:v>
      </x:c>
      <x:c r="K271" s="2"/>
      <x:c r="L271" s="2"/>
      <x:c r="M271" s="2"/>
      <x:c r="N271" s="2"/>
      <x:c r="O271" s="2"/>
      <x:c r="P271" s="2"/>
      <x:c r="Q271" s="2"/>
    </x:row>
    <x:row r="272" ht="22" customHeight="1">
      <x:c r="A272" s="7" t="str">
        <x:v>T2-L07-S5</x:v>
      </x:c>
      <x:c r="B272" s="7" t="str">
        <x:v>T2</x:v>
      </x:c>
      <x:c r="C272" s="7" t="str">
        <x:v>L07</x:v>
      </x:c>
      <x:c r="D272" s="7" t="str">
        <x:v>Opening trim bars</x:v>
      </x:c>
      <x:c r="E272" s="20" t="n">
        <x:v>16</x:v>
      </x:c>
      <x:c r="F272" s="20" t="n">
        <x:v>16</x:v>
      </x:c>
      <x:c r="G272" s="20" t="n">
        <x:v>7.2</x:v>
      </x:c>
      <x:c r="H272" s="20" t="n">
        <x:f>E272^2*'Controls'!$B$52</x:f>
        <x:v>1.57824</x:v>
      </x:c>
      <x:c r="I272" s="20" t="n">
        <x:f>F272*G272*H272</x:f>
        <x:v>181.81324800000002</x:v>
      </x:c>
      <x:c r="J272" s="7" t="str">
        <x:v>Trim allowance, explicit scheduled lengths</x:v>
      </x:c>
      <x:c r="K272" s="2"/>
      <x:c r="L272" s="2"/>
      <x:c r="M272" s="2"/>
      <x:c r="N272" s="2"/>
      <x:c r="O272" s="2"/>
      <x:c r="P272" s="2"/>
      <x:c r="Q272" s="2"/>
    </x:row>
    <x:row r="273" ht="22" customHeight="1">
      <x:c r="A273" s="2" t="str">
        <x:v>T2-L07-BX</x:v>
      </x:c>
      <x:c r="B273" s="2" t="str">
        <x:v>T2</x:v>
      </x:c>
      <x:c r="C273" s="2" t="str">
        <x:v>L07</x:v>
      </x:c>
      <x:c r="D273" s="2" t="str">
        <x:v>X beam longitudinal</x:v>
      </x:c>
      <x:c r="E273" s="21" t="n">
        <x:v>20</x:v>
      </x:c>
      <x:c r="F273" s="21" t="n">
        <x:v>150</x:v>
      </x:c>
      <x:c r="G273" s="21" t="n">
        <x:v>6.5</x:v>
      </x:c>
      <x:c r="H273" s="21" t="n">
        <x:f>E273^2*'Controls'!$B$52</x:f>
        <x:v>2.466</x:v>
      </x:c>
      <x:c r="I273" s="21" t="n">
        <x:f>F273*G273*H273</x:f>
        <x:v>2404.3500000000004</x:v>
      </x:c>
      <x:c r="J273" s="2" t="str">
        <x:v>25 spans x 6 bars incl. 1 m lap/anchorage provision</x:v>
      </x:c>
      <x:c r="K273" s="2"/>
      <x:c r="L273" s="2"/>
      <x:c r="M273" s="2"/>
      <x:c r="N273" s="2"/>
      <x:c r="O273" s="2"/>
      <x:c r="P273" s="2"/>
      <x:c r="Q273" s="2"/>
    </x:row>
    <x:row r="274" ht="22" customHeight="1">
      <x:c r="A274" s="7" t="str">
        <x:v>T2-L07-BY</x:v>
      </x:c>
      <x:c r="B274" s="7" t="str">
        <x:v>T2</x:v>
      </x:c>
      <x:c r="C274" s="7" t="str">
        <x:v>L07</x:v>
      </x:c>
      <x:c r="D274" s="7" t="str">
        <x:v>Y beam longitudinal</x:v>
      </x:c>
      <x:c r="E274" s="20" t="n">
        <x:v>20</x:v>
      </x:c>
      <x:c r="F274" s="20" t="n">
        <x:v>144</x:v>
      </x:c>
      <x:c r="G274" s="20" t="n">
        <x:v>6.5</x:v>
      </x:c>
      <x:c r="H274" s="20" t="n">
        <x:f>E274^2*'Controls'!$B$52</x:f>
        <x:v>2.466</x:v>
      </x:c>
      <x:c r="I274" s="20" t="n">
        <x:f>F274*G274*H274</x:f>
        <x:v>2308.1760000000004</x:v>
      </x:c>
      <x:c r="J274" s="7" t="str">
        <x:v>24 spans x 6 bars</x:v>
      </x:c>
      <x:c r="K274" s="2"/>
      <x:c r="L274" s="2"/>
      <x:c r="M274" s="2"/>
      <x:c r="N274" s="2"/>
      <x:c r="O274" s="2"/>
      <x:c r="P274" s="2"/>
      <x:c r="Q274" s="2"/>
    </x:row>
    <x:row r="275" ht="22" customHeight="1">
      <x:c r="A275" s="2" t="str">
        <x:v>T2-L07-BT</x:v>
      </x:c>
      <x:c r="B275" s="2" t="str">
        <x:v>T2</x:v>
      </x:c>
      <x:c r="C275" s="2" t="str">
        <x:v>L07</x:v>
      </x:c>
      <x:c r="D275" s="2" t="str">
        <x:v>Beam closed links</x:v>
      </x:c>
      <x:c r="E275" s="21" t="n">
        <x:v>10</x:v>
      </x:c>
      <x:c r="F275" s="21" t="n">
        <x:v>1421</x:v>
      </x:c>
      <x:c r="G275" s="21" t="n">
        <x:v>1.7</x:v>
      </x:c>
      <x:c r="H275" s="21" t="n">
        <x:f>E275^2*'Controls'!$B$52</x:f>
        <x:v>0.6165</x:v>
      </x:c>
      <x:c r="I275" s="21" t="n">
        <x:f>F275*G275*H275</x:f>
        <x:v>1489.27905</x:v>
      </x:c>
      <x:c r="J275" s="2" t="str">
        <x:v>49 beams x 29 links, 200 mm nominal</x:v>
      </x:c>
      <x:c r="K275" s="2"/>
      <x:c r="L275" s="2"/>
      <x:c r="M275" s="2"/>
      <x:c r="N275" s="2"/>
      <x:c r="O275" s="2"/>
      <x:c r="P275" s="2"/>
      <x:c r="Q275" s="2"/>
    </x:row>
    <x:row r="276" ht="22" customHeight="1">
      <x:c r="A276" s="7" t="str">
        <x:v>T2-L07-CL</x:v>
      </x:c>
      <x:c r="B276" s="7" t="str">
        <x:v>T2</x:v>
      </x:c>
      <x:c r="C276" s="7" t="str">
        <x:v>L07</x:v>
      </x:c>
      <x:c r="D276" s="7" t="str">
        <x:v>Column longitudinal</x:v>
      </x:c>
      <x:c r="E276" s="20" t="n">
        <x:v>25</x:v>
      </x:c>
      <x:c r="F276" s="20" t="n">
        <x:v>360</x:v>
      </x:c>
      <x:c r="G276" s="20" t="n">
        <x:v>3.9</x:v>
      </x:c>
      <x:c r="H276" s="20" t="n">
        <x:f>E276^2*'Controls'!$B$52</x:f>
        <x:v>3.8531250000000004</x:v>
      </x:c>
      <x:c r="I276" s="20" t="n">
        <x:f>F276*G276*H276</x:f>
        <x:v>5409.7875</x:v>
      </x:c>
      <x:c r="J276" s="7" t="str">
        <x:v>30 columns x 12 bars incl. lap</x:v>
      </x:c>
      <x:c r="K276" s="2"/>
      <x:c r="L276" s="2"/>
      <x:c r="M276" s="2"/>
      <x:c r="N276" s="2"/>
      <x:c r="O276" s="2"/>
      <x:c r="P276" s="2"/>
      <x:c r="Q276" s="2"/>
    </x:row>
    <x:row r="277" ht="22" customHeight="1">
      <x:c r="A277" s="2" t="str">
        <x:v>T2-L07-CT</x:v>
      </x:c>
      <x:c r="B277" s="2" t="str">
        <x:v>T2</x:v>
      </x:c>
      <x:c r="C277" s="2" t="str">
        <x:v>L07</x:v>
      </x:c>
      <x:c r="D277" s="2" t="str">
        <x:v>Column ties</x:v>
      </x:c>
      <x:c r="E277" s="21" t="n">
        <x:v>10</x:v>
      </x:c>
      <x:c r="F277" s="21" t="n">
        <x:v>510</x:v>
      </x:c>
      <x:c r="G277" s="21" t="n">
        <x:v>1.96</x:v>
      </x:c>
      <x:c r="H277" s="21" t="n">
        <x:f>E277^2*'Controls'!$B$52</x:f>
        <x:v>0.6165</x:v>
      </x:c>
      <x:c r="I277" s="21" t="n">
        <x:f>F277*G277*H277</x:f>
        <x:v>616.2534</x:v>
      </x:c>
      <x:c r="J277" s="2" t="str">
        <x:v>30 columns x 17 ties, cover and hooks included</x:v>
      </x:c>
      <x:c r="K277" s="2"/>
      <x:c r="L277" s="2"/>
      <x:c r="M277" s="2"/>
      <x:c r="N277" s="2"/>
      <x:c r="O277" s="2"/>
      <x:c r="P277" s="2"/>
      <x:c r="Q277" s="2"/>
    </x:row>
    <x:row r="278" ht="22" customHeight="1">
      <x:c r="A278" s="7" t="str">
        <x:v>T2-L07-CV</x:v>
      </x:c>
      <x:c r="B278" s="7" t="str">
        <x:v>T2</x:v>
      </x:c>
      <x:c r="C278" s="7" t="str">
        <x:v>L07</x:v>
      </x:c>
      <x:c r="D278" s="7" t="str">
        <x:v>Core vertical bars</x:v>
      </x:c>
      <x:c r="E278" s="20" t="n">
        <x:v>16</x:v>
      </x:c>
      <x:c r="F278" s="20" t="n">
        <x:v>244</x:v>
      </x:c>
      <x:c r="G278" s="20" t="n">
        <x:v>3.9</x:v>
      </x:c>
      <x:c r="H278" s="20" t="n">
        <x:f>E278^2*'Controls'!$B$52</x:f>
        <x:v>1.57824</x:v>
      </x:c>
      <x:c r="I278" s="20" t="n">
        <x:f>F278*G278*H278</x:f>
        <x:v>1501.853184</x:v>
      </x:c>
      <x:c r="J278" s="7" t="str">
        <x:v>Two faces, 200 mm nominal along 24 m net length</x:v>
      </x:c>
      <x:c r="K278" s="2"/>
      <x:c r="L278" s="2"/>
      <x:c r="M278" s="2"/>
      <x:c r="N278" s="2"/>
      <x:c r="O278" s="2"/>
      <x:c r="P278" s="2"/>
      <x:c r="Q278" s="2"/>
    </x:row>
    <x:row r="279" ht="22" customHeight="1">
      <x:c r="A279" s="2" t="str">
        <x:v>T2-L07-CH</x:v>
      </x:c>
      <x:c r="B279" s="2" t="str">
        <x:v>T2</x:v>
      </x:c>
      <x:c r="C279" s="2" t="str">
        <x:v>L07</x:v>
      </x:c>
      <x:c r="D279" s="2" t="str">
        <x:v>Core horizontal bars</x:v>
      </x:c>
      <x:c r="E279" s="21" t="n">
        <x:v>12</x:v>
      </x:c>
      <x:c r="F279" s="21" t="n">
        <x:v>32</x:v>
      </x:c>
      <x:c r="G279" s="21" t="n">
        <x:v>25</x:v>
      </x:c>
      <x:c r="H279" s="21" t="n">
        <x:f>E279^2*'Controls'!$B$52</x:f>
        <x:v>0.8877600000000001</x:v>
      </x:c>
      <x:c r="I279" s="21" t="n">
        <x:f>F279*G279*H279</x:f>
        <x:v>710.2080000000001</x:v>
      </x:c>
      <x:c r="J279" s="2" t="str">
        <x:v>Two faces x 16 layers incl. lap</x:v>
      </x:c>
      <x:c r="K279" s="2"/>
      <x:c r="L279" s="2"/>
      <x:c r="M279" s="2"/>
      <x:c r="N279" s="2"/>
      <x:c r="O279" s="2"/>
      <x:c r="P279" s="2"/>
      <x:c r="Q279" s="2"/>
    </x:row>
    <x:row r="280" ht="22" customHeight="1">
      <x:c r="A280" s="7" t="str">
        <x:v>T2-L07-ST</x:v>
      </x:c>
      <x:c r="B280" s="7" t="str">
        <x:v>T2</x:v>
      </x:c>
      <x:c r="C280" s="7" t="str">
        <x:v>L07</x:v>
      </x:c>
      <x:c r="D280" s="7" t="str">
        <x:v>Stair flights and landings</x:v>
      </x:c>
      <x:c r="E280" s="20" t="n">
        <x:v>12</x:v>
      </x:c>
      <x:c r="F280" s="20" t="n">
        <x:v>80</x:v>
      </x:c>
      <x:c r="G280" s="20" t="n">
        <x:v>4.8</x:v>
      </x:c>
      <x:c r="H280" s="20" t="n">
        <x:f>E280^2*'Controls'!$B$52</x:f>
        <x:v>0.8877600000000001</x:v>
      </x:c>
      <x:c r="I280" s="20" t="n">
        <x:f>F280*G280*H280</x:f>
        <x:v>340.89984000000004</x:v>
      </x:c>
      <x:c r="J280" s="7" t="str">
        <x:v>Separate stair reinforcement allowance</x:v>
      </x:c>
      <x:c r="K280" s="2"/>
      <x:c r="L280" s="2"/>
      <x:c r="M280" s="2"/>
      <x:c r="N280" s="2"/>
      <x:c r="O280" s="2"/>
      <x:c r="P280" s="2"/>
      <x:c r="Q280" s="2"/>
    </x:row>
    <x:row r="281" ht="22" customHeight="1">
      <x:c r="A281" s="2" t="str">
        <x:v>T2-L08-S1</x:v>
      </x:c>
      <x:c r="B281" s="2" t="str">
        <x:v>T2</x:v>
      </x:c>
      <x:c r="C281" s="2" t="str">
        <x:v>L08</x:v>
      </x:c>
      <x:c r="D281" s="2" t="str">
        <x:v>Slab X through strips</x:v>
      </x:c>
      <x:c r="E281" s="21" t="n">
        <x:v>12</x:v>
      </x:c>
      <x:c r="F281" s="21" t="n">
        <x:v>182</x:v>
      </x:c>
      <x:c r="G281" s="21" t="n">
        <x:v>29.95</x:v>
      </x:c>
      <x:c r="H281" s="21" t="n">
        <x:f>E281^2*'Controls'!$B$52</x:f>
        <x:v>0.8877600000000001</x:v>
      </x:c>
      <x:c r="I281" s="21" t="n">
        <x:f>F281*G281*H281</x:f>
        <x:v>4839.090984</x:v>
      </x:c>
      <x:c r="J281" s="2" t="str">
        <x:v>2 layers x 91 bars outside central opening band</x:v>
      </x:c>
      <x:c r="K281" s="2"/>
      <x:c r="L281" s="2"/>
      <x:c r="M281" s="2"/>
      <x:c r="N281" s="2"/>
      <x:c r="O281" s="2"/>
      <x:c r="P281" s="2"/>
      <x:c r="Q281" s="2"/>
    </x:row>
    <x:row r="282" ht="22" customHeight="1">
      <x:c r="A282" s="7" t="str">
        <x:v>T2-L08-S2</x:v>
      </x:c>
      <x:c r="B282" s="7" t="str">
        <x:v>T2</x:v>
      </x:c>
      <x:c r="C282" s="7" t="str">
        <x:v>L08</x:v>
      </x:c>
      <x:c r="D282" s="7" t="str">
        <x:v>Slab X split at core</x:v>
      </x:c>
      <x:c r="E282" s="20" t="n">
        <x:v>12</x:v>
      </x:c>
      <x:c r="F282" s="20" t="n">
        <x:v>60</x:v>
      </x:c>
      <x:c r="G282" s="20" t="n">
        <x:v>25.95</x:v>
      </x:c>
      <x:c r="H282" s="20" t="n">
        <x:f>E282^2*'Controls'!$B$52</x:f>
        <x:v>0.8877600000000001</x:v>
      </x:c>
      <x:c r="I282" s="20" t="n">
        <x:f>F282*G282*H282</x:f>
        <x:v>1382.24232</x:v>
      </x:c>
      <x:c r="J282" s="7" t="str">
        <x:v>2 layers x 30 bars, split lengths combined around 4 m opening</x:v>
      </x:c>
      <x:c r="K282" s="2"/>
      <x:c r="L282" s="2"/>
      <x:c r="M282" s="2"/>
      <x:c r="N282" s="2"/>
      <x:c r="O282" s="2"/>
      <x:c r="P282" s="2"/>
      <x:c r="Q282" s="2"/>
    </x:row>
    <x:row r="283" ht="22" customHeight="1">
      <x:c r="A283" s="2" t="str">
        <x:v>T2-L08-S3</x:v>
      </x:c>
      <x:c r="B283" s="2" t="str">
        <x:v>T2</x:v>
      </x:c>
      <x:c r="C283" s="2" t="str">
        <x:v>L08</x:v>
      </x:c>
      <x:c r="D283" s="2" t="str">
        <x:v>Slab Y through strips</x:v>
      </x:c>
      <x:c r="E283" s="21" t="n">
        <x:v>12</x:v>
      </x:c>
      <x:c r="F283" s="21" t="n">
        <x:v>262</x:v>
      </x:c>
      <x:c r="G283" s="21" t="n">
        <x:v>23.95</x:v>
      </x:c>
      <x:c r="H283" s="21" t="n">
        <x:f>E283^2*'Controls'!$B$52</x:f>
        <x:v>0.8877600000000001</x:v>
      </x:c>
      <x:c r="I283" s="21" t="n">
        <x:f>F283*G283*H283</x:f>
        <x:v>5570.605224</x:v>
      </x:c>
      <x:c r="J283" s="2" t="str">
        <x:v>2 layers x 131 bars outside central opening band</x:v>
      </x:c>
      <x:c r="K283" s="2"/>
      <x:c r="L283" s="2"/>
      <x:c r="M283" s="2"/>
      <x:c r="N283" s="2"/>
      <x:c r="O283" s="2"/>
      <x:c r="P283" s="2"/>
      <x:c r="Q283" s="2"/>
    </x:row>
    <x:row r="284" ht="22" customHeight="1">
      <x:c r="A284" s="7" t="str">
        <x:v>T2-L08-S4</x:v>
      </x:c>
      <x:c r="B284" s="7" t="str">
        <x:v>T2</x:v>
      </x:c>
      <x:c r="C284" s="7" t="str">
        <x:v>L08</x:v>
      </x:c>
      <x:c r="D284" s="7" t="str">
        <x:v>Slab Y split at core</x:v>
      </x:c>
      <x:c r="E284" s="20" t="n">
        <x:v>12</x:v>
      </x:c>
      <x:c r="F284" s="20" t="n">
        <x:v>40</x:v>
      </x:c>
      <x:c r="G284" s="20" t="n">
        <x:v>17.95</x:v>
      </x:c>
      <x:c r="H284" s="20" t="n">
        <x:f>E284^2*'Controls'!$B$52</x:f>
        <x:v>0.8877600000000001</x:v>
      </x:c>
      <x:c r="I284" s="20" t="n">
        <x:f>F284*G284*H284</x:f>
        <x:v>637.41168</x:v>
      </x:c>
      <x:c r="J284" s="7" t="str">
        <x:v>2 layers x 20 bars, split around 6 m opening</x:v>
      </x:c>
      <x:c r="K284" s="2"/>
      <x:c r="L284" s="2"/>
      <x:c r="M284" s="2"/>
      <x:c r="N284" s="2"/>
      <x:c r="O284" s="2"/>
      <x:c r="P284" s="2"/>
      <x:c r="Q284" s="2"/>
    </x:row>
    <x:row r="285" ht="22" customHeight="1">
      <x:c r="A285" s="2" t="str">
        <x:v>T2-L08-S5</x:v>
      </x:c>
      <x:c r="B285" s="2" t="str">
        <x:v>T2</x:v>
      </x:c>
      <x:c r="C285" s="2" t="str">
        <x:v>L08</x:v>
      </x:c>
      <x:c r="D285" s="2" t="str">
        <x:v>Opening trim bars</x:v>
      </x:c>
      <x:c r="E285" s="21" t="n">
        <x:v>16</x:v>
      </x:c>
      <x:c r="F285" s="21" t="n">
        <x:v>16</x:v>
      </x:c>
      <x:c r="G285" s="21" t="n">
        <x:v>7.2</x:v>
      </x:c>
      <x:c r="H285" s="21" t="n">
        <x:f>E285^2*'Controls'!$B$52</x:f>
        <x:v>1.57824</x:v>
      </x:c>
      <x:c r="I285" s="21" t="n">
        <x:f>F285*G285*H285</x:f>
        <x:v>181.81324800000002</x:v>
      </x:c>
      <x:c r="J285" s="2" t="str">
        <x:v>Trim allowance, explicit scheduled lengths</x:v>
      </x:c>
      <x:c r="K285" s="2"/>
      <x:c r="L285" s="2"/>
      <x:c r="M285" s="2"/>
      <x:c r="N285" s="2"/>
      <x:c r="O285" s="2"/>
      <x:c r="P285" s="2"/>
      <x:c r="Q285" s="2"/>
    </x:row>
    <x:row r="286" ht="22" customHeight="1">
      <x:c r="A286" s="7" t="str">
        <x:v>T2-L08-BX</x:v>
      </x:c>
      <x:c r="B286" s="7" t="str">
        <x:v>T2</x:v>
      </x:c>
      <x:c r="C286" s="7" t="str">
        <x:v>L08</x:v>
      </x:c>
      <x:c r="D286" s="7" t="str">
        <x:v>X beam longitudinal</x:v>
      </x:c>
      <x:c r="E286" s="20" t="n">
        <x:v>20</x:v>
      </x:c>
      <x:c r="F286" s="20" t="n">
        <x:v>150</x:v>
      </x:c>
      <x:c r="G286" s="20" t="n">
        <x:v>6.5</x:v>
      </x:c>
      <x:c r="H286" s="20" t="n">
        <x:f>E286^2*'Controls'!$B$52</x:f>
        <x:v>2.466</x:v>
      </x:c>
      <x:c r="I286" s="20" t="n">
        <x:f>F286*G286*H286</x:f>
        <x:v>2404.3500000000004</x:v>
      </x:c>
      <x:c r="J286" s="7" t="str">
        <x:v>25 spans x 6 bars incl. 1 m lap/anchorage provision</x:v>
      </x:c>
      <x:c r="K286" s="2"/>
      <x:c r="L286" s="2"/>
      <x:c r="M286" s="2"/>
      <x:c r="N286" s="2"/>
      <x:c r="O286" s="2"/>
      <x:c r="P286" s="2"/>
      <x:c r="Q286" s="2"/>
    </x:row>
    <x:row r="287" ht="22" customHeight="1">
      <x:c r="A287" s="2" t="str">
        <x:v>T2-L08-BY</x:v>
      </x:c>
      <x:c r="B287" s="2" t="str">
        <x:v>T2</x:v>
      </x:c>
      <x:c r="C287" s="2" t="str">
        <x:v>L08</x:v>
      </x:c>
      <x:c r="D287" s="2" t="str">
        <x:v>Y beam longitudinal</x:v>
      </x:c>
      <x:c r="E287" s="21" t="n">
        <x:v>20</x:v>
      </x:c>
      <x:c r="F287" s="21" t="n">
        <x:v>144</x:v>
      </x:c>
      <x:c r="G287" s="21" t="n">
        <x:v>6.5</x:v>
      </x:c>
      <x:c r="H287" s="21" t="n">
        <x:f>E287^2*'Controls'!$B$52</x:f>
        <x:v>2.466</x:v>
      </x:c>
      <x:c r="I287" s="21" t="n">
        <x:f>F287*G287*H287</x:f>
        <x:v>2308.1760000000004</x:v>
      </x:c>
      <x:c r="J287" s="2" t="str">
        <x:v>24 spans x 6 bars</x:v>
      </x:c>
      <x:c r="K287" s="2"/>
      <x:c r="L287" s="2"/>
      <x:c r="M287" s="2"/>
      <x:c r="N287" s="2"/>
      <x:c r="O287" s="2"/>
      <x:c r="P287" s="2"/>
      <x:c r="Q287" s="2"/>
    </x:row>
    <x:row r="288" ht="22" customHeight="1">
      <x:c r="A288" s="7" t="str">
        <x:v>T2-L08-BT</x:v>
      </x:c>
      <x:c r="B288" s="7" t="str">
        <x:v>T2</x:v>
      </x:c>
      <x:c r="C288" s="7" t="str">
        <x:v>L08</x:v>
      </x:c>
      <x:c r="D288" s="7" t="str">
        <x:v>Beam closed links</x:v>
      </x:c>
      <x:c r="E288" s="20" t="n">
        <x:v>10</x:v>
      </x:c>
      <x:c r="F288" s="20" t="n">
        <x:v>1421</x:v>
      </x:c>
      <x:c r="G288" s="20" t="n">
        <x:v>1.7</x:v>
      </x:c>
      <x:c r="H288" s="20" t="n">
        <x:f>E288^2*'Controls'!$B$52</x:f>
        <x:v>0.6165</x:v>
      </x:c>
      <x:c r="I288" s="20" t="n">
        <x:f>F288*G288*H288</x:f>
        <x:v>1489.27905</x:v>
      </x:c>
      <x:c r="J288" s="7" t="str">
        <x:v>49 beams x 29 links, 200 mm nominal</x:v>
      </x:c>
      <x:c r="K288" s="2"/>
      <x:c r="L288" s="2"/>
      <x:c r="M288" s="2"/>
      <x:c r="N288" s="2"/>
      <x:c r="O288" s="2"/>
      <x:c r="P288" s="2"/>
      <x:c r="Q288" s="2"/>
    </x:row>
    <x:row r="289" ht="22" customHeight="1">
      <x:c r="A289" s="2" t="str">
        <x:v>T2-L08-CL</x:v>
      </x:c>
      <x:c r="B289" s="2" t="str">
        <x:v>T2</x:v>
      </x:c>
      <x:c r="C289" s="2" t="str">
        <x:v>L08</x:v>
      </x:c>
      <x:c r="D289" s="2" t="str">
        <x:v>Column longitudinal</x:v>
      </x:c>
      <x:c r="E289" s="21" t="n">
        <x:v>25</x:v>
      </x:c>
      <x:c r="F289" s="21" t="n">
        <x:v>360</x:v>
      </x:c>
      <x:c r="G289" s="21" t="n">
        <x:v>3.9</x:v>
      </x:c>
      <x:c r="H289" s="21" t="n">
        <x:f>E289^2*'Controls'!$B$52</x:f>
        <x:v>3.8531250000000004</x:v>
      </x:c>
      <x:c r="I289" s="21" t="n">
        <x:f>F289*G289*H289</x:f>
        <x:v>5409.7875</x:v>
      </x:c>
      <x:c r="J289" s="2" t="str">
        <x:v>30 columns x 12 bars incl. lap</x:v>
      </x:c>
      <x:c r="K289" s="2"/>
      <x:c r="L289" s="2"/>
      <x:c r="M289" s="2"/>
      <x:c r="N289" s="2"/>
      <x:c r="O289" s="2"/>
      <x:c r="P289" s="2"/>
      <x:c r="Q289" s="2"/>
    </x:row>
    <x:row r="290" ht="22" customHeight="1">
      <x:c r="A290" s="7" t="str">
        <x:v>T2-L08-CT</x:v>
      </x:c>
      <x:c r="B290" s="7" t="str">
        <x:v>T2</x:v>
      </x:c>
      <x:c r="C290" s="7" t="str">
        <x:v>L08</x:v>
      </x:c>
      <x:c r="D290" s="7" t="str">
        <x:v>Column ties</x:v>
      </x:c>
      <x:c r="E290" s="20" t="n">
        <x:v>10</x:v>
      </x:c>
      <x:c r="F290" s="20" t="n">
        <x:v>510</x:v>
      </x:c>
      <x:c r="G290" s="20" t="n">
        <x:v>1.96</x:v>
      </x:c>
      <x:c r="H290" s="20" t="n">
        <x:f>E290^2*'Controls'!$B$52</x:f>
        <x:v>0.6165</x:v>
      </x:c>
      <x:c r="I290" s="20" t="n">
        <x:f>F290*G290*H290</x:f>
        <x:v>616.2534</x:v>
      </x:c>
      <x:c r="J290" s="7" t="str">
        <x:v>30 columns x 17 ties, cover and hooks included</x:v>
      </x:c>
      <x:c r="K290" s="2"/>
      <x:c r="L290" s="2"/>
      <x:c r="M290" s="2"/>
      <x:c r="N290" s="2"/>
      <x:c r="O290" s="2"/>
      <x:c r="P290" s="2"/>
      <x:c r="Q290" s="2"/>
    </x:row>
    <x:row r="291" ht="22" customHeight="1">
      <x:c r="A291" s="2" t="str">
        <x:v>T2-L08-CV</x:v>
      </x:c>
      <x:c r="B291" s="2" t="str">
        <x:v>T2</x:v>
      </x:c>
      <x:c r="C291" s="2" t="str">
        <x:v>L08</x:v>
      </x:c>
      <x:c r="D291" s="2" t="str">
        <x:v>Core vertical bars</x:v>
      </x:c>
      <x:c r="E291" s="21" t="n">
        <x:v>16</x:v>
      </x:c>
      <x:c r="F291" s="21" t="n">
        <x:v>244</x:v>
      </x:c>
      <x:c r="G291" s="21" t="n">
        <x:v>3.9</x:v>
      </x:c>
      <x:c r="H291" s="21" t="n">
        <x:f>E291^2*'Controls'!$B$52</x:f>
        <x:v>1.57824</x:v>
      </x:c>
      <x:c r="I291" s="21" t="n">
        <x:f>F291*G291*H291</x:f>
        <x:v>1501.853184</x:v>
      </x:c>
      <x:c r="J291" s="2" t="str">
        <x:v>Two faces, 200 mm nominal along 24 m net length</x:v>
      </x:c>
      <x:c r="K291" s="2"/>
      <x:c r="L291" s="2"/>
      <x:c r="M291" s="2"/>
      <x:c r="N291" s="2"/>
      <x:c r="O291" s="2"/>
      <x:c r="P291" s="2"/>
      <x:c r="Q291" s="2"/>
    </x:row>
    <x:row r="292" ht="22" customHeight="1">
      <x:c r="A292" s="7" t="str">
        <x:v>T2-L08-CH</x:v>
      </x:c>
      <x:c r="B292" s="7" t="str">
        <x:v>T2</x:v>
      </x:c>
      <x:c r="C292" s="7" t="str">
        <x:v>L08</x:v>
      </x:c>
      <x:c r="D292" s="7" t="str">
        <x:v>Core horizontal bars</x:v>
      </x:c>
      <x:c r="E292" s="20" t="n">
        <x:v>12</x:v>
      </x:c>
      <x:c r="F292" s="20" t="n">
        <x:v>32</x:v>
      </x:c>
      <x:c r="G292" s="20" t="n">
        <x:v>25</x:v>
      </x:c>
      <x:c r="H292" s="20" t="n">
        <x:f>E292^2*'Controls'!$B$52</x:f>
        <x:v>0.8877600000000001</x:v>
      </x:c>
      <x:c r="I292" s="20" t="n">
        <x:f>F292*G292*H292</x:f>
        <x:v>710.2080000000001</x:v>
      </x:c>
      <x:c r="J292" s="7" t="str">
        <x:v>Two faces x 16 layers incl. lap</x:v>
      </x:c>
      <x:c r="K292" s="2"/>
      <x:c r="L292" s="2"/>
      <x:c r="M292" s="2"/>
      <x:c r="N292" s="2"/>
      <x:c r="O292" s="2"/>
      <x:c r="P292" s="2"/>
      <x:c r="Q292" s="2"/>
    </x:row>
    <x:row r="293" ht="22" customHeight="1">
      <x:c r="A293" s="2" t="str">
        <x:v>T2-L08-ST</x:v>
      </x:c>
      <x:c r="B293" s="2" t="str">
        <x:v>T2</x:v>
      </x:c>
      <x:c r="C293" s="2" t="str">
        <x:v>L08</x:v>
      </x:c>
      <x:c r="D293" s="2" t="str">
        <x:v>Stair flights and landings</x:v>
      </x:c>
      <x:c r="E293" s="21" t="n">
        <x:v>12</x:v>
      </x:c>
      <x:c r="F293" s="21" t="n">
        <x:v>80</x:v>
      </x:c>
      <x:c r="G293" s="21" t="n">
        <x:v>4.8</x:v>
      </x:c>
      <x:c r="H293" s="21" t="n">
        <x:f>E293^2*'Controls'!$B$52</x:f>
        <x:v>0.8877600000000001</x:v>
      </x:c>
      <x:c r="I293" s="21" t="n">
        <x:f>F293*G293*H293</x:f>
        <x:v>340.89984000000004</x:v>
      </x:c>
      <x:c r="J293" s="2" t="str">
        <x:v>Separate stair reinforcement allowance</x:v>
      </x:c>
      <x:c r="K293" s="2"/>
      <x:c r="L293" s="2"/>
      <x:c r="M293" s="2"/>
      <x:c r="N293" s="2"/>
      <x:c r="O293" s="2"/>
      <x:c r="P293" s="2"/>
      <x:c r="Q293" s="2"/>
    </x:row>
    <x:row r="294" ht="22" customHeight="1">
      <x:c r="A294" s="7" t="str">
        <x:v>T2-L09-S1</x:v>
      </x:c>
      <x:c r="B294" s="7" t="str">
        <x:v>T2</x:v>
      </x:c>
      <x:c r="C294" s="7" t="str">
        <x:v>L09</x:v>
      </x:c>
      <x:c r="D294" s="7" t="str">
        <x:v>Slab X through strips</x:v>
      </x:c>
      <x:c r="E294" s="20" t="n">
        <x:v>12</x:v>
      </x:c>
      <x:c r="F294" s="20" t="n">
        <x:v>182</x:v>
      </x:c>
      <x:c r="G294" s="20" t="n">
        <x:v>29.95</x:v>
      </x:c>
      <x:c r="H294" s="20" t="n">
        <x:f>E294^2*'Controls'!$B$52</x:f>
        <x:v>0.8877600000000001</x:v>
      </x:c>
      <x:c r="I294" s="20" t="n">
        <x:f>F294*G294*H294</x:f>
        <x:v>4839.090984</x:v>
      </x:c>
      <x:c r="J294" s="7" t="str">
        <x:v>2 layers x 91 bars outside central opening band</x:v>
      </x:c>
      <x:c r="K294" s="2"/>
      <x:c r="L294" s="2"/>
      <x:c r="M294" s="2"/>
      <x:c r="N294" s="2"/>
      <x:c r="O294" s="2"/>
      <x:c r="P294" s="2"/>
      <x:c r="Q294" s="2"/>
    </x:row>
    <x:row r="295" ht="22" customHeight="1">
      <x:c r="A295" s="2" t="str">
        <x:v>T2-L09-S2</x:v>
      </x:c>
      <x:c r="B295" s="2" t="str">
        <x:v>T2</x:v>
      </x:c>
      <x:c r="C295" s="2" t="str">
        <x:v>L09</x:v>
      </x:c>
      <x:c r="D295" s="2" t="str">
        <x:v>Slab X split at core</x:v>
      </x:c>
      <x:c r="E295" s="21" t="n">
        <x:v>12</x:v>
      </x:c>
      <x:c r="F295" s="21" t="n">
        <x:v>60</x:v>
      </x:c>
      <x:c r="G295" s="21" t="n">
        <x:v>25.95</x:v>
      </x:c>
      <x:c r="H295" s="21" t="n">
        <x:f>E295^2*'Controls'!$B$52</x:f>
        <x:v>0.8877600000000001</x:v>
      </x:c>
      <x:c r="I295" s="21" t="n">
        <x:f>F295*G295*H295</x:f>
        <x:v>1382.24232</x:v>
      </x:c>
      <x:c r="J295" s="2" t="str">
        <x:v>2 layers x 30 bars, split lengths combined around 4 m opening</x:v>
      </x:c>
      <x:c r="K295" s="2"/>
      <x:c r="L295" s="2"/>
      <x:c r="M295" s="2"/>
      <x:c r="N295" s="2"/>
      <x:c r="O295" s="2"/>
      <x:c r="P295" s="2"/>
      <x:c r="Q295" s="2"/>
    </x:row>
    <x:row r="296" ht="22" customHeight="1">
      <x:c r="A296" s="7" t="str">
        <x:v>T2-L09-S3</x:v>
      </x:c>
      <x:c r="B296" s="7" t="str">
        <x:v>T2</x:v>
      </x:c>
      <x:c r="C296" s="7" t="str">
        <x:v>L09</x:v>
      </x:c>
      <x:c r="D296" s="7" t="str">
        <x:v>Slab Y through strips</x:v>
      </x:c>
      <x:c r="E296" s="20" t="n">
        <x:v>12</x:v>
      </x:c>
      <x:c r="F296" s="20" t="n">
        <x:v>262</x:v>
      </x:c>
      <x:c r="G296" s="20" t="n">
        <x:v>23.95</x:v>
      </x:c>
      <x:c r="H296" s="20" t="n">
        <x:f>E296^2*'Controls'!$B$52</x:f>
        <x:v>0.8877600000000001</x:v>
      </x:c>
      <x:c r="I296" s="20" t="n">
        <x:f>F296*G296*H296</x:f>
        <x:v>5570.605224</x:v>
      </x:c>
      <x:c r="J296" s="7" t="str">
        <x:v>2 layers x 131 bars outside central opening band</x:v>
      </x:c>
      <x:c r="K296" s="2"/>
      <x:c r="L296" s="2"/>
      <x:c r="M296" s="2"/>
      <x:c r="N296" s="2"/>
      <x:c r="O296" s="2"/>
      <x:c r="P296" s="2"/>
      <x:c r="Q296" s="2"/>
    </x:row>
    <x:row r="297" ht="22" customHeight="1">
      <x:c r="A297" s="2" t="str">
        <x:v>T2-L09-S4</x:v>
      </x:c>
      <x:c r="B297" s="2" t="str">
        <x:v>T2</x:v>
      </x:c>
      <x:c r="C297" s="2" t="str">
        <x:v>L09</x:v>
      </x:c>
      <x:c r="D297" s="2" t="str">
        <x:v>Slab Y split at core</x:v>
      </x:c>
      <x:c r="E297" s="21" t="n">
        <x:v>12</x:v>
      </x:c>
      <x:c r="F297" s="21" t="n">
        <x:v>40</x:v>
      </x:c>
      <x:c r="G297" s="21" t="n">
        <x:v>17.95</x:v>
      </x:c>
      <x:c r="H297" s="21" t="n">
        <x:f>E297^2*'Controls'!$B$52</x:f>
        <x:v>0.8877600000000001</x:v>
      </x:c>
      <x:c r="I297" s="21" t="n">
        <x:f>F297*G297*H297</x:f>
        <x:v>637.41168</x:v>
      </x:c>
      <x:c r="J297" s="2" t="str">
        <x:v>2 layers x 20 bars, split around 6 m opening</x:v>
      </x:c>
      <x:c r="K297" s="2"/>
      <x:c r="L297" s="2"/>
      <x:c r="M297" s="2"/>
      <x:c r="N297" s="2"/>
      <x:c r="O297" s="2"/>
      <x:c r="P297" s="2"/>
      <x:c r="Q297" s="2"/>
    </x:row>
    <x:row r="298" ht="22" customHeight="1">
      <x:c r="A298" s="7" t="str">
        <x:v>T2-L09-S5</x:v>
      </x:c>
      <x:c r="B298" s="7" t="str">
        <x:v>T2</x:v>
      </x:c>
      <x:c r="C298" s="7" t="str">
        <x:v>L09</x:v>
      </x:c>
      <x:c r="D298" s="7" t="str">
        <x:v>Opening trim bars</x:v>
      </x:c>
      <x:c r="E298" s="20" t="n">
        <x:v>16</x:v>
      </x:c>
      <x:c r="F298" s="20" t="n">
        <x:v>16</x:v>
      </x:c>
      <x:c r="G298" s="20" t="n">
        <x:v>7.2</x:v>
      </x:c>
      <x:c r="H298" s="20" t="n">
        <x:f>E298^2*'Controls'!$B$52</x:f>
        <x:v>1.57824</x:v>
      </x:c>
      <x:c r="I298" s="20" t="n">
        <x:f>F298*G298*H298</x:f>
        <x:v>181.81324800000002</x:v>
      </x:c>
      <x:c r="J298" s="7" t="str">
        <x:v>Trim allowance, explicit scheduled lengths</x:v>
      </x:c>
      <x:c r="K298" s="2"/>
      <x:c r="L298" s="2"/>
      <x:c r="M298" s="2"/>
      <x:c r="N298" s="2"/>
      <x:c r="O298" s="2"/>
      <x:c r="P298" s="2"/>
      <x:c r="Q298" s="2"/>
    </x:row>
    <x:row r="299" ht="22" customHeight="1">
      <x:c r="A299" s="2" t="str">
        <x:v>T2-L09-BX</x:v>
      </x:c>
      <x:c r="B299" s="2" t="str">
        <x:v>T2</x:v>
      </x:c>
      <x:c r="C299" s="2" t="str">
        <x:v>L09</x:v>
      </x:c>
      <x:c r="D299" s="2" t="str">
        <x:v>X beam longitudinal</x:v>
      </x:c>
      <x:c r="E299" s="21" t="n">
        <x:v>20</x:v>
      </x:c>
      <x:c r="F299" s="21" t="n">
        <x:v>150</x:v>
      </x:c>
      <x:c r="G299" s="21" t="n">
        <x:v>6.5</x:v>
      </x:c>
      <x:c r="H299" s="21" t="n">
        <x:f>E299^2*'Controls'!$B$52</x:f>
        <x:v>2.466</x:v>
      </x:c>
      <x:c r="I299" s="21" t="n">
        <x:f>F299*G299*H299</x:f>
        <x:v>2404.3500000000004</x:v>
      </x:c>
      <x:c r="J299" s="2" t="str">
        <x:v>25 spans x 6 bars incl. 1 m lap/anchorage provision</x:v>
      </x:c>
      <x:c r="K299" s="2"/>
      <x:c r="L299" s="2"/>
      <x:c r="M299" s="2"/>
      <x:c r="N299" s="2"/>
      <x:c r="O299" s="2"/>
      <x:c r="P299" s="2"/>
      <x:c r="Q299" s="2"/>
    </x:row>
    <x:row r="300" ht="22" customHeight="1">
      <x:c r="A300" s="7" t="str">
        <x:v>T2-L09-BY</x:v>
      </x:c>
      <x:c r="B300" s="7" t="str">
        <x:v>T2</x:v>
      </x:c>
      <x:c r="C300" s="7" t="str">
        <x:v>L09</x:v>
      </x:c>
      <x:c r="D300" s="7" t="str">
        <x:v>Y beam longitudinal</x:v>
      </x:c>
      <x:c r="E300" s="20" t="n">
        <x:v>20</x:v>
      </x:c>
      <x:c r="F300" s="20" t="n">
        <x:v>144</x:v>
      </x:c>
      <x:c r="G300" s="20" t="n">
        <x:v>6.5</x:v>
      </x:c>
      <x:c r="H300" s="20" t="n">
        <x:f>E300^2*'Controls'!$B$52</x:f>
        <x:v>2.466</x:v>
      </x:c>
      <x:c r="I300" s="20" t="n">
        <x:f>F300*G300*H300</x:f>
        <x:v>2308.1760000000004</x:v>
      </x:c>
      <x:c r="J300" s="7" t="str">
        <x:v>24 spans x 6 bars</x:v>
      </x:c>
      <x:c r="K300" s="2"/>
      <x:c r="L300" s="2"/>
      <x:c r="M300" s="2"/>
      <x:c r="N300" s="2"/>
      <x:c r="O300" s="2"/>
      <x:c r="P300" s="2"/>
      <x:c r="Q300" s="2"/>
    </x:row>
    <x:row r="301" ht="22" customHeight="1">
      <x:c r="A301" s="2" t="str">
        <x:v>T2-L09-BT</x:v>
      </x:c>
      <x:c r="B301" s="2" t="str">
        <x:v>T2</x:v>
      </x:c>
      <x:c r="C301" s="2" t="str">
        <x:v>L09</x:v>
      </x:c>
      <x:c r="D301" s="2" t="str">
        <x:v>Beam closed links</x:v>
      </x:c>
      <x:c r="E301" s="21" t="n">
        <x:v>10</x:v>
      </x:c>
      <x:c r="F301" s="21" t="n">
        <x:v>1421</x:v>
      </x:c>
      <x:c r="G301" s="21" t="n">
        <x:v>1.7</x:v>
      </x:c>
      <x:c r="H301" s="21" t="n">
        <x:f>E301^2*'Controls'!$B$52</x:f>
        <x:v>0.6165</x:v>
      </x:c>
      <x:c r="I301" s="21" t="n">
        <x:f>F301*G301*H301</x:f>
        <x:v>1489.27905</x:v>
      </x:c>
      <x:c r="J301" s="2" t="str">
        <x:v>49 beams x 29 links, 200 mm nominal</x:v>
      </x:c>
      <x:c r="K301" s="2"/>
      <x:c r="L301" s="2"/>
      <x:c r="M301" s="2"/>
      <x:c r="N301" s="2"/>
      <x:c r="O301" s="2"/>
      <x:c r="P301" s="2"/>
      <x:c r="Q301" s="2"/>
    </x:row>
    <x:row r="302" ht="22" customHeight="1">
      <x:c r="A302" s="7" t="str">
        <x:v>T2-L09-CL</x:v>
      </x:c>
      <x:c r="B302" s="7" t="str">
        <x:v>T2</x:v>
      </x:c>
      <x:c r="C302" s="7" t="str">
        <x:v>L09</x:v>
      </x:c>
      <x:c r="D302" s="7" t="str">
        <x:v>Column longitudinal</x:v>
      </x:c>
      <x:c r="E302" s="20" t="n">
        <x:v>25</x:v>
      </x:c>
      <x:c r="F302" s="20" t="n">
        <x:v>360</x:v>
      </x:c>
      <x:c r="G302" s="20" t="n">
        <x:v>3.9</x:v>
      </x:c>
      <x:c r="H302" s="20" t="n">
        <x:f>E302^2*'Controls'!$B$52</x:f>
        <x:v>3.8531250000000004</x:v>
      </x:c>
      <x:c r="I302" s="20" t="n">
        <x:f>F302*G302*H302</x:f>
        <x:v>5409.7875</x:v>
      </x:c>
      <x:c r="J302" s="7" t="str">
        <x:v>30 columns x 12 bars incl. lap</x:v>
      </x:c>
      <x:c r="K302" s="2"/>
      <x:c r="L302" s="2"/>
      <x:c r="M302" s="2"/>
      <x:c r="N302" s="2"/>
      <x:c r="O302" s="2"/>
      <x:c r="P302" s="2"/>
      <x:c r="Q302" s="2"/>
    </x:row>
    <x:row r="303" ht="22" customHeight="1">
      <x:c r="A303" s="2" t="str">
        <x:v>T2-L09-CT</x:v>
      </x:c>
      <x:c r="B303" s="2" t="str">
        <x:v>T2</x:v>
      </x:c>
      <x:c r="C303" s="2" t="str">
        <x:v>L09</x:v>
      </x:c>
      <x:c r="D303" s="2" t="str">
        <x:v>Column ties</x:v>
      </x:c>
      <x:c r="E303" s="21" t="n">
        <x:v>10</x:v>
      </x:c>
      <x:c r="F303" s="21" t="n">
        <x:v>510</x:v>
      </x:c>
      <x:c r="G303" s="21" t="n">
        <x:v>1.96</x:v>
      </x:c>
      <x:c r="H303" s="21" t="n">
        <x:f>E303^2*'Controls'!$B$52</x:f>
        <x:v>0.6165</x:v>
      </x:c>
      <x:c r="I303" s="21" t="n">
        <x:f>F303*G303*H303</x:f>
        <x:v>616.2534</x:v>
      </x:c>
      <x:c r="J303" s="2" t="str">
        <x:v>30 columns x 17 ties, cover and hooks included</x:v>
      </x:c>
      <x:c r="K303" s="2"/>
      <x:c r="L303" s="2"/>
      <x:c r="M303" s="2"/>
      <x:c r="N303" s="2"/>
      <x:c r="O303" s="2"/>
      <x:c r="P303" s="2"/>
      <x:c r="Q303" s="2"/>
    </x:row>
    <x:row r="304" ht="22" customHeight="1">
      <x:c r="A304" s="7" t="str">
        <x:v>T2-L09-CV</x:v>
      </x:c>
      <x:c r="B304" s="7" t="str">
        <x:v>T2</x:v>
      </x:c>
      <x:c r="C304" s="7" t="str">
        <x:v>L09</x:v>
      </x:c>
      <x:c r="D304" s="7" t="str">
        <x:v>Core vertical bars</x:v>
      </x:c>
      <x:c r="E304" s="20" t="n">
        <x:v>16</x:v>
      </x:c>
      <x:c r="F304" s="20" t="n">
        <x:v>244</x:v>
      </x:c>
      <x:c r="G304" s="20" t="n">
        <x:v>3.9</x:v>
      </x:c>
      <x:c r="H304" s="20" t="n">
        <x:f>E304^2*'Controls'!$B$52</x:f>
        <x:v>1.57824</x:v>
      </x:c>
      <x:c r="I304" s="20" t="n">
        <x:f>F304*G304*H304</x:f>
        <x:v>1501.853184</x:v>
      </x:c>
      <x:c r="J304" s="7" t="str">
        <x:v>Two faces, 200 mm nominal along 24 m net length</x:v>
      </x:c>
      <x:c r="K304" s="2"/>
      <x:c r="L304" s="2"/>
      <x:c r="M304" s="2"/>
      <x:c r="N304" s="2"/>
      <x:c r="O304" s="2"/>
      <x:c r="P304" s="2"/>
      <x:c r="Q304" s="2"/>
    </x:row>
    <x:row r="305" ht="22" customHeight="1">
      <x:c r="A305" s="2" t="str">
        <x:v>T2-L09-CH</x:v>
      </x:c>
      <x:c r="B305" s="2" t="str">
        <x:v>T2</x:v>
      </x:c>
      <x:c r="C305" s="2" t="str">
        <x:v>L09</x:v>
      </x:c>
      <x:c r="D305" s="2" t="str">
        <x:v>Core horizontal bars</x:v>
      </x:c>
      <x:c r="E305" s="21" t="n">
        <x:v>12</x:v>
      </x:c>
      <x:c r="F305" s="21" t="n">
        <x:v>32</x:v>
      </x:c>
      <x:c r="G305" s="21" t="n">
        <x:v>25</x:v>
      </x:c>
      <x:c r="H305" s="21" t="n">
        <x:f>E305^2*'Controls'!$B$52</x:f>
        <x:v>0.8877600000000001</x:v>
      </x:c>
      <x:c r="I305" s="21" t="n">
        <x:f>F305*G305*H305</x:f>
        <x:v>710.2080000000001</x:v>
      </x:c>
      <x:c r="J305" s="2" t="str">
        <x:v>Two faces x 16 layers incl. lap</x:v>
      </x:c>
      <x:c r="K305" s="2"/>
      <x:c r="L305" s="2"/>
      <x:c r="M305" s="2"/>
      <x:c r="N305" s="2"/>
      <x:c r="O305" s="2"/>
      <x:c r="P305" s="2"/>
      <x:c r="Q305" s="2"/>
    </x:row>
    <x:row r="306" ht="22" customHeight="1">
      <x:c r="A306" s="7" t="str">
        <x:v>T2-L09-ST</x:v>
      </x:c>
      <x:c r="B306" s="7" t="str">
        <x:v>T2</x:v>
      </x:c>
      <x:c r="C306" s="7" t="str">
        <x:v>L09</x:v>
      </x:c>
      <x:c r="D306" s="7" t="str">
        <x:v>Stair flights and landings</x:v>
      </x:c>
      <x:c r="E306" s="20" t="n">
        <x:v>12</x:v>
      </x:c>
      <x:c r="F306" s="20" t="n">
        <x:v>80</x:v>
      </x:c>
      <x:c r="G306" s="20" t="n">
        <x:v>4.8</x:v>
      </x:c>
      <x:c r="H306" s="20" t="n">
        <x:f>E306^2*'Controls'!$B$52</x:f>
        <x:v>0.8877600000000001</x:v>
      </x:c>
      <x:c r="I306" s="20" t="n">
        <x:f>F306*G306*H306</x:f>
        <x:v>340.89984000000004</x:v>
      </x:c>
      <x:c r="J306" s="7" t="str">
        <x:v>Separate stair reinforcement allowance</x:v>
      </x:c>
      <x:c r="K306" s="2"/>
      <x:c r="L306" s="2"/>
      <x:c r="M306" s="2"/>
      <x:c r="N306" s="2"/>
      <x:c r="O306" s="2"/>
      <x:c r="P306" s="2"/>
      <x:c r="Q306" s="2"/>
    </x:row>
    <x:row r="307" ht="22" customHeight="1">
      <x:c r="A307" s="2" t="str">
        <x:v>T2-L10-S1</x:v>
      </x:c>
      <x:c r="B307" s="2" t="str">
        <x:v>T2</x:v>
      </x:c>
      <x:c r="C307" s="2" t="str">
        <x:v>L10</x:v>
      </x:c>
      <x:c r="D307" s="2" t="str">
        <x:v>Slab X through strips</x:v>
      </x:c>
      <x:c r="E307" s="21" t="n">
        <x:v>12</x:v>
      </x:c>
      <x:c r="F307" s="21" t="n">
        <x:v>182</x:v>
      </x:c>
      <x:c r="G307" s="21" t="n">
        <x:v>29.95</x:v>
      </x:c>
      <x:c r="H307" s="21" t="n">
        <x:f>E307^2*'Controls'!$B$52</x:f>
        <x:v>0.8877600000000001</x:v>
      </x:c>
      <x:c r="I307" s="21" t="n">
        <x:f>F307*G307*H307</x:f>
        <x:v>4839.090984</x:v>
      </x:c>
      <x:c r="J307" s="2" t="str">
        <x:v>2 layers x 91 bars outside central opening band</x:v>
      </x:c>
      <x:c r="K307" s="2"/>
      <x:c r="L307" s="2"/>
      <x:c r="M307" s="2"/>
      <x:c r="N307" s="2"/>
      <x:c r="O307" s="2"/>
      <x:c r="P307" s="2"/>
      <x:c r="Q307" s="2"/>
    </x:row>
    <x:row r="308" ht="22" customHeight="1">
      <x:c r="A308" s="7" t="str">
        <x:v>T2-L10-S2</x:v>
      </x:c>
      <x:c r="B308" s="7" t="str">
        <x:v>T2</x:v>
      </x:c>
      <x:c r="C308" s="7" t="str">
        <x:v>L10</x:v>
      </x:c>
      <x:c r="D308" s="7" t="str">
        <x:v>Slab X split at core</x:v>
      </x:c>
      <x:c r="E308" s="20" t="n">
        <x:v>12</x:v>
      </x:c>
      <x:c r="F308" s="20" t="n">
        <x:v>60</x:v>
      </x:c>
      <x:c r="G308" s="20" t="n">
        <x:v>25.95</x:v>
      </x:c>
      <x:c r="H308" s="20" t="n">
        <x:f>E308^2*'Controls'!$B$52</x:f>
        <x:v>0.8877600000000001</x:v>
      </x:c>
      <x:c r="I308" s="20" t="n">
        <x:f>F308*G308*H308</x:f>
        <x:v>1382.24232</x:v>
      </x:c>
      <x:c r="J308" s="7" t="str">
        <x:v>2 layers x 30 bars, split lengths combined around 4 m opening</x:v>
      </x:c>
      <x:c r="K308" s="2"/>
      <x:c r="L308" s="2"/>
      <x:c r="M308" s="2"/>
      <x:c r="N308" s="2"/>
      <x:c r="O308" s="2"/>
      <x:c r="P308" s="2"/>
      <x:c r="Q308" s="2"/>
    </x:row>
    <x:row r="309" ht="22" customHeight="1">
      <x:c r="A309" s="2" t="str">
        <x:v>T2-L10-S3</x:v>
      </x:c>
      <x:c r="B309" s="2" t="str">
        <x:v>T2</x:v>
      </x:c>
      <x:c r="C309" s="2" t="str">
        <x:v>L10</x:v>
      </x:c>
      <x:c r="D309" s="2" t="str">
        <x:v>Slab Y through strips</x:v>
      </x:c>
      <x:c r="E309" s="21" t="n">
        <x:v>12</x:v>
      </x:c>
      <x:c r="F309" s="21" t="n">
        <x:v>262</x:v>
      </x:c>
      <x:c r="G309" s="21" t="n">
        <x:v>23.95</x:v>
      </x:c>
      <x:c r="H309" s="21" t="n">
        <x:f>E309^2*'Controls'!$B$52</x:f>
        <x:v>0.8877600000000001</x:v>
      </x:c>
      <x:c r="I309" s="21" t="n">
        <x:f>F309*G309*H309</x:f>
        <x:v>5570.605224</x:v>
      </x:c>
      <x:c r="J309" s="2" t="str">
        <x:v>2 layers x 131 bars outside central opening band</x:v>
      </x:c>
      <x:c r="K309" s="2"/>
      <x:c r="L309" s="2"/>
      <x:c r="M309" s="2"/>
      <x:c r="N309" s="2"/>
      <x:c r="O309" s="2"/>
      <x:c r="P309" s="2"/>
      <x:c r="Q309" s="2"/>
    </x:row>
    <x:row r="310" ht="22" customHeight="1">
      <x:c r="A310" s="7" t="str">
        <x:v>T2-L10-S4</x:v>
      </x:c>
      <x:c r="B310" s="7" t="str">
        <x:v>T2</x:v>
      </x:c>
      <x:c r="C310" s="7" t="str">
        <x:v>L10</x:v>
      </x:c>
      <x:c r="D310" s="7" t="str">
        <x:v>Slab Y split at core</x:v>
      </x:c>
      <x:c r="E310" s="20" t="n">
        <x:v>12</x:v>
      </x:c>
      <x:c r="F310" s="20" t="n">
        <x:v>40</x:v>
      </x:c>
      <x:c r="G310" s="20" t="n">
        <x:v>17.95</x:v>
      </x:c>
      <x:c r="H310" s="20" t="n">
        <x:f>E310^2*'Controls'!$B$52</x:f>
        <x:v>0.8877600000000001</x:v>
      </x:c>
      <x:c r="I310" s="20" t="n">
        <x:f>F310*G310*H310</x:f>
        <x:v>637.41168</x:v>
      </x:c>
      <x:c r="J310" s="7" t="str">
        <x:v>2 layers x 20 bars, split around 6 m opening</x:v>
      </x:c>
      <x:c r="K310" s="2"/>
      <x:c r="L310" s="2"/>
      <x:c r="M310" s="2"/>
      <x:c r="N310" s="2"/>
      <x:c r="O310" s="2"/>
      <x:c r="P310" s="2"/>
      <x:c r="Q310" s="2"/>
    </x:row>
    <x:row r="311" ht="22" customHeight="1">
      <x:c r="A311" s="2" t="str">
        <x:v>T2-L10-S5</x:v>
      </x:c>
      <x:c r="B311" s="2" t="str">
        <x:v>T2</x:v>
      </x:c>
      <x:c r="C311" s="2" t="str">
        <x:v>L10</x:v>
      </x:c>
      <x:c r="D311" s="2" t="str">
        <x:v>Opening trim bars</x:v>
      </x:c>
      <x:c r="E311" s="21" t="n">
        <x:v>16</x:v>
      </x:c>
      <x:c r="F311" s="21" t="n">
        <x:v>16</x:v>
      </x:c>
      <x:c r="G311" s="21" t="n">
        <x:v>7.2</x:v>
      </x:c>
      <x:c r="H311" s="21" t="n">
        <x:f>E311^2*'Controls'!$B$52</x:f>
        <x:v>1.57824</x:v>
      </x:c>
      <x:c r="I311" s="21" t="n">
        <x:f>F311*G311*H311</x:f>
        <x:v>181.81324800000002</x:v>
      </x:c>
      <x:c r="J311" s="2" t="str">
        <x:v>Trim allowance, explicit scheduled lengths</x:v>
      </x:c>
      <x:c r="K311" s="2"/>
      <x:c r="L311" s="2"/>
      <x:c r="M311" s="2"/>
      <x:c r="N311" s="2"/>
      <x:c r="O311" s="2"/>
      <x:c r="P311" s="2"/>
      <x:c r="Q311" s="2"/>
    </x:row>
    <x:row r="312" ht="22" customHeight="1">
      <x:c r="A312" s="7" t="str">
        <x:v>T2-L10-BX</x:v>
      </x:c>
      <x:c r="B312" s="7" t="str">
        <x:v>T2</x:v>
      </x:c>
      <x:c r="C312" s="7" t="str">
        <x:v>L10</x:v>
      </x:c>
      <x:c r="D312" s="7" t="str">
        <x:v>X beam longitudinal</x:v>
      </x:c>
      <x:c r="E312" s="20" t="n">
        <x:v>20</x:v>
      </x:c>
      <x:c r="F312" s="20" t="n">
        <x:v>150</x:v>
      </x:c>
      <x:c r="G312" s="20" t="n">
        <x:v>6.5</x:v>
      </x:c>
      <x:c r="H312" s="20" t="n">
        <x:f>E312^2*'Controls'!$B$52</x:f>
        <x:v>2.466</x:v>
      </x:c>
      <x:c r="I312" s="20" t="n">
        <x:f>F312*G312*H312</x:f>
        <x:v>2404.3500000000004</x:v>
      </x:c>
      <x:c r="J312" s="7" t="str">
        <x:v>25 spans x 6 bars incl. 1 m lap/anchorage provision</x:v>
      </x:c>
      <x:c r="K312" s="2"/>
      <x:c r="L312" s="2"/>
      <x:c r="M312" s="2"/>
      <x:c r="N312" s="2"/>
      <x:c r="O312" s="2"/>
      <x:c r="P312" s="2"/>
      <x:c r="Q312" s="2"/>
    </x:row>
    <x:row r="313" ht="22" customHeight="1">
      <x:c r="A313" s="2" t="str">
        <x:v>T2-L10-BY</x:v>
      </x:c>
      <x:c r="B313" s="2" t="str">
        <x:v>T2</x:v>
      </x:c>
      <x:c r="C313" s="2" t="str">
        <x:v>L10</x:v>
      </x:c>
      <x:c r="D313" s="2" t="str">
        <x:v>Y beam longitudinal</x:v>
      </x:c>
      <x:c r="E313" s="21" t="n">
        <x:v>20</x:v>
      </x:c>
      <x:c r="F313" s="21" t="n">
        <x:v>144</x:v>
      </x:c>
      <x:c r="G313" s="21" t="n">
        <x:v>6.5</x:v>
      </x:c>
      <x:c r="H313" s="21" t="n">
        <x:f>E313^2*'Controls'!$B$52</x:f>
        <x:v>2.466</x:v>
      </x:c>
      <x:c r="I313" s="21" t="n">
        <x:f>F313*G313*H313</x:f>
        <x:v>2308.1760000000004</x:v>
      </x:c>
      <x:c r="J313" s="2" t="str">
        <x:v>24 spans x 6 bars</x:v>
      </x:c>
      <x:c r="K313" s="2"/>
      <x:c r="L313" s="2"/>
      <x:c r="M313" s="2"/>
      <x:c r="N313" s="2"/>
      <x:c r="O313" s="2"/>
      <x:c r="P313" s="2"/>
      <x:c r="Q313" s="2"/>
    </x:row>
    <x:row r="314" ht="22" customHeight="1">
      <x:c r="A314" s="7" t="str">
        <x:v>T2-L10-BT</x:v>
      </x:c>
      <x:c r="B314" s="7" t="str">
        <x:v>T2</x:v>
      </x:c>
      <x:c r="C314" s="7" t="str">
        <x:v>L10</x:v>
      </x:c>
      <x:c r="D314" s="7" t="str">
        <x:v>Beam closed links</x:v>
      </x:c>
      <x:c r="E314" s="20" t="n">
        <x:v>10</x:v>
      </x:c>
      <x:c r="F314" s="20" t="n">
        <x:v>1421</x:v>
      </x:c>
      <x:c r="G314" s="20" t="n">
        <x:v>1.7</x:v>
      </x:c>
      <x:c r="H314" s="20" t="n">
        <x:f>E314^2*'Controls'!$B$52</x:f>
        <x:v>0.6165</x:v>
      </x:c>
      <x:c r="I314" s="20" t="n">
        <x:f>F314*G314*H314</x:f>
        <x:v>1489.27905</x:v>
      </x:c>
      <x:c r="J314" s="7" t="str">
        <x:v>49 beams x 29 links, 200 mm nominal</x:v>
      </x:c>
      <x:c r="K314" s="2"/>
      <x:c r="L314" s="2"/>
      <x:c r="M314" s="2"/>
      <x:c r="N314" s="2"/>
      <x:c r="O314" s="2"/>
      <x:c r="P314" s="2"/>
      <x:c r="Q314" s="2"/>
    </x:row>
    <x:row r="315" ht="22" customHeight="1">
      <x:c r="A315" s="2" t="str">
        <x:v>T2-L10-CL</x:v>
      </x:c>
      <x:c r="B315" s="2" t="str">
        <x:v>T2</x:v>
      </x:c>
      <x:c r="C315" s="2" t="str">
        <x:v>L10</x:v>
      </x:c>
      <x:c r="D315" s="2" t="str">
        <x:v>Column longitudinal</x:v>
      </x:c>
      <x:c r="E315" s="21" t="n">
        <x:v>25</x:v>
      </x:c>
      <x:c r="F315" s="21" t="n">
        <x:v>360</x:v>
      </x:c>
      <x:c r="G315" s="21" t="n">
        <x:v>3.9</x:v>
      </x:c>
      <x:c r="H315" s="21" t="n">
        <x:f>E315^2*'Controls'!$B$52</x:f>
        <x:v>3.8531250000000004</x:v>
      </x:c>
      <x:c r="I315" s="21" t="n">
        <x:f>F315*G315*H315</x:f>
        <x:v>5409.7875</x:v>
      </x:c>
      <x:c r="J315" s="2" t="str">
        <x:v>30 columns x 12 bars incl. lap</x:v>
      </x:c>
      <x:c r="K315" s="2"/>
      <x:c r="L315" s="2"/>
      <x:c r="M315" s="2"/>
      <x:c r="N315" s="2"/>
      <x:c r="O315" s="2"/>
      <x:c r="P315" s="2"/>
      <x:c r="Q315" s="2"/>
    </x:row>
    <x:row r="316" ht="22" customHeight="1">
      <x:c r="A316" s="7" t="str">
        <x:v>T2-L10-CT</x:v>
      </x:c>
      <x:c r="B316" s="7" t="str">
        <x:v>T2</x:v>
      </x:c>
      <x:c r="C316" s="7" t="str">
        <x:v>L10</x:v>
      </x:c>
      <x:c r="D316" s="7" t="str">
        <x:v>Column ties</x:v>
      </x:c>
      <x:c r="E316" s="20" t="n">
        <x:v>10</x:v>
      </x:c>
      <x:c r="F316" s="20" t="n">
        <x:v>510</x:v>
      </x:c>
      <x:c r="G316" s="20" t="n">
        <x:v>1.96</x:v>
      </x:c>
      <x:c r="H316" s="20" t="n">
        <x:f>E316^2*'Controls'!$B$52</x:f>
        <x:v>0.6165</x:v>
      </x:c>
      <x:c r="I316" s="20" t="n">
        <x:f>F316*G316*H316</x:f>
        <x:v>616.2534</x:v>
      </x:c>
      <x:c r="J316" s="7" t="str">
        <x:v>30 columns x 17 ties, cover and hooks included</x:v>
      </x:c>
      <x:c r="K316" s="2"/>
      <x:c r="L316" s="2"/>
      <x:c r="M316" s="2"/>
      <x:c r="N316" s="2"/>
      <x:c r="O316" s="2"/>
      <x:c r="P316" s="2"/>
      <x:c r="Q316" s="2"/>
    </x:row>
    <x:row r="317" ht="22" customHeight="1">
      <x:c r="A317" s="2" t="str">
        <x:v>T2-L10-CV</x:v>
      </x:c>
      <x:c r="B317" s="2" t="str">
        <x:v>T2</x:v>
      </x:c>
      <x:c r="C317" s="2" t="str">
        <x:v>L10</x:v>
      </x:c>
      <x:c r="D317" s="2" t="str">
        <x:v>Core vertical bars</x:v>
      </x:c>
      <x:c r="E317" s="21" t="n">
        <x:v>16</x:v>
      </x:c>
      <x:c r="F317" s="21" t="n">
        <x:v>244</x:v>
      </x:c>
      <x:c r="G317" s="21" t="n">
        <x:v>3.9</x:v>
      </x:c>
      <x:c r="H317" s="21" t="n">
        <x:f>E317^2*'Controls'!$B$52</x:f>
        <x:v>1.57824</x:v>
      </x:c>
      <x:c r="I317" s="21" t="n">
        <x:f>F317*G317*H317</x:f>
        <x:v>1501.853184</x:v>
      </x:c>
      <x:c r="J317" s="2" t="str">
        <x:v>Two faces, 200 mm nominal along 24 m net length</x:v>
      </x:c>
      <x:c r="K317" s="2"/>
      <x:c r="L317" s="2"/>
      <x:c r="M317" s="2"/>
      <x:c r="N317" s="2"/>
      <x:c r="O317" s="2"/>
      <x:c r="P317" s="2"/>
      <x:c r="Q317" s="2"/>
    </x:row>
    <x:row r="318" ht="22" customHeight="1">
      <x:c r="A318" s="7" t="str">
        <x:v>T2-L10-CH</x:v>
      </x:c>
      <x:c r="B318" s="7" t="str">
        <x:v>T2</x:v>
      </x:c>
      <x:c r="C318" s="7" t="str">
        <x:v>L10</x:v>
      </x:c>
      <x:c r="D318" s="7" t="str">
        <x:v>Core horizontal bars</x:v>
      </x:c>
      <x:c r="E318" s="20" t="n">
        <x:v>12</x:v>
      </x:c>
      <x:c r="F318" s="20" t="n">
        <x:v>32</x:v>
      </x:c>
      <x:c r="G318" s="20" t="n">
        <x:v>25</x:v>
      </x:c>
      <x:c r="H318" s="20" t="n">
        <x:f>E318^2*'Controls'!$B$52</x:f>
        <x:v>0.8877600000000001</x:v>
      </x:c>
      <x:c r="I318" s="20" t="n">
        <x:f>F318*G318*H318</x:f>
        <x:v>710.2080000000001</x:v>
      </x:c>
      <x:c r="J318" s="7" t="str">
        <x:v>Two faces x 16 layers incl. lap</x:v>
      </x:c>
      <x:c r="K318" s="2"/>
      <x:c r="L318" s="2"/>
      <x:c r="M318" s="2"/>
      <x:c r="N318" s="2"/>
      <x:c r="O318" s="2"/>
      <x:c r="P318" s="2"/>
      <x:c r="Q318" s="2"/>
    </x:row>
    <x:row r="319" ht="22" customHeight="1">
      <x:c r="A319" s="2" t="str">
        <x:v>T2-L10-ST</x:v>
      </x:c>
      <x:c r="B319" s="2" t="str">
        <x:v>T2</x:v>
      </x:c>
      <x:c r="C319" s="2" t="str">
        <x:v>L10</x:v>
      </x:c>
      <x:c r="D319" s="2" t="str">
        <x:v>Stair flights and landings</x:v>
      </x:c>
      <x:c r="E319" s="21" t="n">
        <x:v>12</x:v>
      </x:c>
      <x:c r="F319" s="21" t="n">
        <x:v>80</x:v>
      </x:c>
      <x:c r="G319" s="21" t="n">
        <x:v>4.8</x:v>
      </x:c>
      <x:c r="H319" s="21" t="n">
        <x:f>E319^2*'Controls'!$B$52</x:f>
        <x:v>0.8877600000000001</x:v>
      </x:c>
      <x:c r="I319" s="21" t="n">
        <x:f>F319*G319*H319</x:f>
        <x:v>340.89984000000004</x:v>
      </x:c>
      <x:c r="J319" s="2" t="str">
        <x:v>Separate stair reinforcement allowance</x:v>
      </x:c>
      <x:c r="K319" s="2"/>
      <x:c r="L319" s="2"/>
      <x:c r="M319" s="2"/>
      <x:c r="N319" s="2"/>
      <x:c r="O319" s="2"/>
      <x:c r="P319" s="2"/>
      <x:c r="Q319" s="2"/>
    </x:row>
    <x:row r="320" ht="22" customHeight="1">
      <x:c r="A320" s="7" t="str">
        <x:v>T2-L11-S1</x:v>
      </x:c>
      <x:c r="B320" s="7" t="str">
        <x:v>T2</x:v>
      </x:c>
      <x:c r="C320" s="7" t="str">
        <x:v>L11</x:v>
      </x:c>
      <x:c r="D320" s="7" t="str">
        <x:v>Slab X through strips</x:v>
      </x:c>
      <x:c r="E320" s="20" t="n">
        <x:v>12</x:v>
      </x:c>
      <x:c r="F320" s="20" t="n">
        <x:v>182</x:v>
      </x:c>
      <x:c r="G320" s="20" t="n">
        <x:v>29.95</x:v>
      </x:c>
      <x:c r="H320" s="20" t="n">
        <x:f>E320^2*'Controls'!$B$52</x:f>
        <x:v>0.8877600000000001</x:v>
      </x:c>
      <x:c r="I320" s="20" t="n">
        <x:f>F320*G320*H320</x:f>
        <x:v>4839.090984</x:v>
      </x:c>
      <x:c r="J320" s="7" t="str">
        <x:v>2 layers x 91 bars outside central opening band</x:v>
      </x:c>
      <x:c r="K320" s="2"/>
      <x:c r="L320" s="2"/>
      <x:c r="M320" s="2"/>
      <x:c r="N320" s="2"/>
      <x:c r="O320" s="2"/>
      <x:c r="P320" s="2"/>
      <x:c r="Q320" s="2"/>
    </x:row>
    <x:row r="321" ht="22" customHeight="1">
      <x:c r="A321" s="2" t="str">
        <x:v>T2-L11-S2</x:v>
      </x:c>
      <x:c r="B321" s="2" t="str">
        <x:v>T2</x:v>
      </x:c>
      <x:c r="C321" s="2" t="str">
        <x:v>L11</x:v>
      </x:c>
      <x:c r="D321" s="2" t="str">
        <x:v>Slab X split at core</x:v>
      </x:c>
      <x:c r="E321" s="21" t="n">
        <x:v>12</x:v>
      </x:c>
      <x:c r="F321" s="21" t="n">
        <x:v>60</x:v>
      </x:c>
      <x:c r="G321" s="21" t="n">
        <x:v>25.95</x:v>
      </x:c>
      <x:c r="H321" s="21" t="n">
        <x:f>E321^2*'Controls'!$B$52</x:f>
        <x:v>0.8877600000000001</x:v>
      </x:c>
      <x:c r="I321" s="21" t="n">
        <x:f>F321*G321*H321</x:f>
        <x:v>1382.24232</x:v>
      </x:c>
      <x:c r="J321" s="2" t="str">
        <x:v>2 layers x 30 bars, split lengths combined around 4 m opening</x:v>
      </x:c>
      <x:c r="K321" s="2"/>
      <x:c r="L321" s="2"/>
      <x:c r="M321" s="2"/>
      <x:c r="N321" s="2"/>
      <x:c r="O321" s="2"/>
      <x:c r="P321" s="2"/>
      <x:c r="Q321" s="2"/>
    </x:row>
    <x:row r="322" ht="22" customHeight="1">
      <x:c r="A322" s="7" t="str">
        <x:v>T2-L11-S3</x:v>
      </x:c>
      <x:c r="B322" s="7" t="str">
        <x:v>T2</x:v>
      </x:c>
      <x:c r="C322" s="7" t="str">
        <x:v>L11</x:v>
      </x:c>
      <x:c r="D322" s="7" t="str">
        <x:v>Slab Y through strips</x:v>
      </x:c>
      <x:c r="E322" s="20" t="n">
        <x:v>12</x:v>
      </x:c>
      <x:c r="F322" s="20" t="n">
        <x:v>262</x:v>
      </x:c>
      <x:c r="G322" s="20" t="n">
        <x:v>23.95</x:v>
      </x:c>
      <x:c r="H322" s="20" t="n">
        <x:f>E322^2*'Controls'!$B$52</x:f>
        <x:v>0.8877600000000001</x:v>
      </x:c>
      <x:c r="I322" s="20" t="n">
        <x:f>F322*G322*H322</x:f>
        <x:v>5570.605224</x:v>
      </x:c>
      <x:c r="J322" s="7" t="str">
        <x:v>2 layers x 131 bars outside central opening band</x:v>
      </x:c>
      <x:c r="K322" s="2"/>
      <x:c r="L322" s="2"/>
      <x:c r="M322" s="2"/>
      <x:c r="N322" s="2"/>
      <x:c r="O322" s="2"/>
      <x:c r="P322" s="2"/>
      <x:c r="Q322" s="2"/>
    </x:row>
    <x:row r="323" ht="22" customHeight="1">
      <x:c r="A323" s="2" t="str">
        <x:v>T2-L11-S4</x:v>
      </x:c>
      <x:c r="B323" s="2" t="str">
        <x:v>T2</x:v>
      </x:c>
      <x:c r="C323" s="2" t="str">
        <x:v>L11</x:v>
      </x:c>
      <x:c r="D323" s="2" t="str">
        <x:v>Slab Y split at core</x:v>
      </x:c>
      <x:c r="E323" s="21" t="n">
        <x:v>12</x:v>
      </x:c>
      <x:c r="F323" s="21" t="n">
        <x:v>40</x:v>
      </x:c>
      <x:c r="G323" s="21" t="n">
        <x:v>17.95</x:v>
      </x:c>
      <x:c r="H323" s="21" t="n">
        <x:f>E323^2*'Controls'!$B$52</x:f>
        <x:v>0.8877600000000001</x:v>
      </x:c>
      <x:c r="I323" s="21" t="n">
        <x:f>F323*G323*H323</x:f>
        <x:v>637.41168</x:v>
      </x:c>
      <x:c r="J323" s="2" t="str">
        <x:v>2 layers x 20 bars, split around 6 m opening</x:v>
      </x:c>
      <x:c r="K323" s="2"/>
      <x:c r="L323" s="2"/>
      <x:c r="M323" s="2"/>
      <x:c r="N323" s="2"/>
      <x:c r="O323" s="2"/>
      <x:c r="P323" s="2"/>
      <x:c r="Q323" s="2"/>
    </x:row>
    <x:row r="324" ht="22" customHeight="1">
      <x:c r="A324" s="7" t="str">
        <x:v>T2-L11-S5</x:v>
      </x:c>
      <x:c r="B324" s="7" t="str">
        <x:v>T2</x:v>
      </x:c>
      <x:c r="C324" s="7" t="str">
        <x:v>L11</x:v>
      </x:c>
      <x:c r="D324" s="7" t="str">
        <x:v>Opening trim bars</x:v>
      </x:c>
      <x:c r="E324" s="20" t="n">
        <x:v>16</x:v>
      </x:c>
      <x:c r="F324" s="20" t="n">
        <x:v>16</x:v>
      </x:c>
      <x:c r="G324" s="20" t="n">
        <x:v>7.2</x:v>
      </x:c>
      <x:c r="H324" s="20" t="n">
        <x:f>E324^2*'Controls'!$B$52</x:f>
        <x:v>1.57824</x:v>
      </x:c>
      <x:c r="I324" s="20" t="n">
        <x:f>F324*G324*H324</x:f>
        <x:v>181.81324800000002</x:v>
      </x:c>
      <x:c r="J324" s="7" t="str">
        <x:v>Trim allowance, explicit scheduled lengths</x:v>
      </x:c>
      <x:c r="K324" s="2"/>
      <x:c r="L324" s="2"/>
      <x:c r="M324" s="2"/>
      <x:c r="N324" s="2"/>
      <x:c r="O324" s="2"/>
      <x:c r="P324" s="2"/>
      <x:c r="Q324" s="2"/>
    </x:row>
    <x:row r="325" ht="22" customHeight="1">
      <x:c r="A325" s="2" t="str">
        <x:v>T2-L11-BX</x:v>
      </x:c>
      <x:c r="B325" s="2" t="str">
        <x:v>T2</x:v>
      </x:c>
      <x:c r="C325" s="2" t="str">
        <x:v>L11</x:v>
      </x:c>
      <x:c r="D325" s="2" t="str">
        <x:v>X beam longitudinal</x:v>
      </x:c>
      <x:c r="E325" s="21" t="n">
        <x:v>20</x:v>
      </x:c>
      <x:c r="F325" s="21" t="n">
        <x:v>150</x:v>
      </x:c>
      <x:c r="G325" s="21" t="n">
        <x:v>6.5</x:v>
      </x:c>
      <x:c r="H325" s="21" t="n">
        <x:f>E325^2*'Controls'!$B$52</x:f>
        <x:v>2.466</x:v>
      </x:c>
      <x:c r="I325" s="21" t="n">
        <x:f>F325*G325*H325</x:f>
        <x:v>2404.3500000000004</x:v>
      </x:c>
      <x:c r="J325" s="2" t="str">
        <x:v>25 spans x 6 bars incl. 1 m lap/anchorage provision</x:v>
      </x:c>
      <x:c r="K325" s="2"/>
      <x:c r="L325" s="2"/>
      <x:c r="M325" s="2"/>
      <x:c r="N325" s="2"/>
      <x:c r="O325" s="2"/>
      <x:c r="P325" s="2"/>
      <x:c r="Q325" s="2"/>
    </x:row>
    <x:row r="326" ht="22" customHeight="1">
      <x:c r="A326" s="7" t="str">
        <x:v>T2-L11-BY</x:v>
      </x:c>
      <x:c r="B326" s="7" t="str">
        <x:v>T2</x:v>
      </x:c>
      <x:c r="C326" s="7" t="str">
        <x:v>L11</x:v>
      </x:c>
      <x:c r="D326" s="7" t="str">
        <x:v>Y beam longitudinal</x:v>
      </x:c>
      <x:c r="E326" s="20" t="n">
        <x:v>20</x:v>
      </x:c>
      <x:c r="F326" s="20" t="n">
        <x:v>144</x:v>
      </x:c>
      <x:c r="G326" s="20" t="n">
        <x:v>6.5</x:v>
      </x:c>
      <x:c r="H326" s="20" t="n">
        <x:f>E326^2*'Controls'!$B$52</x:f>
        <x:v>2.466</x:v>
      </x:c>
      <x:c r="I326" s="20" t="n">
        <x:f>F326*G326*H326</x:f>
        <x:v>2308.1760000000004</x:v>
      </x:c>
      <x:c r="J326" s="7" t="str">
        <x:v>24 spans x 6 bars</x:v>
      </x:c>
      <x:c r="K326" s="2"/>
      <x:c r="L326" s="2"/>
      <x:c r="M326" s="2"/>
      <x:c r="N326" s="2"/>
      <x:c r="O326" s="2"/>
      <x:c r="P326" s="2"/>
      <x:c r="Q326" s="2"/>
    </x:row>
    <x:row r="327" ht="22" customHeight="1">
      <x:c r="A327" s="2" t="str">
        <x:v>T2-L11-BT</x:v>
      </x:c>
      <x:c r="B327" s="2" t="str">
        <x:v>T2</x:v>
      </x:c>
      <x:c r="C327" s="2" t="str">
        <x:v>L11</x:v>
      </x:c>
      <x:c r="D327" s="2" t="str">
        <x:v>Beam closed links</x:v>
      </x:c>
      <x:c r="E327" s="21" t="n">
        <x:v>10</x:v>
      </x:c>
      <x:c r="F327" s="21" t="n">
        <x:v>1421</x:v>
      </x:c>
      <x:c r="G327" s="21" t="n">
        <x:v>1.7</x:v>
      </x:c>
      <x:c r="H327" s="21" t="n">
        <x:f>E327^2*'Controls'!$B$52</x:f>
        <x:v>0.6165</x:v>
      </x:c>
      <x:c r="I327" s="21" t="n">
        <x:f>F327*G327*H327</x:f>
        <x:v>1489.27905</x:v>
      </x:c>
      <x:c r="J327" s="2" t="str">
        <x:v>49 beams x 29 links, 200 mm nominal</x:v>
      </x:c>
      <x:c r="K327" s="2"/>
      <x:c r="L327" s="2"/>
      <x:c r="M327" s="2"/>
      <x:c r="N327" s="2"/>
      <x:c r="O327" s="2"/>
      <x:c r="P327" s="2"/>
      <x:c r="Q327" s="2"/>
    </x:row>
    <x:row r="328" ht="22" customHeight="1">
      <x:c r="A328" s="7" t="str">
        <x:v>T2-L11-CL</x:v>
      </x:c>
      <x:c r="B328" s="7" t="str">
        <x:v>T2</x:v>
      </x:c>
      <x:c r="C328" s="7" t="str">
        <x:v>L11</x:v>
      </x:c>
      <x:c r="D328" s="7" t="str">
        <x:v>Column longitudinal</x:v>
      </x:c>
      <x:c r="E328" s="20" t="n">
        <x:v>25</x:v>
      </x:c>
      <x:c r="F328" s="20" t="n">
        <x:v>360</x:v>
      </x:c>
      <x:c r="G328" s="20" t="n">
        <x:v>3.9</x:v>
      </x:c>
      <x:c r="H328" s="20" t="n">
        <x:f>E328^2*'Controls'!$B$52</x:f>
        <x:v>3.8531250000000004</x:v>
      </x:c>
      <x:c r="I328" s="20" t="n">
        <x:f>F328*G328*H328</x:f>
        <x:v>5409.7875</x:v>
      </x:c>
      <x:c r="J328" s="7" t="str">
        <x:v>30 columns x 12 bars incl. lap</x:v>
      </x:c>
      <x:c r="K328" s="2"/>
      <x:c r="L328" s="2"/>
      <x:c r="M328" s="2"/>
      <x:c r="N328" s="2"/>
      <x:c r="O328" s="2"/>
      <x:c r="P328" s="2"/>
      <x:c r="Q328" s="2"/>
    </x:row>
    <x:row r="329" ht="22" customHeight="1">
      <x:c r="A329" s="2" t="str">
        <x:v>T2-L11-CT</x:v>
      </x:c>
      <x:c r="B329" s="2" t="str">
        <x:v>T2</x:v>
      </x:c>
      <x:c r="C329" s="2" t="str">
        <x:v>L11</x:v>
      </x:c>
      <x:c r="D329" s="2" t="str">
        <x:v>Column ties</x:v>
      </x:c>
      <x:c r="E329" s="21" t="n">
        <x:v>10</x:v>
      </x:c>
      <x:c r="F329" s="21" t="n">
        <x:v>510</x:v>
      </x:c>
      <x:c r="G329" s="21" t="n">
        <x:v>1.96</x:v>
      </x:c>
      <x:c r="H329" s="21" t="n">
        <x:f>E329^2*'Controls'!$B$52</x:f>
        <x:v>0.6165</x:v>
      </x:c>
      <x:c r="I329" s="21" t="n">
        <x:f>F329*G329*H329</x:f>
        <x:v>616.2534</x:v>
      </x:c>
      <x:c r="J329" s="2" t="str">
        <x:v>30 columns x 17 ties, cover and hooks included</x:v>
      </x:c>
      <x:c r="K329" s="2"/>
      <x:c r="L329" s="2"/>
      <x:c r="M329" s="2"/>
      <x:c r="N329" s="2"/>
      <x:c r="O329" s="2"/>
      <x:c r="P329" s="2"/>
      <x:c r="Q329" s="2"/>
    </x:row>
    <x:row r="330" ht="22" customHeight="1">
      <x:c r="A330" s="7" t="str">
        <x:v>T2-L11-CV</x:v>
      </x:c>
      <x:c r="B330" s="7" t="str">
        <x:v>T2</x:v>
      </x:c>
      <x:c r="C330" s="7" t="str">
        <x:v>L11</x:v>
      </x:c>
      <x:c r="D330" s="7" t="str">
        <x:v>Core vertical bars</x:v>
      </x:c>
      <x:c r="E330" s="20" t="n">
        <x:v>16</x:v>
      </x:c>
      <x:c r="F330" s="20" t="n">
        <x:v>244</x:v>
      </x:c>
      <x:c r="G330" s="20" t="n">
        <x:v>3.9</x:v>
      </x:c>
      <x:c r="H330" s="20" t="n">
        <x:f>E330^2*'Controls'!$B$52</x:f>
        <x:v>1.57824</x:v>
      </x:c>
      <x:c r="I330" s="20" t="n">
        <x:f>F330*G330*H330</x:f>
        <x:v>1501.853184</x:v>
      </x:c>
      <x:c r="J330" s="7" t="str">
        <x:v>Two faces, 200 mm nominal along 24 m net length</x:v>
      </x:c>
      <x:c r="K330" s="2"/>
      <x:c r="L330" s="2"/>
      <x:c r="M330" s="2"/>
      <x:c r="N330" s="2"/>
      <x:c r="O330" s="2"/>
      <x:c r="P330" s="2"/>
      <x:c r="Q330" s="2"/>
    </x:row>
    <x:row r="331" ht="22" customHeight="1">
      <x:c r="A331" s="2" t="str">
        <x:v>T2-L11-CH</x:v>
      </x:c>
      <x:c r="B331" s="2" t="str">
        <x:v>T2</x:v>
      </x:c>
      <x:c r="C331" s="2" t="str">
        <x:v>L11</x:v>
      </x:c>
      <x:c r="D331" s="2" t="str">
        <x:v>Core horizontal bars</x:v>
      </x:c>
      <x:c r="E331" s="21" t="n">
        <x:v>12</x:v>
      </x:c>
      <x:c r="F331" s="21" t="n">
        <x:v>32</x:v>
      </x:c>
      <x:c r="G331" s="21" t="n">
        <x:v>25</x:v>
      </x:c>
      <x:c r="H331" s="21" t="n">
        <x:f>E331^2*'Controls'!$B$52</x:f>
        <x:v>0.8877600000000001</x:v>
      </x:c>
      <x:c r="I331" s="21" t="n">
        <x:f>F331*G331*H331</x:f>
        <x:v>710.2080000000001</x:v>
      </x:c>
      <x:c r="J331" s="2" t="str">
        <x:v>Two faces x 16 layers incl. lap</x:v>
      </x:c>
      <x:c r="K331" s="2"/>
      <x:c r="L331" s="2"/>
      <x:c r="M331" s="2"/>
      <x:c r="N331" s="2"/>
      <x:c r="O331" s="2"/>
      <x:c r="P331" s="2"/>
      <x:c r="Q331" s="2"/>
    </x:row>
    <x:row r="332" ht="22" customHeight="1">
      <x:c r="A332" s="7" t="str">
        <x:v>T2-L11-ST</x:v>
      </x:c>
      <x:c r="B332" s="7" t="str">
        <x:v>T2</x:v>
      </x:c>
      <x:c r="C332" s="7" t="str">
        <x:v>L11</x:v>
      </x:c>
      <x:c r="D332" s="7" t="str">
        <x:v>Stair flights and landings</x:v>
      </x:c>
      <x:c r="E332" s="20" t="n">
        <x:v>12</x:v>
      </x:c>
      <x:c r="F332" s="20" t="n">
        <x:v>80</x:v>
      </x:c>
      <x:c r="G332" s="20" t="n">
        <x:v>4.8</x:v>
      </x:c>
      <x:c r="H332" s="20" t="n">
        <x:f>E332^2*'Controls'!$B$52</x:f>
        <x:v>0.8877600000000001</x:v>
      </x:c>
      <x:c r="I332" s="20" t="n">
        <x:f>F332*G332*H332</x:f>
        <x:v>340.89984000000004</x:v>
      </x:c>
      <x:c r="J332" s="7" t="str">
        <x:v>Separate stair reinforcement allowance</x:v>
      </x:c>
      <x:c r="K332" s="2"/>
      <x:c r="L332" s="2"/>
      <x:c r="M332" s="2"/>
      <x:c r="N332" s="2"/>
      <x:c r="O332" s="2"/>
      <x:c r="P332" s="2"/>
      <x:c r="Q332" s="2"/>
    </x:row>
    <x:row r="333" ht="22" customHeight="1">
      <x:c r="A333" s="2" t="str">
        <x:v>T2-L12-S1</x:v>
      </x:c>
      <x:c r="B333" s="2" t="str">
        <x:v>T2</x:v>
      </x:c>
      <x:c r="C333" s="2" t="str">
        <x:v>L12</x:v>
      </x:c>
      <x:c r="D333" s="2" t="str">
        <x:v>Slab X through strips</x:v>
      </x:c>
      <x:c r="E333" s="21" t="n">
        <x:v>12</x:v>
      </x:c>
      <x:c r="F333" s="21" t="n">
        <x:v>182</x:v>
      </x:c>
      <x:c r="G333" s="21" t="n">
        <x:v>29.95</x:v>
      </x:c>
      <x:c r="H333" s="21" t="n">
        <x:f>E333^2*'Controls'!$B$52</x:f>
        <x:v>0.8877600000000001</x:v>
      </x:c>
      <x:c r="I333" s="21" t="n">
        <x:f>F333*G333*H333</x:f>
        <x:v>4839.090984</x:v>
      </x:c>
      <x:c r="J333" s="2" t="str">
        <x:v>2 layers x 91 bars outside central opening band</x:v>
      </x:c>
      <x:c r="K333" s="2"/>
      <x:c r="L333" s="2"/>
      <x:c r="M333" s="2"/>
      <x:c r="N333" s="2"/>
      <x:c r="O333" s="2"/>
      <x:c r="P333" s="2"/>
      <x:c r="Q333" s="2"/>
    </x:row>
    <x:row r="334" ht="22" customHeight="1">
      <x:c r="A334" s="7" t="str">
        <x:v>T2-L12-S2</x:v>
      </x:c>
      <x:c r="B334" s="7" t="str">
        <x:v>T2</x:v>
      </x:c>
      <x:c r="C334" s="7" t="str">
        <x:v>L12</x:v>
      </x:c>
      <x:c r="D334" s="7" t="str">
        <x:v>Slab X split at core</x:v>
      </x:c>
      <x:c r="E334" s="20" t="n">
        <x:v>12</x:v>
      </x:c>
      <x:c r="F334" s="20" t="n">
        <x:v>60</x:v>
      </x:c>
      <x:c r="G334" s="20" t="n">
        <x:v>25.95</x:v>
      </x:c>
      <x:c r="H334" s="20" t="n">
        <x:f>E334^2*'Controls'!$B$52</x:f>
        <x:v>0.8877600000000001</x:v>
      </x:c>
      <x:c r="I334" s="20" t="n">
        <x:f>F334*G334*H334</x:f>
        <x:v>1382.24232</x:v>
      </x:c>
      <x:c r="J334" s="7" t="str">
        <x:v>2 layers x 30 bars, split lengths combined around 4 m opening</x:v>
      </x:c>
      <x:c r="K334" s="2"/>
      <x:c r="L334" s="2"/>
      <x:c r="M334" s="2"/>
      <x:c r="N334" s="2"/>
      <x:c r="O334" s="2"/>
      <x:c r="P334" s="2"/>
      <x:c r="Q334" s="2"/>
    </x:row>
    <x:row r="335" ht="22" customHeight="1">
      <x:c r="A335" s="2" t="str">
        <x:v>T2-L12-S3</x:v>
      </x:c>
      <x:c r="B335" s="2" t="str">
        <x:v>T2</x:v>
      </x:c>
      <x:c r="C335" s="2" t="str">
        <x:v>L12</x:v>
      </x:c>
      <x:c r="D335" s="2" t="str">
        <x:v>Slab Y through strips</x:v>
      </x:c>
      <x:c r="E335" s="21" t="n">
        <x:v>12</x:v>
      </x:c>
      <x:c r="F335" s="21" t="n">
        <x:v>262</x:v>
      </x:c>
      <x:c r="G335" s="21" t="n">
        <x:v>23.95</x:v>
      </x:c>
      <x:c r="H335" s="21" t="n">
        <x:f>E335^2*'Controls'!$B$52</x:f>
        <x:v>0.8877600000000001</x:v>
      </x:c>
      <x:c r="I335" s="21" t="n">
        <x:f>F335*G335*H335</x:f>
        <x:v>5570.605224</x:v>
      </x:c>
      <x:c r="J335" s="2" t="str">
        <x:v>2 layers x 131 bars outside central opening band</x:v>
      </x:c>
      <x:c r="K335" s="2"/>
      <x:c r="L335" s="2"/>
      <x:c r="M335" s="2"/>
      <x:c r="N335" s="2"/>
      <x:c r="O335" s="2"/>
      <x:c r="P335" s="2"/>
      <x:c r="Q335" s="2"/>
    </x:row>
    <x:row r="336" ht="22" customHeight="1">
      <x:c r="A336" s="7" t="str">
        <x:v>T2-L12-S4</x:v>
      </x:c>
      <x:c r="B336" s="7" t="str">
        <x:v>T2</x:v>
      </x:c>
      <x:c r="C336" s="7" t="str">
        <x:v>L12</x:v>
      </x:c>
      <x:c r="D336" s="7" t="str">
        <x:v>Slab Y split at core</x:v>
      </x:c>
      <x:c r="E336" s="20" t="n">
        <x:v>12</x:v>
      </x:c>
      <x:c r="F336" s="20" t="n">
        <x:v>40</x:v>
      </x:c>
      <x:c r="G336" s="20" t="n">
        <x:v>17.95</x:v>
      </x:c>
      <x:c r="H336" s="20" t="n">
        <x:f>E336^2*'Controls'!$B$52</x:f>
        <x:v>0.8877600000000001</x:v>
      </x:c>
      <x:c r="I336" s="20" t="n">
        <x:f>F336*G336*H336</x:f>
        <x:v>637.41168</x:v>
      </x:c>
      <x:c r="J336" s="7" t="str">
        <x:v>2 layers x 20 bars, split around 6 m opening</x:v>
      </x:c>
      <x:c r="K336" s="2"/>
      <x:c r="L336" s="2"/>
      <x:c r="M336" s="2"/>
      <x:c r="N336" s="2"/>
      <x:c r="O336" s="2"/>
      <x:c r="P336" s="2"/>
      <x:c r="Q336" s="2"/>
    </x:row>
    <x:row r="337" ht="22" customHeight="1">
      <x:c r="A337" s="2" t="str">
        <x:v>T2-L12-S5</x:v>
      </x:c>
      <x:c r="B337" s="2" t="str">
        <x:v>T2</x:v>
      </x:c>
      <x:c r="C337" s="2" t="str">
        <x:v>L12</x:v>
      </x:c>
      <x:c r="D337" s="2" t="str">
        <x:v>Opening trim bars</x:v>
      </x:c>
      <x:c r="E337" s="21" t="n">
        <x:v>16</x:v>
      </x:c>
      <x:c r="F337" s="21" t="n">
        <x:v>16</x:v>
      </x:c>
      <x:c r="G337" s="21" t="n">
        <x:v>7.2</x:v>
      </x:c>
      <x:c r="H337" s="21" t="n">
        <x:f>E337^2*'Controls'!$B$52</x:f>
        <x:v>1.57824</x:v>
      </x:c>
      <x:c r="I337" s="21" t="n">
        <x:f>F337*G337*H337</x:f>
        <x:v>181.81324800000002</x:v>
      </x:c>
      <x:c r="J337" s="2" t="str">
        <x:v>Trim allowance, explicit scheduled lengths</x:v>
      </x:c>
      <x:c r="K337" s="2"/>
      <x:c r="L337" s="2"/>
      <x:c r="M337" s="2"/>
      <x:c r="N337" s="2"/>
      <x:c r="O337" s="2"/>
      <x:c r="P337" s="2"/>
      <x:c r="Q337" s="2"/>
    </x:row>
    <x:row r="338" ht="22" customHeight="1">
      <x:c r="A338" s="7" t="str">
        <x:v>T2-L12-BX</x:v>
      </x:c>
      <x:c r="B338" s="7" t="str">
        <x:v>T2</x:v>
      </x:c>
      <x:c r="C338" s="7" t="str">
        <x:v>L12</x:v>
      </x:c>
      <x:c r="D338" s="7" t="str">
        <x:v>X beam longitudinal</x:v>
      </x:c>
      <x:c r="E338" s="20" t="n">
        <x:v>20</x:v>
      </x:c>
      <x:c r="F338" s="20" t="n">
        <x:v>150</x:v>
      </x:c>
      <x:c r="G338" s="20" t="n">
        <x:v>6.5</x:v>
      </x:c>
      <x:c r="H338" s="20" t="n">
        <x:f>E338^2*'Controls'!$B$52</x:f>
        <x:v>2.466</x:v>
      </x:c>
      <x:c r="I338" s="20" t="n">
        <x:f>F338*G338*H338</x:f>
        <x:v>2404.3500000000004</x:v>
      </x:c>
      <x:c r="J338" s="7" t="str">
        <x:v>25 spans x 6 bars incl. 1 m lap/anchorage provision</x:v>
      </x:c>
      <x:c r="K338" s="2"/>
      <x:c r="L338" s="2"/>
      <x:c r="M338" s="2"/>
      <x:c r="N338" s="2"/>
      <x:c r="O338" s="2"/>
      <x:c r="P338" s="2"/>
      <x:c r="Q338" s="2"/>
    </x:row>
    <x:row r="339" ht="22" customHeight="1">
      <x:c r="A339" s="2" t="str">
        <x:v>T2-L12-BY</x:v>
      </x:c>
      <x:c r="B339" s="2" t="str">
        <x:v>T2</x:v>
      </x:c>
      <x:c r="C339" s="2" t="str">
        <x:v>L12</x:v>
      </x:c>
      <x:c r="D339" s="2" t="str">
        <x:v>Y beam longitudinal</x:v>
      </x:c>
      <x:c r="E339" s="21" t="n">
        <x:v>20</x:v>
      </x:c>
      <x:c r="F339" s="21" t="n">
        <x:v>144</x:v>
      </x:c>
      <x:c r="G339" s="21" t="n">
        <x:v>6.5</x:v>
      </x:c>
      <x:c r="H339" s="21" t="n">
        <x:f>E339^2*'Controls'!$B$52</x:f>
        <x:v>2.466</x:v>
      </x:c>
      <x:c r="I339" s="21" t="n">
        <x:f>F339*G339*H339</x:f>
        <x:v>2308.1760000000004</x:v>
      </x:c>
      <x:c r="J339" s="2" t="str">
        <x:v>24 spans x 6 bars</x:v>
      </x:c>
      <x:c r="K339" s="2"/>
      <x:c r="L339" s="2"/>
      <x:c r="M339" s="2"/>
      <x:c r="N339" s="2"/>
      <x:c r="O339" s="2"/>
      <x:c r="P339" s="2"/>
      <x:c r="Q339" s="2"/>
    </x:row>
    <x:row r="340" ht="22" customHeight="1">
      <x:c r="A340" s="7" t="str">
        <x:v>T2-L12-BT</x:v>
      </x:c>
      <x:c r="B340" s="7" t="str">
        <x:v>T2</x:v>
      </x:c>
      <x:c r="C340" s="7" t="str">
        <x:v>L12</x:v>
      </x:c>
      <x:c r="D340" s="7" t="str">
        <x:v>Beam closed links</x:v>
      </x:c>
      <x:c r="E340" s="20" t="n">
        <x:v>10</x:v>
      </x:c>
      <x:c r="F340" s="20" t="n">
        <x:v>1421</x:v>
      </x:c>
      <x:c r="G340" s="20" t="n">
        <x:v>1.7</x:v>
      </x:c>
      <x:c r="H340" s="20" t="n">
        <x:f>E340^2*'Controls'!$B$52</x:f>
        <x:v>0.6165</x:v>
      </x:c>
      <x:c r="I340" s="20" t="n">
        <x:f>F340*G340*H340</x:f>
        <x:v>1489.27905</x:v>
      </x:c>
      <x:c r="J340" s="7" t="str">
        <x:v>49 beams x 29 links, 200 mm nominal</x:v>
      </x:c>
      <x:c r="K340" s="2"/>
      <x:c r="L340" s="2"/>
      <x:c r="M340" s="2"/>
      <x:c r="N340" s="2"/>
      <x:c r="O340" s="2"/>
      <x:c r="P340" s="2"/>
      <x:c r="Q340" s="2"/>
    </x:row>
    <x:row r="341" ht="22" customHeight="1">
      <x:c r="A341" s="2" t="str">
        <x:v>T2-L12-CL</x:v>
      </x:c>
      <x:c r="B341" s="2" t="str">
        <x:v>T2</x:v>
      </x:c>
      <x:c r="C341" s="2" t="str">
        <x:v>L12</x:v>
      </x:c>
      <x:c r="D341" s="2" t="str">
        <x:v>Column longitudinal</x:v>
      </x:c>
      <x:c r="E341" s="21" t="n">
        <x:v>25</x:v>
      </x:c>
      <x:c r="F341" s="21" t="n">
        <x:v>360</x:v>
      </x:c>
      <x:c r="G341" s="21" t="n">
        <x:v>3.9</x:v>
      </x:c>
      <x:c r="H341" s="21" t="n">
        <x:f>E341^2*'Controls'!$B$52</x:f>
        <x:v>3.8531250000000004</x:v>
      </x:c>
      <x:c r="I341" s="21" t="n">
        <x:f>F341*G341*H341</x:f>
        <x:v>5409.7875</x:v>
      </x:c>
      <x:c r="J341" s="2" t="str">
        <x:v>30 columns x 12 bars incl. lap</x:v>
      </x:c>
      <x:c r="K341" s="2"/>
      <x:c r="L341" s="2"/>
      <x:c r="M341" s="2"/>
      <x:c r="N341" s="2"/>
      <x:c r="O341" s="2"/>
      <x:c r="P341" s="2"/>
      <x:c r="Q341" s="2"/>
    </x:row>
    <x:row r="342" ht="22" customHeight="1">
      <x:c r="A342" s="7" t="str">
        <x:v>T2-L12-CT</x:v>
      </x:c>
      <x:c r="B342" s="7" t="str">
        <x:v>T2</x:v>
      </x:c>
      <x:c r="C342" s="7" t="str">
        <x:v>L12</x:v>
      </x:c>
      <x:c r="D342" s="7" t="str">
        <x:v>Column ties</x:v>
      </x:c>
      <x:c r="E342" s="20" t="n">
        <x:v>10</x:v>
      </x:c>
      <x:c r="F342" s="20" t="n">
        <x:v>510</x:v>
      </x:c>
      <x:c r="G342" s="20" t="n">
        <x:v>1.96</x:v>
      </x:c>
      <x:c r="H342" s="20" t="n">
        <x:f>E342^2*'Controls'!$B$52</x:f>
        <x:v>0.6165</x:v>
      </x:c>
      <x:c r="I342" s="20" t="n">
        <x:f>F342*G342*H342</x:f>
        <x:v>616.2534</x:v>
      </x:c>
      <x:c r="J342" s="7" t="str">
        <x:v>30 columns x 17 ties, cover and hooks included</x:v>
      </x:c>
      <x:c r="K342" s="2"/>
      <x:c r="L342" s="2"/>
      <x:c r="M342" s="2"/>
      <x:c r="N342" s="2"/>
      <x:c r="O342" s="2"/>
      <x:c r="P342" s="2"/>
      <x:c r="Q342" s="2"/>
    </x:row>
    <x:row r="343" ht="22" customHeight="1">
      <x:c r="A343" s="2" t="str">
        <x:v>T2-L12-CV</x:v>
      </x:c>
      <x:c r="B343" s="2" t="str">
        <x:v>T2</x:v>
      </x:c>
      <x:c r="C343" s="2" t="str">
        <x:v>L12</x:v>
      </x:c>
      <x:c r="D343" s="2" t="str">
        <x:v>Core vertical bars</x:v>
      </x:c>
      <x:c r="E343" s="21" t="n">
        <x:v>16</x:v>
      </x:c>
      <x:c r="F343" s="21" t="n">
        <x:v>244</x:v>
      </x:c>
      <x:c r="G343" s="21" t="n">
        <x:v>3.9</x:v>
      </x:c>
      <x:c r="H343" s="21" t="n">
        <x:f>E343^2*'Controls'!$B$52</x:f>
        <x:v>1.57824</x:v>
      </x:c>
      <x:c r="I343" s="21" t="n">
        <x:f>F343*G343*H343</x:f>
        <x:v>1501.853184</x:v>
      </x:c>
      <x:c r="J343" s="2" t="str">
        <x:v>Two faces, 200 mm nominal along 24 m net length</x:v>
      </x:c>
      <x:c r="K343" s="2"/>
      <x:c r="L343" s="2"/>
      <x:c r="M343" s="2"/>
      <x:c r="N343" s="2"/>
      <x:c r="O343" s="2"/>
      <x:c r="P343" s="2"/>
      <x:c r="Q343" s="2"/>
    </x:row>
    <x:row r="344" ht="22" customHeight="1">
      <x:c r="A344" s="7" t="str">
        <x:v>T2-L12-CH</x:v>
      </x:c>
      <x:c r="B344" s="7" t="str">
        <x:v>T2</x:v>
      </x:c>
      <x:c r="C344" s="7" t="str">
        <x:v>L12</x:v>
      </x:c>
      <x:c r="D344" s="7" t="str">
        <x:v>Core horizontal bars</x:v>
      </x:c>
      <x:c r="E344" s="20" t="n">
        <x:v>12</x:v>
      </x:c>
      <x:c r="F344" s="20" t="n">
        <x:v>32</x:v>
      </x:c>
      <x:c r="G344" s="20" t="n">
        <x:v>25</x:v>
      </x:c>
      <x:c r="H344" s="20" t="n">
        <x:f>E344^2*'Controls'!$B$52</x:f>
        <x:v>0.8877600000000001</x:v>
      </x:c>
      <x:c r="I344" s="20" t="n">
        <x:f>F344*G344*H344</x:f>
        <x:v>710.2080000000001</x:v>
      </x:c>
      <x:c r="J344" s="7" t="str">
        <x:v>Two faces x 16 layers incl. lap</x:v>
      </x:c>
      <x:c r="K344" s="2"/>
      <x:c r="L344" s="2"/>
      <x:c r="M344" s="2"/>
      <x:c r="N344" s="2"/>
      <x:c r="O344" s="2"/>
      <x:c r="P344" s="2"/>
      <x:c r="Q344" s="2"/>
    </x:row>
    <x:row r="345" ht="22" customHeight="1">
      <x:c r="A345" s="2" t="str">
        <x:v>T2-L12-ST</x:v>
      </x:c>
      <x:c r="B345" s="2" t="str">
        <x:v>T2</x:v>
      </x:c>
      <x:c r="C345" s="2" t="str">
        <x:v>L12</x:v>
      </x:c>
      <x:c r="D345" s="2" t="str">
        <x:v>Stair flights and landings</x:v>
      </x:c>
      <x:c r="E345" s="21" t="n">
        <x:v>12</x:v>
      </x:c>
      <x:c r="F345" s="21" t="n">
        <x:v>80</x:v>
      </x:c>
      <x:c r="G345" s="21" t="n">
        <x:v>4.8</x:v>
      </x:c>
      <x:c r="H345" s="21" t="n">
        <x:f>E345^2*'Controls'!$B$52</x:f>
        <x:v>0.8877600000000001</x:v>
      </x:c>
      <x:c r="I345" s="21" t="n">
        <x:f>F345*G345*H345</x:f>
        <x:v>340.89984000000004</x:v>
      </x:c>
      <x:c r="J345" s="2" t="str">
        <x:v>Separate stair reinforcement allowance</x:v>
      </x:c>
      <x:c r="K345" s="2"/>
      <x:c r="L345" s="2"/>
      <x:c r="M345" s="2"/>
      <x:c r="N345" s="2"/>
      <x:c r="O345" s="2"/>
      <x:c r="P345" s="2"/>
      <x:c r="Q345" s="2"/>
    </x:row>
    <x:row r="346" ht="22" customHeight="1">
      <x:c r="A346" s="7" t="str">
        <x:v>T3-L00-S1</x:v>
      </x:c>
      <x:c r="B346" s="7" t="str">
        <x:v>T3</x:v>
      </x:c>
      <x:c r="C346" s="7" t="str">
        <x:v>L00</x:v>
      </x:c>
      <x:c r="D346" s="7" t="str">
        <x:v>Slab X through strips</x:v>
      </x:c>
      <x:c r="E346" s="20" t="n">
        <x:v>12</x:v>
      </x:c>
      <x:c r="F346" s="20" t="n">
        <x:v>182</x:v>
      </x:c>
      <x:c r="G346" s="20" t="n">
        <x:v>29.95</x:v>
      </x:c>
      <x:c r="H346" s="20" t="n">
        <x:f>E346^2*'Controls'!$B$52</x:f>
        <x:v>0.8877600000000001</x:v>
      </x:c>
      <x:c r="I346" s="20" t="n">
        <x:f>F346*G346*H346</x:f>
        <x:v>4839.090984</x:v>
      </x:c>
      <x:c r="J346" s="7" t="str">
        <x:v>2 layers x 91 bars outside central opening band</x:v>
      </x:c>
      <x:c r="K346" s="2"/>
      <x:c r="L346" s="2"/>
      <x:c r="M346" s="2"/>
      <x:c r="N346" s="2"/>
      <x:c r="O346" s="2"/>
      <x:c r="P346" s="2"/>
      <x:c r="Q346" s="2"/>
    </x:row>
    <x:row r="347" ht="22" customHeight="1">
      <x:c r="A347" s="2" t="str">
        <x:v>T3-L00-S2</x:v>
      </x:c>
      <x:c r="B347" s="2" t="str">
        <x:v>T3</x:v>
      </x:c>
      <x:c r="C347" s="2" t="str">
        <x:v>L00</x:v>
      </x:c>
      <x:c r="D347" s="2" t="str">
        <x:v>Slab X split at core</x:v>
      </x:c>
      <x:c r="E347" s="21" t="n">
        <x:v>12</x:v>
      </x:c>
      <x:c r="F347" s="21" t="n">
        <x:v>60</x:v>
      </x:c>
      <x:c r="G347" s="21" t="n">
        <x:v>25.95</x:v>
      </x:c>
      <x:c r="H347" s="21" t="n">
        <x:f>E347^2*'Controls'!$B$52</x:f>
        <x:v>0.8877600000000001</x:v>
      </x:c>
      <x:c r="I347" s="21" t="n">
        <x:f>F347*G347*H347</x:f>
        <x:v>1382.24232</x:v>
      </x:c>
      <x:c r="J347" s="2" t="str">
        <x:v>2 layers x 30 bars, split lengths combined around 4 m opening</x:v>
      </x:c>
      <x:c r="K347" s="2"/>
      <x:c r="L347" s="2"/>
      <x:c r="M347" s="2"/>
      <x:c r="N347" s="2"/>
      <x:c r="O347" s="2"/>
      <x:c r="P347" s="2"/>
      <x:c r="Q347" s="2"/>
    </x:row>
    <x:row r="348" ht="22" customHeight="1">
      <x:c r="A348" s="7" t="str">
        <x:v>T3-L00-S3</x:v>
      </x:c>
      <x:c r="B348" s="7" t="str">
        <x:v>T3</x:v>
      </x:c>
      <x:c r="C348" s="7" t="str">
        <x:v>L00</x:v>
      </x:c>
      <x:c r="D348" s="7" t="str">
        <x:v>Slab Y through strips</x:v>
      </x:c>
      <x:c r="E348" s="20" t="n">
        <x:v>12</x:v>
      </x:c>
      <x:c r="F348" s="20" t="n">
        <x:v>262</x:v>
      </x:c>
      <x:c r="G348" s="20" t="n">
        <x:v>23.95</x:v>
      </x:c>
      <x:c r="H348" s="20" t="n">
        <x:f>E348^2*'Controls'!$B$52</x:f>
        <x:v>0.8877600000000001</x:v>
      </x:c>
      <x:c r="I348" s="20" t="n">
        <x:f>F348*G348*H348</x:f>
        <x:v>5570.605224</x:v>
      </x:c>
      <x:c r="J348" s="7" t="str">
        <x:v>2 layers x 131 bars outside central opening band</x:v>
      </x:c>
      <x:c r="K348" s="2"/>
      <x:c r="L348" s="2"/>
      <x:c r="M348" s="2"/>
      <x:c r="N348" s="2"/>
      <x:c r="O348" s="2"/>
      <x:c r="P348" s="2"/>
      <x:c r="Q348" s="2"/>
    </x:row>
    <x:row r="349" ht="22" customHeight="1">
      <x:c r="A349" s="2" t="str">
        <x:v>T3-L00-S4</x:v>
      </x:c>
      <x:c r="B349" s="2" t="str">
        <x:v>T3</x:v>
      </x:c>
      <x:c r="C349" s="2" t="str">
        <x:v>L00</x:v>
      </x:c>
      <x:c r="D349" s="2" t="str">
        <x:v>Slab Y split at core</x:v>
      </x:c>
      <x:c r="E349" s="21" t="n">
        <x:v>12</x:v>
      </x:c>
      <x:c r="F349" s="21" t="n">
        <x:v>40</x:v>
      </x:c>
      <x:c r="G349" s="21" t="n">
        <x:v>17.95</x:v>
      </x:c>
      <x:c r="H349" s="21" t="n">
        <x:f>E349^2*'Controls'!$B$52</x:f>
        <x:v>0.8877600000000001</x:v>
      </x:c>
      <x:c r="I349" s="21" t="n">
        <x:f>F349*G349*H349</x:f>
        <x:v>637.41168</x:v>
      </x:c>
      <x:c r="J349" s="2" t="str">
        <x:v>2 layers x 20 bars, split around 6 m opening</x:v>
      </x:c>
      <x:c r="K349" s="2"/>
      <x:c r="L349" s="2"/>
      <x:c r="M349" s="2"/>
      <x:c r="N349" s="2"/>
      <x:c r="O349" s="2"/>
      <x:c r="P349" s="2"/>
      <x:c r="Q349" s="2"/>
    </x:row>
    <x:row r="350" ht="22" customHeight="1">
      <x:c r="A350" s="7" t="str">
        <x:v>T3-L00-S5</x:v>
      </x:c>
      <x:c r="B350" s="7" t="str">
        <x:v>T3</x:v>
      </x:c>
      <x:c r="C350" s="7" t="str">
        <x:v>L00</x:v>
      </x:c>
      <x:c r="D350" s="7" t="str">
        <x:v>Opening trim bars</x:v>
      </x:c>
      <x:c r="E350" s="20" t="n">
        <x:v>16</x:v>
      </x:c>
      <x:c r="F350" s="20" t="n">
        <x:v>16</x:v>
      </x:c>
      <x:c r="G350" s="20" t="n">
        <x:v>7.2</x:v>
      </x:c>
      <x:c r="H350" s="20" t="n">
        <x:f>E350^2*'Controls'!$B$52</x:f>
        <x:v>1.57824</x:v>
      </x:c>
      <x:c r="I350" s="20" t="n">
        <x:f>F350*G350*H350</x:f>
        <x:v>181.81324800000002</x:v>
      </x:c>
      <x:c r="J350" s="7" t="str">
        <x:v>Trim allowance, explicit scheduled lengths</x:v>
      </x:c>
      <x:c r="K350" s="2"/>
      <x:c r="L350" s="2"/>
      <x:c r="M350" s="2"/>
      <x:c r="N350" s="2"/>
      <x:c r="O350" s="2"/>
      <x:c r="P350" s="2"/>
      <x:c r="Q350" s="2"/>
    </x:row>
    <x:row r="351" ht="22" customHeight="1">
      <x:c r="A351" s="2" t="str">
        <x:v>T3-L00-BX</x:v>
      </x:c>
      <x:c r="B351" s="2" t="str">
        <x:v>T3</x:v>
      </x:c>
      <x:c r="C351" s="2" t="str">
        <x:v>L00</x:v>
      </x:c>
      <x:c r="D351" s="2" t="str">
        <x:v>X beam longitudinal</x:v>
      </x:c>
      <x:c r="E351" s="21" t="n">
        <x:v>20</x:v>
      </x:c>
      <x:c r="F351" s="21" t="n">
        <x:v>150</x:v>
      </x:c>
      <x:c r="G351" s="21" t="n">
        <x:v>6.5</x:v>
      </x:c>
      <x:c r="H351" s="21" t="n">
        <x:f>E351^2*'Controls'!$B$52</x:f>
        <x:v>2.466</x:v>
      </x:c>
      <x:c r="I351" s="21" t="n">
        <x:f>F351*G351*H351</x:f>
        <x:v>2404.3500000000004</x:v>
      </x:c>
      <x:c r="J351" s="2" t="str">
        <x:v>25 spans x 6 bars incl. 1 m lap/anchorage provision</x:v>
      </x:c>
      <x:c r="K351" s="2"/>
      <x:c r="L351" s="2"/>
      <x:c r="M351" s="2"/>
      <x:c r="N351" s="2"/>
      <x:c r="O351" s="2"/>
      <x:c r="P351" s="2"/>
      <x:c r="Q351" s="2"/>
    </x:row>
    <x:row r="352" ht="22" customHeight="1">
      <x:c r="A352" s="7" t="str">
        <x:v>T3-L00-BY</x:v>
      </x:c>
      <x:c r="B352" s="7" t="str">
        <x:v>T3</x:v>
      </x:c>
      <x:c r="C352" s="7" t="str">
        <x:v>L00</x:v>
      </x:c>
      <x:c r="D352" s="7" t="str">
        <x:v>Y beam longitudinal</x:v>
      </x:c>
      <x:c r="E352" s="20" t="n">
        <x:v>20</x:v>
      </x:c>
      <x:c r="F352" s="20" t="n">
        <x:v>144</x:v>
      </x:c>
      <x:c r="G352" s="20" t="n">
        <x:v>6.5</x:v>
      </x:c>
      <x:c r="H352" s="20" t="n">
        <x:f>E352^2*'Controls'!$B$52</x:f>
        <x:v>2.466</x:v>
      </x:c>
      <x:c r="I352" s="20" t="n">
        <x:f>F352*G352*H352</x:f>
        <x:v>2308.1760000000004</x:v>
      </x:c>
      <x:c r="J352" s="7" t="str">
        <x:v>24 spans x 6 bars</x:v>
      </x:c>
      <x:c r="K352" s="2"/>
      <x:c r="L352" s="2"/>
      <x:c r="M352" s="2"/>
      <x:c r="N352" s="2"/>
      <x:c r="O352" s="2"/>
      <x:c r="P352" s="2"/>
      <x:c r="Q352" s="2"/>
    </x:row>
    <x:row r="353" ht="22" customHeight="1">
      <x:c r="A353" s="2" t="str">
        <x:v>T3-L00-BT</x:v>
      </x:c>
      <x:c r="B353" s="2" t="str">
        <x:v>T3</x:v>
      </x:c>
      <x:c r="C353" s="2" t="str">
        <x:v>L00</x:v>
      </x:c>
      <x:c r="D353" s="2" t="str">
        <x:v>Beam closed links</x:v>
      </x:c>
      <x:c r="E353" s="21" t="n">
        <x:v>10</x:v>
      </x:c>
      <x:c r="F353" s="21" t="n">
        <x:v>1421</x:v>
      </x:c>
      <x:c r="G353" s="21" t="n">
        <x:v>1.7</x:v>
      </x:c>
      <x:c r="H353" s="21" t="n">
        <x:f>E353^2*'Controls'!$B$52</x:f>
        <x:v>0.6165</x:v>
      </x:c>
      <x:c r="I353" s="21" t="n">
        <x:f>F353*G353*H353</x:f>
        <x:v>1489.27905</x:v>
      </x:c>
      <x:c r="J353" s="2" t="str">
        <x:v>49 beams x 29 links, 200 mm nominal</x:v>
      </x:c>
      <x:c r="K353" s="2"/>
      <x:c r="L353" s="2"/>
      <x:c r="M353" s="2"/>
      <x:c r="N353" s="2"/>
      <x:c r="O353" s="2"/>
      <x:c r="P353" s="2"/>
      <x:c r="Q353" s="2"/>
    </x:row>
    <x:row r="354" ht="22" customHeight="1">
      <x:c r="A354" s="7" t="str">
        <x:v>T3-L00-CL</x:v>
      </x:c>
      <x:c r="B354" s="7" t="str">
        <x:v>T3</x:v>
      </x:c>
      <x:c r="C354" s="7" t="str">
        <x:v>L00</x:v>
      </x:c>
      <x:c r="D354" s="7" t="str">
        <x:v>Column longitudinal</x:v>
      </x:c>
      <x:c r="E354" s="20" t="n">
        <x:v>25</x:v>
      </x:c>
      <x:c r="F354" s="20" t="n">
        <x:v>360</x:v>
      </x:c>
      <x:c r="G354" s="20" t="n">
        <x:v>3.9</x:v>
      </x:c>
      <x:c r="H354" s="20" t="n">
        <x:f>E354^2*'Controls'!$B$52</x:f>
        <x:v>3.8531250000000004</x:v>
      </x:c>
      <x:c r="I354" s="20" t="n">
        <x:f>F354*G354*H354</x:f>
        <x:v>5409.7875</x:v>
      </x:c>
      <x:c r="J354" s="7" t="str">
        <x:v>30 columns x 12 bars incl. lap</x:v>
      </x:c>
      <x:c r="K354" s="2"/>
      <x:c r="L354" s="2"/>
      <x:c r="M354" s="2"/>
      <x:c r="N354" s="2"/>
      <x:c r="O354" s="2"/>
      <x:c r="P354" s="2"/>
      <x:c r="Q354" s="2"/>
    </x:row>
    <x:row r="355" ht="22" customHeight="1">
      <x:c r="A355" s="2" t="str">
        <x:v>T3-L00-CT</x:v>
      </x:c>
      <x:c r="B355" s="2" t="str">
        <x:v>T3</x:v>
      </x:c>
      <x:c r="C355" s="2" t="str">
        <x:v>L00</x:v>
      </x:c>
      <x:c r="D355" s="2" t="str">
        <x:v>Column ties</x:v>
      </x:c>
      <x:c r="E355" s="21" t="n">
        <x:v>10</x:v>
      </x:c>
      <x:c r="F355" s="21" t="n">
        <x:v>510</x:v>
      </x:c>
      <x:c r="G355" s="21" t="n">
        <x:v>1.96</x:v>
      </x:c>
      <x:c r="H355" s="21" t="n">
        <x:f>E355^2*'Controls'!$B$52</x:f>
        <x:v>0.6165</x:v>
      </x:c>
      <x:c r="I355" s="21" t="n">
        <x:f>F355*G355*H355</x:f>
        <x:v>616.2534</x:v>
      </x:c>
      <x:c r="J355" s="2" t="str">
        <x:v>30 columns x 17 ties, cover and hooks included</x:v>
      </x:c>
      <x:c r="K355" s="2"/>
      <x:c r="L355" s="2"/>
      <x:c r="M355" s="2"/>
      <x:c r="N355" s="2"/>
      <x:c r="O355" s="2"/>
      <x:c r="P355" s="2"/>
      <x:c r="Q355" s="2"/>
    </x:row>
    <x:row r="356" ht="22" customHeight="1">
      <x:c r="A356" s="7" t="str">
        <x:v>T3-L00-CV</x:v>
      </x:c>
      <x:c r="B356" s="7" t="str">
        <x:v>T3</x:v>
      </x:c>
      <x:c r="C356" s="7" t="str">
        <x:v>L00</x:v>
      </x:c>
      <x:c r="D356" s="7" t="str">
        <x:v>Core vertical bars</x:v>
      </x:c>
      <x:c r="E356" s="20" t="n">
        <x:v>16</x:v>
      </x:c>
      <x:c r="F356" s="20" t="n">
        <x:v>244</x:v>
      </x:c>
      <x:c r="G356" s="20" t="n">
        <x:v>3.9</x:v>
      </x:c>
      <x:c r="H356" s="20" t="n">
        <x:f>E356^2*'Controls'!$B$52</x:f>
        <x:v>1.57824</x:v>
      </x:c>
      <x:c r="I356" s="20" t="n">
        <x:f>F356*G356*H356</x:f>
        <x:v>1501.853184</x:v>
      </x:c>
      <x:c r="J356" s="7" t="str">
        <x:v>Two faces, 200 mm nominal along 24 m net length</x:v>
      </x:c>
      <x:c r="K356" s="2"/>
      <x:c r="L356" s="2"/>
      <x:c r="M356" s="2"/>
      <x:c r="N356" s="2"/>
      <x:c r="O356" s="2"/>
      <x:c r="P356" s="2"/>
      <x:c r="Q356" s="2"/>
    </x:row>
    <x:row r="357" ht="22" customHeight="1">
      <x:c r="A357" s="2" t="str">
        <x:v>T3-L00-CH</x:v>
      </x:c>
      <x:c r="B357" s="2" t="str">
        <x:v>T3</x:v>
      </x:c>
      <x:c r="C357" s="2" t="str">
        <x:v>L00</x:v>
      </x:c>
      <x:c r="D357" s="2" t="str">
        <x:v>Core horizontal bars</x:v>
      </x:c>
      <x:c r="E357" s="21" t="n">
        <x:v>12</x:v>
      </x:c>
      <x:c r="F357" s="21" t="n">
        <x:v>32</x:v>
      </x:c>
      <x:c r="G357" s="21" t="n">
        <x:v>25</x:v>
      </x:c>
      <x:c r="H357" s="21" t="n">
        <x:f>E357^2*'Controls'!$B$52</x:f>
        <x:v>0.8877600000000001</x:v>
      </x:c>
      <x:c r="I357" s="21" t="n">
        <x:f>F357*G357*H357</x:f>
        <x:v>710.2080000000001</x:v>
      </x:c>
      <x:c r="J357" s="2" t="str">
        <x:v>Two faces x 16 layers incl. lap</x:v>
      </x:c>
      <x:c r="K357" s="2"/>
      <x:c r="L357" s="2"/>
      <x:c r="M357" s="2"/>
      <x:c r="N357" s="2"/>
      <x:c r="O357" s="2"/>
      <x:c r="P357" s="2"/>
      <x:c r="Q357" s="2"/>
    </x:row>
    <x:row r="358" ht="22" customHeight="1">
      <x:c r="A358" s="7" t="str">
        <x:v>T3-L00-ST</x:v>
      </x:c>
      <x:c r="B358" s="7" t="str">
        <x:v>T3</x:v>
      </x:c>
      <x:c r="C358" s="7" t="str">
        <x:v>L00</x:v>
      </x:c>
      <x:c r="D358" s="7" t="str">
        <x:v>Stair flights and landings</x:v>
      </x:c>
      <x:c r="E358" s="20" t="n">
        <x:v>12</x:v>
      </x:c>
      <x:c r="F358" s="20" t="n">
        <x:v>80</x:v>
      </x:c>
      <x:c r="G358" s="20" t="n">
        <x:v>4.8</x:v>
      </x:c>
      <x:c r="H358" s="20" t="n">
        <x:f>E358^2*'Controls'!$B$52</x:f>
        <x:v>0.8877600000000001</x:v>
      </x:c>
      <x:c r="I358" s="20" t="n">
        <x:f>F358*G358*H358</x:f>
        <x:v>340.89984000000004</x:v>
      </x:c>
      <x:c r="J358" s="7" t="str">
        <x:v>Separate stair reinforcement allowance</x:v>
      </x:c>
      <x:c r="K358" s="2"/>
      <x:c r="L358" s="2"/>
      <x:c r="M358" s="2"/>
      <x:c r="N358" s="2"/>
      <x:c r="O358" s="2"/>
      <x:c r="P358" s="2"/>
      <x:c r="Q358" s="2"/>
    </x:row>
    <x:row r="359" ht="22" customHeight="1">
      <x:c r="A359" s="2" t="str">
        <x:v>T3-L01-S1</x:v>
      </x:c>
      <x:c r="B359" s="2" t="str">
        <x:v>T3</x:v>
      </x:c>
      <x:c r="C359" s="2" t="str">
        <x:v>L01</x:v>
      </x:c>
      <x:c r="D359" s="2" t="str">
        <x:v>Slab X through strips</x:v>
      </x:c>
      <x:c r="E359" s="21" t="n">
        <x:v>12</x:v>
      </x:c>
      <x:c r="F359" s="21" t="n">
        <x:v>182</x:v>
      </x:c>
      <x:c r="G359" s="21" t="n">
        <x:v>29.95</x:v>
      </x:c>
      <x:c r="H359" s="21" t="n">
        <x:f>E359^2*'Controls'!$B$52</x:f>
        <x:v>0.8877600000000001</x:v>
      </x:c>
      <x:c r="I359" s="21" t="n">
        <x:f>F359*G359*H359</x:f>
        <x:v>4839.090984</x:v>
      </x:c>
      <x:c r="J359" s="2" t="str">
        <x:v>2 layers x 91 bars outside central opening band</x:v>
      </x:c>
      <x:c r="K359" s="2"/>
      <x:c r="L359" s="2"/>
      <x:c r="M359" s="2"/>
      <x:c r="N359" s="2"/>
      <x:c r="O359" s="2"/>
      <x:c r="P359" s="2"/>
      <x:c r="Q359" s="2"/>
    </x:row>
    <x:row r="360" ht="22" customHeight="1">
      <x:c r="A360" s="7" t="str">
        <x:v>T3-L01-S2</x:v>
      </x:c>
      <x:c r="B360" s="7" t="str">
        <x:v>T3</x:v>
      </x:c>
      <x:c r="C360" s="7" t="str">
        <x:v>L01</x:v>
      </x:c>
      <x:c r="D360" s="7" t="str">
        <x:v>Slab X split at core</x:v>
      </x:c>
      <x:c r="E360" s="20" t="n">
        <x:v>12</x:v>
      </x:c>
      <x:c r="F360" s="20" t="n">
        <x:v>60</x:v>
      </x:c>
      <x:c r="G360" s="20" t="n">
        <x:v>25.95</x:v>
      </x:c>
      <x:c r="H360" s="20" t="n">
        <x:f>E360^2*'Controls'!$B$52</x:f>
        <x:v>0.8877600000000001</x:v>
      </x:c>
      <x:c r="I360" s="20" t="n">
        <x:f>F360*G360*H360</x:f>
        <x:v>1382.24232</x:v>
      </x:c>
      <x:c r="J360" s="7" t="str">
        <x:v>2 layers x 30 bars, split lengths combined around 4 m opening</x:v>
      </x:c>
      <x:c r="K360" s="2"/>
      <x:c r="L360" s="2"/>
      <x:c r="M360" s="2"/>
      <x:c r="N360" s="2"/>
      <x:c r="O360" s="2"/>
      <x:c r="P360" s="2"/>
      <x:c r="Q360" s="2"/>
    </x:row>
    <x:row r="361" ht="22" customHeight="1">
      <x:c r="A361" s="2" t="str">
        <x:v>T3-L01-S3</x:v>
      </x:c>
      <x:c r="B361" s="2" t="str">
        <x:v>T3</x:v>
      </x:c>
      <x:c r="C361" s="2" t="str">
        <x:v>L01</x:v>
      </x:c>
      <x:c r="D361" s="2" t="str">
        <x:v>Slab Y through strips</x:v>
      </x:c>
      <x:c r="E361" s="21" t="n">
        <x:v>12</x:v>
      </x:c>
      <x:c r="F361" s="21" t="n">
        <x:v>262</x:v>
      </x:c>
      <x:c r="G361" s="21" t="n">
        <x:v>23.95</x:v>
      </x:c>
      <x:c r="H361" s="21" t="n">
        <x:f>E361^2*'Controls'!$B$52</x:f>
        <x:v>0.8877600000000001</x:v>
      </x:c>
      <x:c r="I361" s="21" t="n">
        <x:f>F361*G361*H361</x:f>
        <x:v>5570.605224</x:v>
      </x:c>
      <x:c r="J361" s="2" t="str">
        <x:v>2 layers x 131 bars outside central opening band</x:v>
      </x:c>
      <x:c r="K361" s="2"/>
      <x:c r="L361" s="2"/>
      <x:c r="M361" s="2"/>
      <x:c r="N361" s="2"/>
      <x:c r="O361" s="2"/>
      <x:c r="P361" s="2"/>
      <x:c r="Q361" s="2"/>
    </x:row>
    <x:row r="362" ht="22" customHeight="1">
      <x:c r="A362" s="7" t="str">
        <x:v>T3-L01-S4</x:v>
      </x:c>
      <x:c r="B362" s="7" t="str">
        <x:v>T3</x:v>
      </x:c>
      <x:c r="C362" s="7" t="str">
        <x:v>L01</x:v>
      </x:c>
      <x:c r="D362" s="7" t="str">
        <x:v>Slab Y split at core</x:v>
      </x:c>
      <x:c r="E362" s="20" t="n">
        <x:v>12</x:v>
      </x:c>
      <x:c r="F362" s="20" t="n">
        <x:v>40</x:v>
      </x:c>
      <x:c r="G362" s="20" t="n">
        <x:v>17.95</x:v>
      </x:c>
      <x:c r="H362" s="20" t="n">
        <x:f>E362^2*'Controls'!$B$52</x:f>
        <x:v>0.8877600000000001</x:v>
      </x:c>
      <x:c r="I362" s="20" t="n">
        <x:f>F362*G362*H362</x:f>
        <x:v>637.41168</x:v>
      </x:c>
      <x:c r="J362" s="7" t="str">
        <x:v>2 layers x 20 bars, split around 6 m opening</x:v>
      </x:c>
      <x:c r="K362" s="2"/>
      <x:c r="L362" s="2"/>
      <x:c r="M362" s="2"/>
      <x:c r="N362" s="2"/>
      <x:c r="O362" s="2"/>
      <x:c r="P362" s="2"/>
      <x:c r="Q362" s="2"/>
    </x:row>
    <x:row r="363" ht="22" customHeight="1">
      <x:c r="A363" s="2" t="str">
        <x:v>T3-L01-S5</x:v>
      </x:c>
      <x:c r="B363" s="2" t="str">
        <x:v>T3</x:v>
      </x:c>
      <x:c r="C363" s="2" t="str">
        <x:v>L01</x:v>
      </x:c>
      <x:c r="D363" s="2" t="str">
        <x:v>Opening trim bars</x:v>
      </x:c>
      <x:c r="E363" s="21" t="n">
        <x:v>16</x:v>
      </x:c>
      <x:c r="F363" s="21" t="n">
        <x:v>16</x:v>
      </x:c>
      <x:c r="G363" s="21" t="n">
        <x:v>7.2</x:v>
      </x:c>
      <x:c r="H363" s="21" t="n">
        <x:f>E363^2*'Controls'!$B$52</x:f>
        <x:v>1.57824</x:v>
      </x:c>
      <x:c r="I363" s="21" t="n">
        <x:f>F363*G363*H363</x:f>
        <x:v>181.81324800000002</x:v>
      </x:c>
      <x:c r="J363" s="2" t="str">
        <x:v>Trim allowance, explicit scheduled lengths</x:v>
      </x:c>
      <x:c r="K363" s="2"/>
      <x:c r="L363" s="2"/>
      <x:c r="M363" s="2"/>
      <x:c r="N363" s="2"/>
      <x:c r="O363" s="2"/>
      <x:c r="P363" s="2"/>
      <x:c r="Q363" s="2"/>
    </x:row>
    <x:row r="364" ht="22" customHeight="1">
      <x:c r="A364" s="7" t="str">
        <x:v>T3-L01-BX</x:v>
      </x:c>
      <x:c r="B364" s="7" t="str">
        <x:v>T3</x:v>
      </x:c>
      <x:c r="C364" s="7" t="str">
        <x:v>L01</x:v>
      </x:c>
      <x:c r="D364" s="7" t="str">
        <x:v>X beam longitudinal</x:v>
      </x:c>
      <x:c r="E364" s="20" t="n">
        <x:v>20</x:v>
      </x:c>
      <x:c r="F364" s="20" t="n">
        <x:v>150</x:v>
      </x:c>
      <x:c r="G364" s="20" t="n">
        <x:v>6.5</x:v>
      </x:c>
      <x:c r="H364" s="20" t="n">
        <x:f>E364^2*'Controls'!$B$52</x:f>
        <x:v>2.466</x:v>
      </x:c>
      <x:c r="I364" s="20" t="n">
        <x:f>F364*G364*H364</x:f>
        <x:v>2404.3500000000004</x:v>
      </x:c>
      <x:c r="J364" s="7" t="str">
        <x:v>25 spans x 6 bars incl. 1 m lap/anchorage provision</x:v>
      </x:c>
      <x:c r="K364" s="2"/>
      <x:c r="L364" s="2"/>
      <x:c r="M364" s="2"/>
      <x:c r="N364" s="2"/>
      <x:c r="O364" s="2"/>
      <x:c r="P364" s="2"/>
      <x:c r="Q364" s="2"/>
    </x:row>
    <x:row r="365" ht="22" customHeight="1">
      <x:c r="A365" s="2" t="str">
        <x:v>T3-L01-BY</x:v>
      </x:c>
      <x:c r="B365" s="2" t="str">
        <x:v>T3</x:v>
      </x:c>
      <x:c r="C365" s="2" t="str">
        <x:v>L01</x:v>
      </x:c>
      <x:c r="D365" s="2" t="str">
        <x:v>Y beam longitudinal</x:v>
      </x:c>
      <x:c r="E365" s="21" t="n">
        <x:v>20</x:v>
      </x:c>
      <x:c r="F365" s="21" t="n">
        <x:v>144</x:v>
      </x:c>
      <x:c r="G365" s="21" t="n">
        <x:v>6.5</x:v>
      </x:c>
      <x:c r="H365" s="21" t="n">
        <x:f>E365^2*'Controls'!$B$52</x:f>
        <x:v>2.466</x:v>
      </x:c>
      <x:c r="I365" s="21" t="n">
        <x:f>F365*G365*H365</x:f>
        <x:v>2308.1760000000004</x:v>
      </x:c>
      <x:c r="J365" s="2" t="str">
        <x:v>24 spans x 6 bars</x:v>
      </x:c>
      <x:c r="K365" s="2"/>
      <x:c r="L365" s="2"/>
      <x:c r="M365" s="2"/>
      <x:c r="N365" s="2"/>
      <x:c r="O365" s="2"/>
      <x:c r="P365" s="2"/>
      <x:c r="Q365" s="2"/>
    </x:row>
    <x:row r="366" ht="22" customHeight="1">
      <x:c r="A366" s="7" t="str">
        <x:v>T3-L01-BT</x:v>
      </x:c>
      <x:c r="B366" s="7" t="str">
        <x:v>T3</x:v>
      </x:c>
      <x:c r="C366" s="7" t="str">
        <x:v>L01</x:v>
      </x:c>
      <x:c r="D366" s="7" t="str">
        <x:v>Beam closed links</x:v>
      </x:c>
      <x:c r="E366" s="20" t="n">
        <x:v>10</x:v>
      </x:c>
      <x:c r="F366" s="20" t="n">
        <x:v>1421</x:v>
      </x:c>
      <x:c r="G366" s="20" t="n">
        <x:v>1.7</x:v>
      </x:c>
      <x:c r="H366" s="20" t="n">
        <x:f>E366^2*'Controls'!$B$52</x:f>
        <x:v>0.6165</x:v>
      </x:c>
      <x:c r="I366" s="20" t="n">
        <x:f>F366*G366*H366</x:f>
        <x:v>1489.27905</x:v>
      </x:c>
      <x:c r="J366" s="7" t="str">
        <x:v>49 beams x 29 links, 200 mm nominal</x:v>
      </x:c>
      <x:c r="K366" s="2"/>
      <x:c r="L366" s="2"/>
      <x:c r="M366" s="2"/>
      <x:c r="N366" s="2"/>
      <x:c r="O366" s="2"/>
      <x:c r="P366" s="2"/>
      <x:c r="Q366" s="2"/>
    </x:row>
    <x:row r="367" ht="22" customHeight="1">
      <x:c r="A367" s="2" t="str">
        <x:v>T3-L01-CL</x:v>
      </x:c>
      <x:c r="B367" s="2" t="str">
        <x:v>T3</x:v>
      </x:c>
      <x:c r="C367" s="2" t="str">
        <x:v>L01</x:v>
      </x:c>
      <x:c r="D367" s="2" t="str">
        <x:v>Column longitudinal</x:v>
      </x:c>
      <x:c r="E367" s="21" t="n">
        <x:v>25</x:v>
      </x:c>
      <x:c r="F367" s="21" t="n">
        <x:v>360</x:v>
      </x:c>
      <x:c r="G367" s="21" t="n">
        <x:v>3.9</x:v>
      </x:c>
      <x:c r="H367" s="21" t="n">
        <x:f>E367^2*'Controls'!$B$52</x:f>
        <x:v>3.8531250000000004</x:v>
      </x:c>
      <x:c r="I367" s="21" t="n">
        <x:f>F367*G367*H367</x:f>
        <x:v>5409.7875</x:v>
      </x:c>
      <x:c r="J367" s="2" t="str">
        <x:v>30 columns x 12 bars incl. lap</x:v>
      </x:c>
      <x:c r="K367" s="2"/>
      <x:c r="L367" s="2"/>
      <x:c r="M367" s="2"/>
      <x:c r="N367" s="2"/>
      <x:c r="O367" s="2"/>
      <x:c r="P367" s="2"/>
      <x:c r="Q367" s="2"/>
    </x:row>
    <x:row r="368" ht="22" customHeight="1">
      <x:c r="A368" s="7" t="str">
        <x:v>T3-L01-CT</x:v>
      </x:c>
      <x:c r="B368" s="7" t="str">
        <x:v>T3</x:v>
      </x:c>
      <x:c r="C368" s="7" t="str">
        <x:v>L01</x:v>
      </x:c>
      <x:c r="D368" s="7" t="str">
        <x:v>Column ties</x:v>
      </x:c>
      <x:c r="E368" s="20" t="n">
        <x:v>10</x:v>
      </x:c>
      <x:c r="F368" s="20" t="n">
        <x:v>510</x:v>
      </x:c>
      <x:c r="G368" s="20" t="n">
        <x:v>1.96</x:v>
      </x:c>
      <x:c r="H368" s="20" t="n">
        <x:f>E368^2*'Controls'!$B$52</x:f>
        <x:v>0.6165</x:v>
      </x:c>
      <x:c r="I368" s="20" t="n">
        <x:f>F368*G368*H368</x:f>
        <x:v>616.2534</x:v>
      </x:c>
      <x:c r="J368" s="7" t="str">
        <x:v>30 columns x 17 ties, cover and hooks included</x:v>
      </x:c>
      <x:c r="K368" s="2"/>
      <x:c r="L368" s="2"/>
      <x:c r="M368" s="2"/>
      <x:c r="N368" s="2"/>
      <x:c r="O368" s="2"/>
      <x:c r="P368" s="2"/>
      <x:c r="Q368" s="2"/>
    </x:row>
    <x:row r="369" ht="22" customHeight="1">
      <x:c r="A369" s="2" t="str">
        <x:v>T3-L01-CV</x:v>
      </x:c>
      <x:c r="B369" s="2" t="str">
        <x:v>T3</x:v>
      </x:c>
      <x:c r="C369" s="2" t="str">
        <x:v>L01</x:v>
      </x:c>
      <x:c r="D369" s="2" t="str">
        <x:v>Core vertical bars</x:v>
      </x:c>
      <x:c r="E369" s="21" t="n">
        <x:v>16</x:v>
      </x:c>
      <x:c r="F369" s="21" t="n">
        <x:v>244</x:v>
      </x:c>
      <x:c r="G369" s="21" t="n">
        <x:v>3.9</x:v>
      </x:c>
      <x:c r="H369" s="21" t="n">
        <x:f>E369^2*'Controls'!$B$52</x:f>
        <x:v>1.57824</x:v>
      </x:c>
      <x:c r="I369" s="21" t="n">
        <x:f>F369*G369*H369</x:f>
        <x:v>1501.853184</x:v>
      </x:c>
      <x:c r="J369" s="2" t="str">
        <x:v>Two faces, 200 mm nominal along 24 m net length</x:v>
      </x:c>
      <x:c r="K369" s="2"/>
      <x:c r="L369" s="2"/>
      <x:c r="M369" s="2"/>
      <x:c r="N369" s="2"/>
      <x:c r="O369" s="2"/>
      <x:c r="P369" s="2"/>
      <x:c r="Q369" s="2"/>
    </x:row>
    <x:row r="370" ht="22" customHeight="1">
      <x:c r="A370" s="7" t="str">
        <x:v>T3-L01-CH</x:v>
      </x:c>
      <x:c r="B370" s="7" t="str">
        <x:v>T3</x:v>
      </x:c>
      <x:c r="C370" s="7" t="str">
        <x:v>L01</x:v>
      </x:c>
      <x:c r="D370" s="7" t="str">
        <x:v>Core horizontal bars</x:v>
      </x:c>
      <x:c r="E370" s="20" t="n">
        <x:v>12</x:v>
      </x:c>
      <x:c r="F370" s="20" t="n">
        <x:v>32</x:v>
      </x:c>
      <x:c r="G370" s="20" t="n">
        <x:v>25</x:v>
      </x:c>
      <x:c r="H370" s="20" t="n">
        <x:f>E370^2*'Controls'!$B$52</x:f>
        <x:v>0.8877600000000001</x:v>
      </x:c>
      <x:c r="I370" s="20" t="n">
        <x:f>F370*G370*H370</x:f>
        <x:v>710.2080000000001</x:v>
      </x:c>
      <x:c r="J370" s="7" t="str">
        <x:v>Two faces x 16 layers incl. lap</x:v>
      </x:c>
      <x:c r="K370" s="2"/>
      <x:c r="L370" s="2"/>
      <x:c r="M370" s="2"/>
      <x:c r="N370" s="2"/>
      <x:c r="O370" s="2"/>
      <x:c r="P370" s="2"/>
      <x:c r="Q370" s="2"/>
    </x:row>
    <x:row r="371" ht="22" customHeight="1">
      <x:c r="A371" s="2" t="str">
        <x:v>T3-L01-ST</x:v>
      </x:c>
      <x:c r="B371" s="2" t="str">
        <x:v>T3</x:v>
      </x:c>
      <x:c r="C371" s="2" t="str">
        <x:v>L01</x:v>
      </x:c>
      <x:c r="D371" s="2" t="str">
        <x:v>Stair flights and landings</x:v>
      </x:c>
      <x:c r="E371" s="21" t="n">
        <x:v>12</x:v>
      </x:c>
      <x:c r="F371" s="21" t="n">
        <x:v>80</x:v>
      </x:c>
      <x:c r="G371" s="21" t="n">
        <x:v>4.8</x:v>
      </x:c>
      <x:c r="H371" s="21" t="n">
        <x:f>E371^2*'Controls'!$B$52</x:f>
        <x:v>0.8877600000000001</x:v>
      </x:c>
      <x:c r="I371" s="21" t="n">
        <x:f>F371*G371*H371</x:f>
        <x:v>340.89984000000004</x:v>
      </x:c>
      <x:c r="J371" s="2" t="str">
        <x:v>Separate stair reinforcement allowance</x:v>
      </x:c>
      <x:c r="K371" s="2"/>
      <x:c r="L371" s="2"/>
      <x:c r="M371" s="2"/>
      <x:c r="N371" s="2"/>
      <x:c r="O371" s="2"/>
      <x:c r="P371" s="2"/>
      <x:c r="Q371" s="2"/>
    </x:row>
    <x:row r="372" ht="22" customHeight="1">
      <x:c r="A372" s="7" t="str">
        <x:v>T3-L02-S1</x:v>
      </x:c>
      <x:c r="B372" s="7" t="str">
        <x:v>T3</x:v>
      </x:c>
      <x:c r="C372" s="7" t="str">
        <x:v>L02</x:v>
      </x:c>
      <x:c r="D372" s="7" t="str">
        <x:v>Slab X through strips</x:v>
      </x:c>
      <x:c r="E372" s="20" t="n">
        <x:v>12</x:v>
      </x:c>
      <x:c r="F372" s="20" t="n">
        <x:v>182</x:v>
      </x:c>
      <x:c r="G372" s="20" t="n">
        <x:v>29.95</x:v>
      </x:c>
      <x:c r="H372" s="20" t="n">
        <x:f>E372^2*'Controls'!$B$52</x:f>
        <x:v>0.8877600000000001</x:v>
      </x:c>
      <x:c r="I372" s="20" t="n">
        <x:f>F372*G372*H372</x:f>
        <x:v>4839.090984</x:v>
      </x:c>
      <x:c r="J372" s="7" t="str">
        <x:v>2 layers x 91 bars outside central opening band</x:v>
      </x:c>
      <x:c r="K372" s="2"/>
      <x:c r="L372" s="2"/>
      <x:c r="M372" s="2"/>
      <x:c r="N372" s="2"/>
      <x:c r="O372" s="2"/>
      <x:c r="P372" s="2"/>
      <x:c r="Q372" s="2"/>
    </x:row>
    <x:row r="373" ht="22" customHeight="1">
      <x:c r="A373" s="2" t="str">
        <x:v>T3-L02-S2</x:v>
      </x:c>
      <x:c r="B373" s="2" t="str">
        <x:v>T3</x:v>
      </x:c>
      <x:c r="C373" s="2" t="str">
        <x:v>L02</x:v>
      </x:c>
      <x:c r="D373" s="2" t="str">
        <x:v>Slab X split at core</x:v>
      </x:c>
      <x:c r="E373" s="21" t="n">
        <x:v>12</x:v>
      </x:c>
      <x:c r="F373" s="21" t="n">
        <x:v>60</x:v>
      </x:c>
      <x:c r="G373" s="21" t="n">
        <x:v>25.95</x:v>
      </x:c>
      <x:c r="H373" s="21" t="n">
        <x:f>E373^2*'Controls'!$B$52</x:f>
        <x:v>0.8877600000000001</x:v>
      </x:c>
      <x:c r="I373" s="21" t="n">
        <x:f>F373*G373*H373</x:f>
        <x:v>1382.24232</x:v>
      </x:c>
      <x:c r="J373" s="2" t="str">
        <x:v>2 layers x 30 bars, split lengths combined around 4 m opening</x:v>
      </x:c>
      <x:c r="K373" s="2"/>
      <x:c r="L373" s="2"/>
      <x:c r="M373" s="2"/>
      <x:c r="N373" s="2"/>
      <x:c r="O373" s="2"/>
      <x:c r="P373" s="2"/>
      <x:c r="Q373" s="2"/>
    </x:row>
    <x:row r="374" ht="22" customHeight="1">
      <x:c r="A374" s="7" t="str">
        <x:v>T3-L02-S3</x:v>
      </x:c>
      <x:c r="B374" s="7" t="str">
        <x:v>T3</x:v>
      </x:c>
      <x:c r="C374" s="7" t="str">
        <x:v>L02</x:v>
      </x:c>
      <x:c r="D374" s="7" t="str">
        <x:v>Slab Y through strips</x:v>
      </x:c>
      <x:c r="E374" s="20" t="n">
        <x:v>12</x:v>
      </x:c>
      <x:c r="F374" s="20" t="n">
        <x:v>262</x:v>
      </x:c>
      <x:c r="G374" s="20" t="n">
        <x:v>23.95</x:v>
      </x:c>
      <x:c r="H374" s="20" t="n">
        <x:f>E374^2*'Controls'!$B$52</x:f>
        <x:v>0.8877600000000001</x:v>
      </x:c>
      <x:c r="I374" s="20" t="n">
        <x:f>F374*G374*H374</x:f>
        <x:v>5570.605224</x:v>
      </x:c>
      <x:c r="J374" s="7" t="str">
        <x:v>2 layers x 131 bars outside central opening band</x:v>
      </x:c>
      <x:c r="K374" s="2"/>
      <x:c r="L374" s="2"/>
      <x:c r="M374" s="2"/>
      <x:c r="N374" s="2"/>
      <x:c r="O374" s="2"/>
      <x:c r="P374" s="2"/>
      <x:c r="Q374" s="2"/>
    </x:row>
    <x:row r="375" ht="22" customHeight="1">
      <x:c r="A375" s="2" t="str">
        <x:v>T3-L02-S4</x:v>
      </x:c>
      <x:c r="B375" s="2" t="str">
        <x:v>T3</x:v>
      </x:c>
      <x:c r="C375" s="2" t="str">
        <x:v>L02</x:v>
      </x:c>
      <x:c r="D375" s="2" t="str">
        <x:v>Slab Y split at core</x:v>
      </x:c>
      <x:c r="E375" s="21" t="n">
        <x:v>12</x:v>
      </x:c>
      <x:c r="F375" s="21" t="n">
        <x:v>40</x:v>
      </x:c>
      <x:c r="G375" s="21" t="n">
        <x:v>17.95</x:v>
      </x:c>
      <x:c r="H375" s="21" t="n">
        <x:f>E375^2*'Controls'!$B$52</x:f>
        <x:v>0.8877600000000001</x:v>
      </x:c>
      <x:c r="I375" s="21" t="n">
        <x:f>F375*G375*H375</x:f>
        <x:v>637.41168</x:v>
      </x:c>
      <x:c r="J375" s="2" t="str">
        <x:v>2 layers x 20 bars, split around 6 m opening</x:v>
      </x:c>
      <x:c r="K375" s="2"/>
      <x:c r="L375" s="2"/>
      <x:c r="M375" s="2"/>
      <x:c r="N375" s="2"/>
      <x:c r="O375" s="2"/>
      <x:c r="P375" s="2"/>
      <x:c r="Q375" s="2"/>
    </x:row>
    <x:row r="376" ht="22" customHeight="1">
      <x:c r="A376" s="7" t="str">
        <x:v>T3-L02-S5</x:v>
      </x:c>
      <x:c r="B376" s="7" t="str">
        <x:v>T3</x:v>
      </x:c>
      <x:c r="C376" s="7" t="str">
        <x:v>L02</x:v>
      </x:c>
      <x:c r="D376" s="7" t="str">
        <x:v>Opening trim bars</x:v>
      </x:c>
      <x:c r="E376" s="20" t="n">
        <x:v>16</x:v>
      </x:c>
      <x:c r="F376" s="20" t="n">
        <x:v>16</x:v>
      </x:c>
      <x:c r="G376" s="20" t="n">
        <x:v>7.2</x:v>
      </x:c>
      <x:c r="H376" s="20" t="n">
        <x:f>E376^2*'Controls'!$B$52</x:f>
        <x:v>1.57824</x:v>
      </x:c>
      <x:c r="I376" s="20" t="n">
        <x:f>F376*G376*H376</x:f>
        <x:v>181.81324800000002</x:v>
      </x:c>
      <x:c r="J376" s="7" t="str">
        <x:v>Trim allowance, explicit scheduled lengths</x:v>
      </x:c>
      <x:c r="K376" s="2"/>
      <x:c r="L376" s="2"/>
      <x:c r="M376" s="2"/>
      <x:c r="N376" s="2"/>
      <x:c r="O376" s="2"/>
      <x:c r="P376" s="2"/>
      <x:c r="Q376" s="2"/>
    </x:row>
    <x:row r="377" ht="22" customHeight="1">
      <x:c r="A377" s="2" t="str">
        <x:v>T3-L02-BX</x:v>
      </x:c>
      <x:c r="B377" s="2" t="str">
        <x:v>T3</x:v>
      </x:c>
      <x:c r="C377" s="2" t="str">
        <x:v>L02</x:v>
      </x:c>
      <x:c r="D377" s="2" t="str">
        <x:v>X beam longitudinal</x:v>
      </x:c>
      <x:c r="E377" s="21" t="n">
        <x:v>20</x:v>
      </x:c>
      <x:c r="F377" s="21" t="n">
        <x:v>150</x:v>
      </x:c>
      <x:c r="G377" s="21" t="n">
        <x:v>6.5</x:v>
      </x:c>
      <x:c r="H377" s="21" t="n">
        <x:f>E377^2*'Controls'!$B$52</x:f>
        <x:v>2.466</x:v>
      </x:c>
      <x:c r="I377" s="21" t="n">
        <x:f>F377*G377*H377</x:f>
        <x:v>2404.3500000000004</x:v>
      </x:c>
      <x:c r="J377" s="2" t="str">
        <x:v>25 spans x 6 bars incl. 1 m lap/anchorage provision</x:v>
      </x:c>
      <x:c r="K377" s="2"/>
      <x:c r="L377" s="2"/>
      <x:c r="M377" s="2"/>
      <x:c r="N377" s="2"/>
      <x:c r="O377" s="2"/>
      <x:c r="P377" s="2"/>
      <x:c r="Q377" s="2"/>
    </x:row>
    <x:row r="378" ht="22" customHeight="1">
      <x:c r="A378" s="7" t="str">
        <x:v>T3-L02-BY</x:v>
      </x:c>
      <x:c r="B378" s="7" t="str">
        <x:v>T3</x:v>
      </x:c>
      <x:c r="C378" s="7" t="str">
        <x:v>L02</x:v>
      </x:c>
      <x:c r="D378" s="7" t="str">
        <x:v>Y beam longitudinal</x:v>
      </x:c>
      <x:c r="E378" s="20" t="n">
        <x:v>20</x:v>
      </x:c>
      <x:c r="F378" s="20" t="n">
        <x:v>144</x:v>
      </x:c>
      <x:c r="G378" s="20" t="n">
        <x:v>6.5</x:v>
      </x:c>
      <x:c r="H378" s="20" t="n">
        <x:f>E378^2*'Controls'!$B$52</x:f>
        <x:v>2.466</x:v>
      </x:c>
      <x:c r="I378" s="20" t="n">
        <x:f>F378*G378*H378</x:f>
        <x:v>2308.1760000000004</x:v>
      </x:c>
      <x:c r="J378" s="7" t="str">
        <x:v>24 spans x 6 bars</x:v>
      </x:c>
      <x:c r="K378" s="2"/>
      <x:c r="L378" s="2"/>
      <x:c r="M378" s="2"/>
      <x:c r="N378" s="2"/>
      <x:c r="O378" s="2"/>
      <x:c r="P378" s="2"/>
      <x:c r="Q378" s="2"/>
    </x:row>
    <x:row r="379" ht="22" customHeight="1">
      <x:c r="A379" s="2" t="str">
        <x:v>T3-L02-BT</x:v>
      </x:c>
      <x:c r="B379" s="2" t="str">
        <x:v>T3</x:v>
      </x:c>
      <x:c r="C379" s="2" t="str">
        <x:v>L02</x:v>
      </x:c>
      <x:c r="D379" s="2" t="str">
        <x:v>Beam closed links</x:v>
      </x:c>
      <x:c r="E379" s="21" t="n">
        <x:v>10</x:v>
      </x:c>
      <x:c r="F379" s="21" t="n">
        <x:v>1421</x:v>
      </x:c>
      <x:c r="G379" s="21" t="n">
        <x:v>1.7</x:v>
      </x:c>
      <x:c r="H379" s="21" t="n">
        <x:f>E379^2*'Controls'!$B$52</x:f>
        <x:v>0.6165</x:v>
      </x:c>
      <x:c r="I379" s="21" t="n">
        <x:f>F379*G379*H379</x:f>
        <x:v>1489.27905</x:v>
      </x:c>
      <x:c r="J379" s="2" t="str">
        <x:v>49 beams x 29 links, 200 mm nominal</x:v>
      </x:c>
      <x:c r="K379" s="2"/>
      <x:c r="L379" s="2"/>
      <x:c r="M379" s="2"/>
      <x:c r="N379" s="2"/>
      <x:c r="O379" s="2"/>
      <x:c r="P379" s="2"/>
      <x:c r="Q379" s="2"/>
    </x:row>
    <x:row r="380" ht="22" customHeight="1">
      <x:c r="A380" s="7" t="str">
        <x:v>T3-L02-CL</x:v>
      </x:c>
      <x:c r="B380" s="7" t="str">
        <x:v>T3</x:v>
      </x:c>
      <x:c r="C380" s="7" t="str">
        <x:v>L02</x:v>
      </x:c>
      <x:c r="D380" s="7" t="str">
        <x:v>Column longitudinal</x:v>
      </x:c>
      <x:c r="E380" s="20" t="n">
        <x:v>25</x:v>
      </x:c>
      <x:c r="F380" s="20" t="n">
        <x:v>360</x:v>
      </x:c>
      <x:c r="G380" s="20" t="n">
        <x:v>3.9</x:v>
      </x:c>
      <x:c r="H380" s="20" t="n">
        <x:f>E380^2*'Controls'!$B$52</x:f>
        <x:v>3.8531250000000004</x:v>
      </x:c>
      <x:c r="I380" s="20" t="n">
        <x:f>F380*G380*H380</x:f>
        <x:v>5409.7875</x:v>
      </x:c>
      <x:c r="J380" s="7" t="str">
        <x:v>30 columns x 12 bars incl. lap</x:v>
      </x:c>
      <x:c r="K380" s="2"/>
      <x:c r="L380" s="2"/>
      <x:c r="M380" s="2"/>
      <x:c r="N380" s="2"/>
      <x:c r="O380" s="2"/>
      <x:c r="P380" s="2"/>
      <x:c r="Q380" s="2"/>
    </x:row>
    <x:row r="381" ht="22" customHeight="1">
      <x:c r="A381" s="2" t="str">
        <x:v>T3-L02-CT</x:v>
      </x:c>
      <x:c r="B381" s="2" t="str">
        <x:v>T3</x:v>
      </x:c>
      <x:c r="C381" s="2" t="str">
        <x:v>L02</x:v>
      </x:c>
      <x:c r="D381" s="2" t="str">
        <x:v>Column ties</x:v>
      </x:c>
      <x:c r="E381" s="21" t="n">
        <x:v>10</x:v>
      </x:c>
      <x:c r="F381" s="21" t="n">
        <x:v>510</x:v>
      </x:c>
      <x:c r="G381" s="21" t="n">
        <x:v>1.96</x:v>
      </x:c>
      <x:c r="H381" s="21" t="n">
        <x:f>E381^2*'Controls'!$B$52</x:f>
        <x:v>0.6165</x:v>
      </x:c>
      <x:c r="I381" s="21" t="n">
        <x:f>F381*G381*H381</x:f>
        <x:v>616.2534</x:v>
      </x:c>
      <x:c r="J381" s="2" t="str">
        <x:v>30 columns x 17 ties, cover and hooks included</x:v>
      </x:c>
      <x:c r="K381" s="2"/>
      <x:c r="L381" s="2"/>
      <x:c r="M381" s="2"/>
      <x:c r="N381" s="2"/>
      <x:c r="O381" s="2"/>
      <x:c r="P381" s="2"/>
      <x:c r="Q381" s="2"/>
    </x:row>
    <x:row r="382" ht="22" customHeight="1">
      <x:c r="A382" s="7" t="str">
        <x:v>T3-L02-CV</x:v>
      </x:c>
      <x:c r="B382" s="7" t="str">
        <x:v>T3</x:v>
      </x:c>
      <x:c r="C382" s="7" t="str">
        <x:v>L02</x:v>
      </x:c>
      <x:c r="D382" s="7" t="str">
        <x:v>Core vertical bars</x:v>
      </x:c>
      <x:c r="E382" s="20" t="n">
        <x:v>16</x:v>
      </x:c>
      <x:c r="F382" s="20" t="n">
        <x:v>244</x:v>
      </x:c>
      <x:c r="G382" s="20" t="n">
        <x:v>3.9</x:v>
      </x:c>
      <x:c r="H382" s="20" t="n">
        <x:f>E382^2*'Controls'!$B$52</x:f>
        <x:v>1.57824</x:v>
      </x:c>
      <x:c r="I382" s="20" t="n">
        <x:f>F382*G382*H382</x:f>
        <x:v>1501.853184</x:v>
      </x:c>
      <x:c r="J382" s="7" t="str">
        <x:v>Two faces, 200 mm nominal along 24 m net length</x:v>
      </x:c>
      <x:c r="K382" s="2"/>
      <x:c r="L382" s="2"/>
      <x:c r="M382" s="2"/>
      <x:c r="N382" s="2"/>
      <x:c r="O382" s="2"/>
      <x:c r="P382" s="2"/>
      <x:c r="Q382" s="2"/>
    </x:row>
    <x:row r="383" ht="22" customHeight="1">
      <x:c r="A383" s="2" t="str">
        <x:v>T3-L02-CH</x:v>
      </x:c>
      <x:c r="B383" s="2" t="str">
        <x:v>T3</x:v>
      </x:c>
      <x:c r="C383" s="2" t="str">
        <x:v>L02</x:v>
      </x:c>
      <x:c r="D383" s="2" t="str">
        <x:v>Core horizontal bars</x:v>
      </x:c>
      <x:c r="E383" s="21" t="n">
        <x:v>12</x:v>
      </x:c>
      <x:c r="F383" s="21" t="n">
        <x:v>32</x:v>
      </x:c>
      <x:c r="G383" s="21" t="n">
        <x:v>25</x:v>
      </x:c>
      <x:c r="H383" s="21" t="n">
        <x:f>E383^2*'Controls'!$B$52</x:f>
        <x:v>0.8877600000000001</x:v>
      </x:c>
      <x:c r="I383" s="21" t="n">
        <x:f>F383*G383*H383</x:f>
        <x:v>710.2080000000001</x:v>
      </x:c>
      <x:c r="J383" s="2" t="str">
        <x:v>Two faces x 16 layers incl. lap</x:v>
      </x:c>
      <x:c r="K383" s="2"/>
      <x:c r="L383" s="2"/>
      <x:c r="M383" s="2"/>
      <x:c r="N383" s="2"/>
      <x:c r="O383" s="2"/>
      <x:c r="P383" s="2"/>
      <x:c r="Q383" s="2"/>
    </x:row>
    <x:row r="384" ht="22" customHeight="1">
      <x:c r="A384" s="7" t="str">
        <x:v>T3-L02-ST</x:v>
      </x:c>
      <x:c r="B384" s="7" t="str">
        <x:v>T3</x:v>
      </x:c>
      <x:c r="C384" s="7" t="str">
        <x:v>L02</x:v>
      </x:c>
      <x:c r="D384" s="7" t="str">
        <x:v>Stair flights and landings</x:v>
      </x:c>
      <x:c r="E384" s="20" t="n">
        <x:v>12</x:v>
      </x:c>
      <x:c r="F384" s="20" t="n">
        <x:v>80</x:v>
      </x:c>
      <x:c r="G384" s="20" t="n">
        <x:v>4.8</x:v>
      </x:c>
      <x:c r="H384" s="20" t="n">
        <x:f>E384^2*'Controls'!$B$52</x:f>
        <x:v>0.8877600000000001</x:v>
      </x:c>
      <x:c r="I384" s="20" t="n">
        <x:f>F384*G384*H384</x:f>
        <x:v>340.89984000000004</x:v>
      </x:c>
      <x:c r="J384" s="7" t="str">
        <x:v>Separate stair reinforcement allowance</x:v>
      </x:c>
      <x:c r="K384" s="2"/>
      <x:c r="L384" s="2"/>
      <x:c r="M384" s="2"/>
      <x:c r="N384" s="2"/>
      <x:c r="O384" s="2"/>
      <x:c r="P384" s="2"/>
      <x:c r="Q384" s="2"/>
    </x:row>
    <x:row r="385" ht="22" customHeight="1">
      <x:c r="A385" s="2" t="str">
        <x:v>T3-L03-S1</x:v>
      </x:c>
      <x:c r="B385" s="2" t="str">
        <x:v>T3</x:v>
      </x:c>
      <x:c r="C385" s="2" t="str">
        <x:v>L03</x:v>
      </x:c>
      <x:c r="D385" s="2" t="str">
        <x:v>Slab X through strips</x:v>
      </x:c>
      <x:c r="E385" s="21" t="n">
        <x:v>12</x:v>
      </x:c>
      <x:c r="F385" s="21" t="n">
        <x:v>182</x:v>
      </x:c>
      <x:c r="G385" s="21" t="n">
        <x:v>29.95</x:v>
      </x:c>
      <x:c r="H385" s="21" t="n">
        <x:f>E385^2*'Controls'!$B$52</x:f>
        <x:v>0.8877600000000001</x:v>
      </x:c>
      <x:c r="I385" s="21" t="n">
        <x:f>F385*G385*H385</x:f>
        <x:v>4839.090984</x:v>
      </x:c>
      <x:c r="J385" s="2" t="str">
        <x:v>2 layers x 91 bars outside central opening band</x:v>
      </x:c>
      <x:c r="K385" s="2"/>
      <x:c r="L385" s="2"/>
      <x:c r="M385" s="2"/>
      <x:c r="N385" s="2"/>
      <x:c r="O385" s="2"/>
      <x:c r="P385" s="2"/>
      <x:c r="Q385" s="2"/>
    </x:row>
    <x:row r="386" ht="22" customHeight="1">
      <x:c r="A386" s="7" t="str">
        <x:v>T3-L03-S2</x:v>
      </x:c>
      <x:c r="B386" s="7" t="str">
        <x:v>T3</x:v>
      </x:c>
      <x:c r="C386" s="7" t="str">
        <x:v>L03</x:v>
      </x:c>
      <x:c r="D386" s="7" t="str">
        <x:v>Slab X split at core</x:v>
      </x:c>
      <x:c r="E386" s="20" t="n">
        <x:v>12</x:v>
      </x:c>
      <x:c r="F386" s="20" t="n">
        <x:v>60</x:v>
      </x:c>
      <x:c r="G386" s="20" t="n">
        <x:v>25.95</x:v>
      </x:c>
      <x:c r="H386" s="20" t="n">
        <x:f>E386^2*'Controls'!$B$52</x:f>
        <x:v>0.8877600000000001</x:v>
      </x:c>
      <x:c r="I386" s="20" t="n">
        <x:f>F386*G386*H386</x:f>
        <x:v>1382.24232</x:v>
      </x:c>
      <x:c r="J386" s="7" t="str">
        <x:v>2 layers x 30 bars, split lengths combined around 4 m opening</x:v>
      </x:c>
      <x:c r="K386" s="2"/>
      <x:c r="L386" s="2"/>
      <x:c r="M386" s="2"/>
      <x:c r="N386" s="2"/>
      <x:c r="O386" s="2"/>
      <x:c r="P386" s="2"/>
      <x:c r="Q386" s="2"/>
    </x:row>
    <x:row r="387" ht="22" customHeight="1">
      <x:c r="A387" s="2" t="str">
        <x:v>T3-L03-S3</x:v>
      </x:c>
      <x:c r="B387" s="2" t="str">
        <x:v>T3</x:v>
      </x:c>
      <x:c r="C387" s="2" t="str">
        <x:v>L03</x:v>
      </x:c>
      <x:c r="D387" s="2" t="str">
        <x:v>Slab Y through strips</x:v>
      </x:c>
      <x:c r="E387" s="21" t="n">
        <x:v>12</x:v>
      </x:c>
      <x:c r="F387" s="21" t="n">
        <x:v>262</x:v>
      </x:c>
      <x:c r="G387" s="21" t="n">
        <x:v>23.95</x:v>
      </x:c>
      <x:c r="H387" s="21" t="n">
        <x:f>E387^2*'Controls'!$B$52</x:f>
        <x:v>0.8877600000000001</x:v>
      </x:c>
      <x:c r="I387" s="21" t="n">
        <x:f>F387*G387*H387</x:f>
        <x:v>5570.605224</x:v>
      </x:c>
      <x:c r="J387" s="2" t="str">
        <x:v>2 layers x 131 bars outside central opening band</x:v>
      </x:c>
      <x:c r="K387" s="2"/>
      <x:c r="L387" s="2"/>
      <x:c r="M387" s="2"/>
      <x:c r="N387" s="2"/>
      <x:c r="O387" s="2"/>
      <x:c r="P387" s="2"/>
      <x:c r="Q387" s="2"/>
    </x:row>
    <x:row r="388" ht="22" customHeight="1">
      <x:c r="A388" s="7" t="str">
        <x:v>T3-L03-S4</x:v>
      </x:c>
      <x:c r="B388" s="7" t="str">
        <x:v>T3</x:v>
      </x:c>
      <x:c r="C388" s="7" t="str">
        <x:v>L03</x:v>
      </x:c>
      <x:c r="D388" s="7" t="str">
        <x:v>Slab Y split at core</x:v>
      </x:c>
      <x:c r="E388" s="20" t="n">
        <x:v>12</x:v>
      </x:c>
      <x:c r="F388" s="20" t="n">
        <x:v>40</x:v>
      </x:c>
      <x:c r="G388" s="20" t="n">
        <x:v>17.95</x:v>
      </x:c>
      <x:c r="H388" s="20" t="n">
        <x:f>E388^2*'Controls'!$B$52</x:f>
        <x:v>0.8877600000000001</x:v>
      </x:c>
      <x:c r="I388" s="20" t="n">
        <x:f>F388*G388*H388</x:f>
        <x:v>637.41168</x:v>
      </x:c>
      <x:c r="J388" s="7" t="str">
        <x:v>2 layers x 20 bars, split around 6 m opening</x:v>
      </x:c>
      <x:c r="K388" s="2"/>
      <x:c r="L388" s="2"/>
      <x:c r="M388" s="2"/>
      <x:c r="N388" s="2"/>
      <x:c r="O388" s="2"/>
      <x:c r="P388" s="2"/>
      <x:c r="Q388" s="2"/>
    </x:row>
    <x:row r="389" ht="22" customHeight="1">
      <x:c r="A389" s="2" t="str">
        <x:v>T3-L03-S5</x:v>
      </x:c>
      <x:c r="B389" s="2" t="str">
        <x:v>T3</x:v>
      </x:c>
      <x:c r="C389" s="2" t="str">
        <x:v>L03</x:v>
      </x:c>
      <x:c r="D389" s="2" t="str">
        <x:v>Opening trim bars</x:v>
      </x:c>
      <x:c r="E389" s="21" t="n">
        <x:v>16</x:v>
      </x:c>
      <x:c r="F389" s="21" t="n">
        <x:v>16</x:v>
      </x:c>
      <x:c r="G389" s="21" t="n">
        <x:v>7.2</x:v>
      </x:c>
      <x:c r="H389" s="21" t="n">
        <x:f>E389^2*'Controls'!$B$52</x:f>
        <x:v>1.57824</x:v>
      </x:c>
      <x:c r="I389" s="21" t="n">
        <x:f>F389*G389*H389</x:f>
        <x:v>181.81324800000002</x:v>
      </x:c>
      <x:c r="J389" s="2" t="str">
        <x:v>Trim allowance, explicit scheduled lengths</x:v>
      </x:c>
      <x:c r="K389" s="2"/>
      <x:c r="L389" s="2"/>
      <x:c r="M389" s="2"/>
      <x:c r="N389" s="2"/>
      <x:c r="O389" s="2"/>
      <x:c r="P389" s="2"/>
      <x:c r="Q389" s="2"/>
    </x:row>
    <x:row r="390" ht="22" customHeight="1">
      <x:c r="A390" s="7" t="str">
        <x:v>T3-L03-BX</x:v>
      </x:c>
      <x:c r="B390" s="7" t="str">
        <x:v>T3</x:v>
      </x:c>
      <x:c r="C390" s="7" t="str">
        <x:v>L03</x:v>
      </x:c>
      <x:c r="D390" s="7" t="str">
        <x:v>X beam longitudinal</x:v>
      </x:c>
      <x:c r="E390" s="20" t="n">
        <x:v>20</x:v>
      </x:c>
      <x:c r="F390" s="20" t="n">
        <x:v>150</x:v>
      </x:c>
      <x:c r="G390" s="20" t="n">
        <x:v>6.5</x:v>
      </x:c>
      <x:c r="H390" s="20" t="n">
        <x:f>E390^2*'Controls'!$B$52</x:f>
        <x:v>2.466</x:v>
      </x:c>
      <x:c r="I390" s="20" t="n">
        <x:f>F390*G390*H390</x:f>
        <x:v>2404.3500000000004</x:v>
      </x:c>
      <x:c r="J390" s="7" t="str">
        <x:v>25 spans x 6 bars incl. 1 m lap/anchorage provision</x:v>
      </x:c>
      <x:c r="K390" s="2"/>
      <x:c r="L390" s="2"/>
      <x:c r="M390" s="2"/>
      <x:c r="N390" s="2"/>
      <x:c r="O390" s="2"/>
      <x:c r="P390" s="2"/>
      <x:c r="Q390" s="2"/>
    </x:row>
    <x:row r="391" ht="22" customHeight="1">
      <x:c r="A391" s="2" t="str">
        <x:v>T3-L03-BY</x:v>
      </x:c>
      <x:c r="B391" s="2" t="str">
        <x:v>T3</x:v>
      </x:c>
      <x:c r="C391" s="2" t="str">
        <x:v>L03</x:v>
      </x:c>
      <x:c r="D391" s="2" t="str">
        <x:v>Y beam longitudinal</x:v>
      </x:c>
      <x:c r="E391" s="21" t="n">
        <x:v>20</x:v>
      </x:c>
      <x:c r="F391" s="21" t="n">
        <x:v>144</x:v>
      </x:c>
      <x:c r="G391" s="21" t="n">
        <x:v>6.5</x:v>
      </x:c>
      <x:c r="H391" s="21" t="n">
        <x:f>E391^2*'Controls'!$B$52</x:f>
        <x:v>2.466</x:v>
      </x:c>
      <x:c r="I391" s="21" t="n">
        <x:f>F391*G391*H391</x:f>
        <x:v>2308.1760000000004</x:v>
      </x:c>
      <x:c r="J391" s="2" t="str">
        <x:v>24 spans x 6 bars</x:v>
      </x:c>
      <x:c r="K391" s="2"/>
      <x:c r="L391" s="2"/>
      <x:c r="M391" s="2"/>
      <x:c r="N391" s="2"/>
      <x:c r="O391" s="2"/>
      <x:c r="P391" s="2"/>
      <x:c r="Q391" s="2"/>
    </x:row>
    <x:row r="392" ht="22" customHeight="1">
      <x:c r="A392" s="7" t="str">
        <x:v>T3-L03-BT</x:v>
      </x:c>
      <x:c r="B392" s="7" t="str">
        <x:v>T3</x:v>
      </x:c>
      <x:c r="C392" s="7" t="str">
        <x:v>L03</x:v>
      </x:c>
      <x:c r="D392" s="7" t="str">
        <x:v>Beam closed links</x:v>
      </x:c>
      <x:c r="E392" s="20" t="n">
        <x:v>10</x:v>
      </x:c>
      <x:c r="F392" s="20" t="n">
        <x:v>1421</x:v>
      </x:c>
      <x:c r="G392" s="20" t="n">
        <x:v>1.7</x:v>
      </x:c>
      <x:c r="H392" s="20" t="n">
        <x:f>E392^2*'Controls'!$B$52</x:f>
        <x:v>0.6165</x:v>
      </x:c>
      <x:c r="I392" s="20" t="n">
        <x:f>F392*G392*H392</x:f>
        <x:v>1489.27905</x:v>
      </x:c>
      <x:c r="J392" s="7" t="str">
        <x:v>49 beams x 29 links, 200 mm nominal</x:v>
      </x:c>
      <x:c r="K392" s="2"/>
      <x:c r="L392" s="2"/>
      <x:c r="M392" s="2"/>
      <x:c r="N392" s="2"/>
      <x:c r="O392" s="2"/>
      <x:c r="P392" s="2"/>
      <x:c r="Q392" s="2"/>
    </x:row>
    <x:row r="393" ht="22" customHeight="1">
      <x:c r="A393" s="2" t="str">
        <x:v>T3-L03-CL</x:v>
      </x:c>
      <x:c r="B393" s="2" t="str">
        <x:v>T3</x:v>
      </x:c>
      <x:c r="C393" s="2" t="str">
        <x:v>L03</x:v>
      </x:c>
      <x:c r="D393" s="2" t="str">
        <x:v>Column longitudinal</x:v>
      </x:c>
      <x:c r="E393" s="21" t="n">
        <x:v>25</x:v>
      </x:c>
      <x:c r="F393" s="21" t="n">
        <x:v>360</x:v>
      </x:c>
      <x:c r="G393" s="21" t="n">
        <x:v>3.9</x:v>
      </x:c>
      <x:c r="H393" s="21" t="n">
        <x:f>E393^2*'Controls'!$B$52</x:f>
        <x:v>3.8531250000000004</x:v>
      </x:c>
      <x:c r="I393" s="21" t="n">
        <x:f>F393*G393*H393</x:f>
        <x:v>5409.7875</x:v>
      </x:c>
      <x:c r="J393" s="2" t="str">
        <x:v>30 columns x 12 bars incl. lap</x:v>
      </x:c>
      <x:c r="K393" s="2"/>
      <x:c r="L393" s="2"/>
      <x:c r="M393" s="2"/>
      <x:c r="N393" s="2"/>
      <x:c r="O393" s="2"/>
      <x:c r="P393" s="2"/>
      <x:c r="Q393" s="2"/>
    </x:row>
    <x:row r="394" ht="22" customHeight="1">
      <x:c r="A394" s="7" t="str">
        <x:v>T3-L03-CT</x:v>
      </x:c>
      <x:c r="B394" s="7" t="str">
        <x:v>T3</x:v>
      </x:c>
      <x:c r="C394" s="7" t="str">
        <x:v>L03</x:v>
      </x:c>
      <x:c r="D394" s="7" t="str">
        <x:v>Column ties</x:v>
      </x:c>
      <x:c r="E394" s="20" t="n">
        <x:v>10</x:v>
      </x:c>
      <x:c r="F394" s="20" t="n">
        <x:v>510</x:v>
      </x:c>
      <x:c r="G394" s="20" t="n">
        <x:v>1.96</x:v>
      </x:c>
      <x:c r="H394" s="20" t="n">
        <x:f>E394^2*'Controls'!$B$52</x:f>
        <x:v>0.6165</x:v>
      </x:c>
      <x:c r="I394" s="20" t="n">
        <x:f>F394*G394*H394</x:f>
        <x:v>616.2534</x:v>
      </x:c>
      <x:c r="J394" s="7" t="str">
        <x:v>30 columns x 17 ties, cover and hooks included</x:v>
      </x:c>
      <x:c r="K394" s="2"/>
      <x:c r="L394" s="2"/>
      <x:c r="M394" s="2"/>
      <x:c r="N394" s="2"/>
      <x:c r="O394" s="2"/>
      <x:c r="P394" s="2"/>
      <x:c r="Q394" s="2"/>
    </x:row>
    <x:row r="395" ht="22" customHeight="1">
      <x:c r="A395" s="2" t="str">
        <x:v>T3-L03-CV</x:v>
      </x:c>
      <x:c r="B395" s="2" t="str">
        <x:v>T3</x:v>
      </x:c>
      <x:c r="C395" s="2" t="str">
        <x:v>L03</x:v>
      </x:c>
      <x:c r="D395" s="2" t="str">
        <x:v>Core vertical bars</x:v>
      </x:c>
      <x:c r="E395" s="21" t="n">
        <x:v>16</x:v>
      </x:c>
      <x:c r="F395" s="21" t="n">
        <x:v>244</x:v>
      </x:c>
      <x:c r="G395" s="21" t="n">
        <x:v>3.9</x:v>
      </x:c>
      <x:c r="H395" s="21" t="n">
        <x:f>E395^2*'Controls'!$B$52</x:f>
        <x:v>1.57824</x:v>
      </x:c>
      <x:c r="I395" s="21" t="n">
        <x:f>F395*G395*H395</x:f>
        <x:v>1501.853184</x:v>
      </x:c>
      <x:c r="J395" s="2" t="str">
        <x:v>Two faces, 200 mm nominal along 24 m net length</x:v>
      </x:c>
      <x:c r="K395" s="2"/>
      <x:c r="L395" s="2"/>
      <x:c r="M395" s="2"/>
      <x:c r="N395" s="2"/>
      <x:c r="O395" s="2"/>
      <x:c r="P395" s="2"/>
      <x:c r="Q395" s="2"/>
    </x:row>
    <x:row r="396" ht="22" customHeight="1">
      <x:c r="A396" s="7" t="str">
        <x:v>T3-L03-CH</x:v>
      </x:c>
      <x:c r="B396" s="7" t="str">
        <x:v>T3</x:v>
      </x:c>
      <x:c r="C396" s="7" t="str">
        <x:v>L03</x:v>
      </x:c>
      <x:c r="D396" s="7" t="str">
        <x:v>Core horizontal bars</x:v>
      </x:c>
      <x:c r="E396" s="20" t="n">
        <x:v>12</x:v>
      </x:c>
      <x:c r="F396" s="20" t="n">
        <x:v>32</x:v>
      </x:c>
      <x:c r="G396" s="20" t="n">
        <x:v>25</x:v>
      </x:c>
      <x:c r="H396" s="20" t="n">
        <x:f>E396^2*'Controls'!$B$52</x:f>
        <x:v>0.8877600000000001</x:v>
      </x:c>
      <x:c r="I396" s="20" t="n">
        <x:f>F396*G396*H396</x:f>
        <x:v>710.2080000000001</x:v>
      </x:c>
      <x:c r="J396" s="7" t="str">
        <x:v>Two faces x 16 layers incl. lap</x:v>
      </x:c>
      <x:c r="K396" s="2"/>
      <x:c r="L396" s="2"/>
      <x:c r="M396" s="2"/>
      <x:c r="N396" s="2"/>
      <x:c r="O396" s="2"/>
      <x:c r="P396" s="2"/>
      <x:c r="Q396" s="2"/>
    </x:row>
    <x:row r="397" ht="22" customHeight="1">
      <x:c r="A397" s="2" t="str">
        <x:v>T3-L03-ST</x:v>
      </x:c>
      <x:c r="B397" s="2" t="str">
        <x:v>T3</x:v>
      </x:c>
      <x:c r="C397" s="2" t="str">
        <x:v>L03</x:v>
      </x:c>
      <x:c r="D397" s="2" t="str">
        <x:v>Stair flights and landings</x:v>
      </x:c>
      <x:c r="E397" s="21" t="n">
        <x:v>12</x:v>
      </x:c>
      <x:c r="F397" s="21" t="n">
        <x:v>80</x:v>
      </x:c>
      <x:c r="G397" s="21" t="n">
        <x:v>4.8</x:v>
      </x:c>
      <x:c r="H397" s="21" t="n">
        <x:f>E397^2*'Controls'!$B$52</x:f>
        <x:v>0.8877600000000001</x:v>
      </x:c>
      <x:c r="I397" s="21" t="n">
        <x:f>F397*G397*H397</x:f>
        <x:v>340.89984000000004</x:v>
      </x:c>
      <x:c r="J397" s="2" t="str">
        <x:v>Separate stair reinforcement allowance</x:v>
      </x:c>
      <x:c r="K397" s="2"/>
      <x:c r="L397" s="2"/>
      <x:c r="M397" s="2"/>
      <x:c r="N397" s="2"/>
      <x:c r="O397" s="2"/>
      <x:c r="P397" s="2"/>
      <x:c r="Q397" s="2"/>
    </x:row>
    <x:row r="398" ht="22" customHeight="1">
      <x:c r="A398" s="7" t="str">
        <x:v>T3-L04-S1</x:v>
      </x:c>
      <x:c r="B398" s="7" t="str">
        <x:v>T3</x:v>
      </x:c>
      <x:c r="C398" s="7" t="str">
        <x:v>L04</x:v>
      </x:c>
      <x:c r="D398" s="7" t="str">
        <x:v>Slab X through strips</x:v>
      </x:c>
      <x:c r="E398" s="20" t="n">
        <x:v>12</x:v>
      </x:c>
      <x:c r="F398" s="20" t="n">
        <x:v>182</x:v>
      </x:c>
      <x:c r="G398" s="20" t="n">
        <x:v>29.95</x:v>
      </x:c>
      <x:c r="H398" s="20" t="n">
        <x:f>E398^2*'Controls'!$B$52</x:f>
        <x:v>0.8877600000000001</x:v>
      </x:c>
      <x:c r="I398" s="20" t="n">
        <x:f>F398*G398*H398</x:f>
        <x:v>4839.090984</x:v>
      </x:c>
      <x:c r="J398" s="7" t="str">
        <x:v>2 layers x 91 bars outside central opening band</x:v>
      </x:c>
      <x:c r="K398" s="2"/>
      <x:c r="L398" s="2"/>
      <x:c r="M398" s="2"/>
      <x:c r="N398" s="2"/>
      <x:c r="O398" s="2"/>
      <x:c r="P398" s="2"/>
      <x:c r="Q398" s="2"/>
    </x:row>
    <x:row r="399" ht="22" customHeight="1">
      <x:c r="A399" s="2" t="str">
        <x:v>T3-L04-S2</x:v>
      </x:c>
      <x:c r="B399" s="2" t="str">
        <x:v>T3</x:v>
      </x:c>
      <x:c r="C399" s="2" t="str">
        <x:v>L04</x:v>
      </x:c>
      <x:c r="D399" s="2" t="str">
        <x:v>Slab X split at core</x:v>
      </x:c>
      <x:c r="E399" s="21" t="n">
        <x:v>12</x:v>
      </x:c>
      <x:c r="F399" s="21" t="n">
        <x:v>60</x:v>
      </x:c>
      <x:c r="G399" s="21" t="n">
        <x:v>25.95</x:v>
      </x:c>
      <x:c r="H399" s="21" t="n">
        <x:f>E399^2*'Controls'!$B$52</x:f>
        <x:v>0.8877600000000001</x:v>
      </x:c>
      <x:c r="I399" s="21" t="n">
        <x:f>F399*G399*H399</x:f>
        <x:v>1382.24232</x:v>
      </x:c>
      <x:c r="J399" s="2" t="str">
        <x:v>2 layers x 30 bars, split lengths combined around 4 m opening</x:v>
      </x:c>
      <x:c r="K399" s="2"/>
      <x:c r="L399" s="2"/>
      <x:c r="M399" s="2"/>
      <x:c r="N399" s="2"/>
      <x:c r="O399" s="2"/>
      <x:c r="P399" s="2"/>
      <x:c r="Q399" s="2"/>
    </x:row>
    <x:row r="400" ht="22" customHeight="1">
      <x:c r="A400" s="7" t="str">
        <x:v>T3-L04-S3</x:v>
      </x:c>
      <x:c r="B400" s="7" t="str">
        <x:v>T3</x:v>
      </x:c>
      <x:c r="C400" s="7" t="str">
        <x:v>L04</x:v>
      </x:c>
      <x:c r="D400" s="7" t="str">
        <x:v>Slab Y through strips</x:v>
      </x:c>
      <x:c r="E400" s="20" t="n">
        <x:v>12</x:v>
      </x:c>
      <x:c r="F400" s="20" t="n">
        <x:v>262</x:v>
      </x:c>
      <x:c r="G400" s="20" t="n">
        <x:v>23.95</x:v>
      </x:c>
      <x:c r="H400" s="20" t="n">
        <x:f>E400^2*'Controls'!$B$52</x:f>
        <x:v>0.8877600000000001</x:v>
      </x:c>
      <x:c r="I400" s="20" t="n">
        <x:f>F400*G400*H400</x:f>
        <x:v>5570.605224</x:v>
      </x:c>
      <x:c r="J400" s="7" t="str">
        <x:v>2 layers x 131 bars outside central opening band</x:v>
      </x:c>
      <x:c r="K400" s="2"/>
      <x:c r="L400" s="2"/>
      <x:c r="M400" s="2"/>
      <x:c r="N400" s="2"/>
      <x:c r="O400" s="2"/>
      <x:c r="P400" s="2"/>
      <x:c r="Q400" s="2"/>
    </x:row>
    <x:row r="401" ht="22" customHeight="1">
      <x:c r="A401" s="2" t="str">
        <x:v>T3-L04-S4</x:v>
      </x:c>
      <x:c r="B401" s="2" t="str">
        <x:v>T3</x:v>
      </x:c>
      <x:c r="C401" s="2" t="str">
        <x:v>L04</x:v>
      </x:c>
      <x:c r="D401" s="2" t="str">
        <x:v>Slab Y split at core</x:v>
      </x:c>
      <x:c r="E401" s="21" t="n">
        <x:v>12</x:v>
      </x:c>
      <x:c r="F401" s="21" t="n">
        <x:v>40</x:v>
      </x:c>
      <x:c r="G401" s="21" t="n">
        <x:v>17.95</x:v>
      </x:c>
      <x:c r="H401" s="21" t="n">
        <x:f>E401^2*'Controls'!$B$52</x:f>
        <x:v>0.8877600000000001</x:v>
      </x:c>
      <x:c r="I401" s="21" t="n">
        <x:f>F401*G401*H401</x:f>
        <x:v>637.41168</x:v>
      </x:c>
      <x:c r="J401" s="2" t="str">
        <x:v>2 layers x 20 bars, split around 6 m opening</x:v>
      </x:c>
      <x:c r="K401" s="2"/>
      <x:c r="L401" s="2"/>
      <x:c r="M401" s="2"/>
      <x:c r="N401" s="2"/>
      <x:c r="O401" s="2"/>
      <x:c r="P401" s="2"/>
      <x:c r="Q401" s="2"/>
    </x:row>
    <x:row r="402" ht="22" customHeight="1">
      <x:c r="A402" s="7" t="str">
        <x:v>T3-L04-S5</x:v>
      </x:c>
      <x:c r="B402" s="7" t="str">
        <x:v>T3</x:v>
      </x:c>
      <x:c r="C402" s="7" t="str">
        <x:v>L04</x:v>
      </x:c>
      <x:c r="D402" s="7" t="str">
        <x:v>Opening trim bars</x:v>
      </x:c>
      <x:c r="E402" s="20" t="n">
        <x:v>16</x:v>
      </x:c>
      <x:c r="F402" s="20" t="n">
        <x:v>16</x:v>
      </x:c>
      <x:c r="G402" s="20" t="n">
        <x:v>7.2</x:v>
      </x:c>
      <x:c r="H402" s="20" t="n">
        <x:f>E402^2*'Controls'!$B$52</x:f>
        <x:v>1.57824</x:v>
      </x:c>
      <x:c r="I402" s="20" t="n">
        <x:f>F402*G402*H402</x:f>
        <x:v>181.81324800000002</x:v>
      </x:c>
      <x:c r="J402" s="7" t="str">
        <x:v>Trim allowance, explicit scheduled lengths</x:v>
      </x:c>
      <x:c r="K402" s="2"/>
      <x:c r="L402" s="2"/>
      <x:c r="M402" s="2"/>
      <x:c r="N402" s="2"/>
      <x:c r="O402" s="2"/>
      <x:c r="P402" s="2"/>
      <x:c r="Q402" s="2"/>
    </x:row>
    <x:row r="403" ht="22" customHeight="1">
      <x:c r="A403" s="2" t="str">
        <x:v>T3-L04-BX</x:v>
      </x:c>
      <x:c r="B403" s="2" t="str">
        <x:v>T3</x:v>
      </x:c>
      <x:c r="C403" s="2" t="str">
        <x:v>L04</x:v>
      </x:c>
      <x:c r="D403" s="2" t="str">
        <x:v>X beam longitudinal</x:v>
      </x:c>
      <x:c r="E403" s="21" t="n">
        <x:v>20</x:v>
      </x:c>
      <x:c r="F403" s="21" t="n">
        <x:v>150</x:v>
      </x:c>
      <x:c r="G403" s="21" t="n">
        <x:v>6.5</x:v>
      </x:c>
      <x:c r="H403" s="21" t="n">
        <x:f>E403^2*'Controls'!$B$52</x:f>
        <x:v>2.466</x:v>
      </x:c>
      <x:c r="I403" s="21" t="n">
        <x:f>F403*G403*H403</x:f>
        <x:v>2404.3500000000004</x:v>
      </x:c>
      <x:c r="J403" s="2" t="str">
        <x:v>25 spans x 6 bars incl. 1 m lap/anchorage provision</x:v>
      </x:c>
      <x:c r="K403" s="2"/>
      <x:c r="L403" s="2"/>
      <x:c r="M403" s="2"/>
      <x:c r="N403" s="2"/>
      <x:c r="O403" s="2"/>
      <x:c r="P403" s="2"/>
      <x:c r="Q403" s="2"/>
    </x:row>
    <x:row r="404" ht="22" customHeight="1">
      <x:c r="A404" s="7" t="str">
        <x:v>T3-L04-BY</x:v>
      </x:c>
      <x:c r="B404" s="7" t="str">
        <x:v>T3</x:v>
      </x:c>
      <x:c r="C404" s="7" t="str">
        <x:v>L04</x:v>
      </x:c>
      <x:c r="D404" s="7" t="str">
        <x:v>Y beam longitudinal</x:v>
      </x:c>
      <x:c r="E404" s="20" t="n">
        <x:v>20</x:v>
      </x:c>
      <x:c r="F404" s="20" t="n">
        <x:v>144</x:v>
      </x:c>
      <x:c r="G404" s="20" t="n">
        <x:v>6.5</x:v>
      </x:c>
      <x:c r="H404" s="20" t="n">
        <x:f>E404^2*'Controls'!$B$52</x:f>
        <x:v>2.466</x:v>
      </x:c>
      <x:c r="I404" s="20" t="n">
        <x:f>F404*G404*H404</x:f>
        <x:v>2308.1760000000004</x:v>
      </x:c>
      <x:c r="J404" s="7" t="str">
        <x:v>24 spans x 6 bars</x:v>
      </x:c>
      <x:c r="K404" s="2"/>
      <x:c r="L404" s="2"/>
      <x:c r="M404" s="2"/>
      <x:c r="N404" s="2"/>
      <x:c r="O404" s="2"/>
      <x:c r="P404" s="2"/>
      <x:c r="Q404" s="2"/>
    </x:row>
    <x:row r="405" ht="22" customHeight="1">
      <x:c r="A405" s="2" t="str">
        <x:v>T3-L04-BT</x:v>
      </x:c>
      <x:c r="B405" s="2" t="str">
        <x:v>T3</x:v>
      </x:c>
      <x:c r="C405" s="2" t="str">
        <x:v>L04</x:v>
      </x:c>
      <x:c r="D405" s="2" t="str">
        <x:v>Beam closed links</x:v>
      </x:c>
      <x:c r="E405" s="21" t="n">
        <x:v>10</x:v>
      </x:c>
      <x:c r="F405" s="21" t="n">
        <x:v>1421</x:v>
      </x:c>
      <x:c r="G405" s="21" t="n">
        <x:v>1.7</x:v>
      </x:c>
      <x:c r="H405" s="21" t="n">
        <x:f>E405^2*'Controls'!$B$52</x:f>
        <x:v>0.6165</x:v>
      </x:c>
      <x:c r="I405" s="21" t="n">
        <x:f>F405*G405*H405</x:f>
        <x:v>1489.27905</x:v>
      </x:c>
      <x:c r="J405" s="2" t="str">
        <x:v>49 beams x 29 links, 200 mm nominal</x:v>
      </x:c>
      <x:c r="K405" s="2"/>
      <x:c r="L405" s="2"/>
      <x:c r="M405" s="2"/>
      <x:c r="N405" s="2"/>
      <x:c r="O405" s="2"/>
      <x:c r="P405" s="2"/>
      <x:c r="Q405" s="2"/>
    </x:row>
    <x:row r="406" ht="22" customHeight="1">
      <x:c r="A406" s="7" t="str">
        <x:v>T3-L04-CL</x:v>
      </x:c>
      <x:c r="B406" s="7" t="str">
        <x:v>T3</x:v>
      </x:c>
      <x:c r="C406" s="7" t="str">
        <x:v>L04</x:v>
      </x:c>
      <x:c r="D406" s="7" t="str">
        <x:v>Column longitudinal</x:v>
      </x:c>
      <x:c r="E406" s="20" t="n">
        <x:v>25</x:v>
      </x:c>
      <x:c r="F406" s="20" t="n">
        <x:v>360</x:v>
      </x:c>
      <x:c r="G406" s="20" t="n">
        <x:v>3.9</x:v>
      </x:c>
      <x:c r="H406" s="20" t="n">
        <x:f>E406^2*'Controls'!$B$52</x:f>
        <x:v>3.8531250000000004</x:v>
      </x:c>
      <x:c r="I406" s="20" t="n">
        <x:f>F406*G406*H406</x:f>
        <x:v>5409.7875</x:v>
      </x:c>
      <x:c r="J406" s="7" t="str">
        <x:v>30 columns x 12 bars incl. lap</x:v>
      </x:c>
      <x:c r="K406" s="2"/>
      <x:c r="L406" s="2"/>
      <x:c r="M406" s="2"/>
      <x:c r="N406" s="2"/>
      <x:c r="O406" s="2"/>
      <x:c r="P406" s="2"/>
      <x:c r="Q406" s="2"/>
    </x:row>
    <x:row r="407" ht="22" customHeight="1">
      <x:c r="A407" s="2" t="str">
        <x:v>T3-L04-CT</x:v>
      </x:c>
      <x:c r="B407" s="2" t="str">
        <x:v>T3</x:v>
      </x:c>
      <x:c r="C407" s="2" t="str">
        <x:v>L04</x:v>
      </x:c>
      <x:c r="D407" s="2" t="str">
        <x:v>Column ties</x:v>
      </x:c>
      <x:c r="E407" s="21" t="n">
        <x:v>10</x:v>
      </x:c>
      <x:c r="F407" s="21" t="n">
        <x:v>510</x:v>
      </x:c>
      <x:c r="G407" s="21" t="n">
        <x:v>1.96</x:v>
      </x:c>
      <x:c r="H407" s="21" t="n">
        <x:f>E407^2*'Controls'!$B$52</x:f>
        <x:v>0.6165</x:v>
      </x:c>
      <x:c r="I407" s="21" t="n">
        <x:f>F407*G407*H407</x:f>
        <x:v>616.2534</x:v>
      </x:c>
      <x:c r="J407" s="2" t="str">
        <x:v>30 columns x 17 ties, cover and hooks included</x:v>
      </x:c>
      <x:c r="K407" s="2"/>
      <x:c r="L407" s="2"/>
      <x:c r="M407" s="2"/>
      <x:c r="N407" s="2"/>
      <x:c r="O407" s="2"/>
      <x:c r="P407" s="2"/>
      <x:c r="Q407" s="2"/>
    </x:row>
    <x:row r="408" ht="22" customHeight="1">
      <x:c r="A408" s="7" t="str">
        <x:v>T3-L04-CV</x:v>
      </x:c>
      <x:c r="B408" s="7" t="str">
        <x:v>T3</x:v>
      </x:c>
      <x:c r="C408" s="7" t="str">
        <x:v>L04</x:v>
      </x:c>
      <x:c r="D408" s="7" t="str">
        <x:v>Core vertical bars</x:v>
      </x:c>
      <x:c r="E408" s="20" t="n">
        <x:v>16</x:v>
      </x:c>
      <x:c r="F408" s="20" t="n">
        <x:v>244</x:v>
      </x:c>
      <x:c r="G408" s="20" t="n">
        <x:v>3.9</x:v>
      </x:c>
      <x:c r="H408" s="20" t="n">
        <x:f>E408^2*'Controls'!$B$52</x:f>
        <x:v>1.57824</x:v>
      </x:c>
      <x:c r="I408" s="20" t="n">
        <x:f>F408*G408*H408</x:f>
        <x:v>1501.853184</x:v>
      </x:c>
      <x:c r="J408" s="7" t="str">
        <x:v>Two faces, 200 mm nominal along 24 m net length</x:v>
      </x:c>
      <x:c r="K408" s="2"/>
      <x:c r="L408" s="2"/>
      <x:c r="M408" s="2"/>
      <x:c r="N408" s="2"/>
      <x:c r="O408" s="2"/>
      <x:c r="P408" s="2"/>
      <x:c r="Q408" s="2"/>
    </x:row>
    <x:row r="409" ht="22" customHeight="1">
      <x:c r="A409" s="2" t="str">
        <x:v>T3-L04-CH</x:v>
      </x:c>
      <x:c r="B409" s="2" t="str">
        <x:v>T3</x:v>
      </x:c>
      <x:c r="C409" s="2" t="str">
        <x:v>L04</x:v>
      </x:c>
      <x:c r="D409" s="2" t="str">
        <x:v>Core horizontal bars</x:v>
      </x:c>
      <x:c r="E409" s="21" t="n">
        <x:v>12</x:v>
      </x:c>
      <x:c r="F409" s="21" t="n">
        <x:v>32</x:v>
      </x:c>
      <x:c r="G409" s="21" t="n">
        <x:v>25</x:v>
      </x:c>
      <x:c r="H409" s="21" t="n">
        <x:f>E409^2*'Controls'!$B$52</x:f>
        <x:v>0.8877600000000001</x:v>
      </x:c>
      <x:c r="I409" s="21" t="n">
        <x:f>F409*G409*H409</x:f>
        <x:v>710.2080000000001</x:v>
      </x:c>
      <x:c r="J409" s="2" t="str">
        <x:v>Two faces x 16 layers incl. lap</x:v>
      </x:c>
      <x:c r="K409" s="2"/>
      <x:c r="L409" s="2"/>
      <x:c r="M409" s="2"/>
      <x:c r="N409" s="2"/>
      <x:c r="O409" s="2"/>
      <x:c r="P409" s="2"/>
      <x:c r="Q409" s="2"/>
    </x:row>
    <x:row r="410" ht="22" customHeight="1">
      <x:c r="A410" s="7" t="str">
        <x:v>T3-L04-ST</x:v>
      </x:c>
      <x:c r="B410" s="7" t="str">
        <x:v>T3</x:v>
      </x:c>
      <x:c r="C410" s="7" t="str">
        <x:v>L04</x:v>
      </x:c>
      <x:c r="D410" s="7" t="str">
        <x:v>Stair flights and landings</x:v>
      </x:c>
      <x:c r="E410" s="20" t="n">
        <x:v>12</x:v>
      </x:c>
      <x:c r="F410" s="20" t="n">
        <x:v>80</x:v>
      </x:c>
      <x:c r="G410" s="20" t="n">
        <x:v>4.8</x:v>
      </x:c>
      <x:c r="H410" s="20" t="n">
        <x:f>E410^2*'Controls'!$B$52</x:f>
        <x:v>0.8877600000000001</x:v>
      </x:c>
      <x:c r="I410" s="20" t="n">
        <x:f>F410*G410*H410</x:f>
        <x:v>340.89984000000004</x:v>
      </x:c>
      <x:c r="J410" s="7" t="str">
        <x:v>Separate stair reinforcement allowance</x:v>
      </x:c>
      <x:c r="K410" s="2"/>
      <x:c r="L410" s="2"/>
      <x:c r="M410" s="2"/>
      <x:c r="N410" s="2"/>
      <x:c r="O410" s="2"/>
      <x:c r="P410" s="2"/>
      <x:c r="Q410" s="2"/>
    </x:row>
    <x:row r="411" ht="22" customHeight="1">
      <x:c r="A411" s="2" t="str">
        <x:v>T3-L05-S1</x:v>
      </x:c>
      <x:c r="B411" s="2" t="str">
        <x:v>T3</x:v>
      </x:c>
      <x:c r="C411" s="2" t="str">
        <x:v>L05</x:v>
      </x:c>
      <x:c r="D411" s="2" t="str">
        <x:v>Slab X through strips</x:v>
      </x:c>
      <x:c r="E411" s="21" t="n">
        <x:v>12</x:v>
      </x:c>
      <x:c r="F411" s="21" t="n">
        <x:v>182</x:v>
      </x:c>
      <x:c r="G411" s="21" t="n">
        <x:v>29.95</x:v>
      </x:c>
      <x:c r="H411" s="21" t="n">
        <x:f>E411^2*'Controls'!$B$52</x:f>
        <x:v>0.8877600000000001</x:v>
      </x:c>
      <x:c r="I411" s="21" t="n">
        <x:f>F411*G411*H411</x:f>
        <x:v>4839.090984</x:v>
      </x:c>
      <x:c r="J411" s="2" t="str">
        <x:v>2 layers x 91 bars outside central opening band</x:v>
      </x:c>
      <x:c r="K411" s="2"/>
      <x:c r="L411" s="2"/>
      <x:c r="M411" s="2"/>
      <x:c r="N411" s="2"/>
      <x:c r="O411" s="2"/>
      <x:c r="P411" s="2"/>
      <x:c r="Q411" s="2"/>
    </x:row>
    <x:row r="412" ht="22" customHeight="1">
      <x:c r="A412" s="7" t="str">
        <x:v>T3-L05-S2</x:v>
      </x:c>
      <x:c r="B412" s="7" t="str">
        <x:v>T3</x:v>
      </x:c>
      <x:c r="C412" s="7" t="str">
        <x:v>L05</x:v>
      </x:c>
      <x:c r="D412" s="7" t="str">
        <x:v>Slab X split at core</x:v>
      </x:c>
      <x:c r="E412" s="20" t="n">
        <x:v>12</x:v>
      </x:c>
      <x:c r="F412" s="20" t="n">
        <x:v>60</x:v>
      </x:c>
      <x:c r="G412" s="20" t="n">
        <x:v>25.95</x:v>
      </x:c>
      <x:c r="H412" s="20" t="n">
        <x:f>E412^2*'Controls'!$B$52</x:f>
        <x:v>0.8877600000000001</x:v>
      </x:c>
      <x:c r="I412" s="20" t="n">
        <x:f>F412*G412*H412</x:f>
        <x:v>1382.24232</x:v>
      </x:c>
      <x:c r="J412" s="7" t="str">
        <x:v>2 layers x 30 bars, split lengths combined around 4 m opening</x:v>
      </x:c>
      <x:c r="K412" s="2"/>
      <x:c r="L412" s="2"/>
      <x:c r="M412" s="2"/>
      <x:c r="N412" s="2"/>
      <x:c r="O412" s="2"/>
      <x:c r="P412" s="2"/>
      <x:c r="Q412" s="2"/>
    </x:row>
    <x:row r="413" ht="22" customHeight="1">
      <x:c r="A413" s="2" t="str">
        <x:v>T3-L05-S3</x:v>
      </x:c>
      <x:c r="B413" s="2" t="str">
        <x:v>T3</x:v>
      </x:c>
      <x:c r="C413" s="2" t="str">
        <x:v>L05</x:v>
      </x:c>
      <x:c r="D413" s="2" t="str">
        <x:v>Slab Y through strips</x:v>
      </x:c>
      <x:c r="E413" s="21" t="n">
        <x:v>12</x:v>
      </x:c>
      <x:c r="F413" s="21" t="n">
        <x:v>262</x:v>
      </x:c>
      <x:c r="G413" s="21" t="n">
        <x:v>23.95</x:v>
      </x:c>
      <x:c r="H413" s="21" t="n">
        <x:f>E413^2*'Controls'!$B$52</x:f>
        <x:v>0.8877600000000001</x:v>
      </x:c>
      <x:c r="I413" s="21" t="n">
        <x:f>F413*G413*H413</x:f>
        <x:v>5570.605224</x:v>
      </x:c>
      <x:c r="J413" s="2" t="str">
        <x:v>2 layers x 131 bars outside central opening band</x:v>
      </x:c>
      <x:c r="K413" s="2"/>
      <x:c r="L413" s="2"/>
      <x:c r="M413" s="2"/>
      <x:c r="N413" s="2"/>
      <x:c r="O413" s="2"/>
      <x:c r="P413" s="2"/>
      <x:c r="Q413" s="2"/>
    </x:row>
    <x:row r="414" ht="22" customHeight="1">
      <x:c r="A414" s="7" t="str">
        <x:v>T3-L05-S4</x:v>
      </x:c>
      <x:c r="B414" s="7" t="str">
        <x:v>T3</x:v>
      </x:c>
      <x:c r="C414" s="7" t="str">
        <x:v>L05</x:v>
      </x:c>
      <x:c r="D414" s="7" t="str">
        <x:v>Slab Y split at core</x:v>
      </x:c>
      <x:c r="E414" s="20" t="n">
        <x:v>12</x:v>
      </x:c>
      <x:c r="F414" s="20" t="n">
        <x:v>40</x:v>
      </x:c>
      <x:c r="G414" s="20" t="n">
        <x:v>17.95</x:v>
      </x:c>
      <x:c r="H414" s="20" t="n">
        <x:f>E414^2*'Controls'!$B$52</x:f>
        <x:v>0.8877600000000001</x:v>
      </x:c>
      <x:c r="I414" s="20" t="n">
        <x:f>F414*G414*H414</x:f>
        <x:v>637.41168</x:v>
      </x:c>
      <x:c r="J414" s="7" t="str">
        <x:v>2 layers x 20 bars, split around 6 m opening</x:v>
      </x:c>
      <x:c r="K414" s="2"/>
      <x:c r="L414" s="2"/>
      <x:c r="M414" s="2"/>
      <x:c r="N414" s="2"/>
      <x:c r="O414" s="2"/>
      <x:c r="P414" s="2"/>
      <x:c r="Q414" s="2"/>
    </x:row>
    <x:row r="415" ht="22" customHeight="1">
      <x:c r="A415" s="2" t="str">
        <x:v>T3-L05-S5</x:v>
      </x:c>
      <x:c r="B415" s="2" t="str">
        <x:v>T3</x:v>
      </x:c>
      <x:c r="C415" s="2" t="str">
        <x:v>L05</x:v>
      </x:c>
      <x:c r="D415" s="2" t="str">
        <x:v>Opening trim bars</x:v>
      </x:c>
      <x:c r="E415" s="21" t="n">
        <x:v>16</x:v>
      </x:c>
      <x:c r="F415" s="21" t="n">
        <x:v>16</x:v>
      </x:c>
      <x:c r="G415" s="21" t="n">
        <x:v>7.2</x:v>
      </x:c>
      <x:c r="H415" s="21" t="n">
        <x:f>E415^2*'Controls'!$B$52</x:f>
        <x:v>1.57824</x:v>
      </x:c>
      <x:c r="I415" s="21" t="n">
        <x:f>F415*G415*H415</x:f>
        <x:v>181.81324800000002</x:v>
      </x:c>
      <x:c r="J415" s="2" t="str">
        <x:v>Trim allowance, explicit scheduled lengths</x:v>
      </x:c>
      <x:c r="K415" s="2"/>
      <x:c r="L415" s="2"/>
      <x:c r="M415" s="2"/>
      <x:c r="N415" s="2"/>
      <x:c r="O415" s="2"/>
      <x:c r="P415" s="2"/>
      <x:c r="Q415" s="2"/>
    </x:row>
    <x:row r="416" ht="22" customHeight="1">
      <x:c r="A416" s="7" t="str">
        <x:v>T3-L05-BX</x:v>
      </x:c>
      <x:c r="B416" s="7" t="str">
        <x:v>T3</x:v>
      </x:c>
      <x:c r="C416" s="7" t="str">
        <x:v>L05</x:v>
      </x:c>
      <x:c r="D416" s="7" t="str">
        <x:v>X beam longitudinal</x:v>
      </x:c>
      <x:c r="E416" s="20" t="n">
        <x:v>20</x:v>
      </x:c>
      <x:c r="F416" s="20" t="n">
        <x:v>150</x:v>
      </x:c>
      <x:c r="G416" s="20" t="n">
        <x:v>6.5</x:v>
      </x:c>
      <x:c r="H416" s="20" t="n">
        <x:f>E416^2*'Controls'!$B$52</x:f>
        <x:v>2.466</x:v>
      </x:c>
      <x:c r="I416" s="20" t="n">
        <x:f>F416*G416*H416</x:f>
        <x:v>2404.3500000000004</x:v>
      </x:c>
      <x:c r="J416" s="7" t="str">
        <x:v>25 spans x 6 bars incl. 1 m lap/anchorage provision</x:v>
      </x:c>
      <x:c r="K416" s="2"/>
      <x:c r="L416" s="2"/>
      <x:c r="M416" s="2"/>
      <x:c r="N416" s="2"/>
      <x:c r="O416" s="2"/>
      <x:c r="P416" s="2"/>
      <x:c r="Q416" s="2"/>
    </x:row>
    <x:row r="417" ht="22" customHeight="1">
      <x:c r="A417" s="2" t="str">
        <x:v>T3-L05-BY</x:v>
      </x:c>
      <x:c r="B417" s="2" t="str">
        <x:v>T3</x:v>
      </x:c>
      <x:c r="C417" s="2" t="str">
        <x:v>L05</x:v>
      </x:c>
      <x:c r="D417" s="2" t="str">
        <x:v>Y beam longitudinal</x:v>
      </x:c>
      <x:c r="E417" s="21" t="n">
        <x:v>20</x:v>
      </x:c>
      <x:c r="F417" s="21" t="n">
        <x:v>144</x:v>
      </x:c>
      <x:c r="G417" s="21" t="n">
        <x:v>6.5</x:v>
      </x:c>
      <x:c r="H417" s="21" t="n">
        <x:f>E417^2*'Controls'!$B$52</x:f>
        <x:v>2.466</x:v>
      </x:c>
      <x:c r="I417" s="21" t="n">
        <x:f>F417*G417*H417</x:f>
        <x:v>2308.1760000000004</x:v>
      </x:c>
      <x:c r="J417" s="2" t="str">
        <x:v>24 spans x 6 bars</x:v>
      </x:c>
      <x:c r="K417" s="2"/>
      <x:c r="L417" s="2"/>
      <x:c r="M417" s="2"/>
      <x:c r="N417" s="2"/>
      <x:c r="O417" s="2"/>
      <x:c r="P417" s="2"/>
      <x:c r="Q417" s="2"/>
    </x:row>
    <x:row r="418" ht="22" customHeight="1">
      <x:c r="A418" s="7" t="str">
        <x:v>T3-L05-BT</x:v>
      </x:c>
      <x:c r="B418" s="7" t="str">
        <x:v>T3</x:v>
      </x:c>
      <x:c r="C418" s="7" t="str">
        <x:v>L05</x:v>
      </x:c>
      <x:c r="D418" s="7" t="str">
        <x:v>Beam closed links</x:v>
      </x:c>
      <x:c r="E418" s="20" t="n">
        <x:v>10</x:v>
      </x:c>
      <x:c r="F418" s="20" t="n">
        <x:v>1421</x:v>
      </x:c>
      <x:c r="G418" s="20" t="n">
        <x:v>1.7</x:v>
      </x:c>
      <x:c r="H418" s="20" t="n">
        <x:f>E418^2*'Controls'!$B$52</x:f>
        <x:v>0.6165</x:v>
      </x:c>
      <x:c r="I418" s="20" t="n">
        <x:f>F418*G418*H418</x:f>
        <x:v>1489.27905</x:v>
      </x:c>
      <x:c r="J418" s="7" t="str">
        <x:v>49 beams x 29 links, 200 mm nominal</x:v>
      </x:c>
      <x:c r="K418" s="2"/>
      <x:c r="L418" s="2"/>
      <x:c r="M418" s="2"/>
      <x:c r="N418" s="2"/>
      <x:c r="O418" s="2"/>
      <x:c r="P418" s="2"/>
      <x:c r="Q418" s="2"/>
    </x:row>
    <x:row r="419" ht="22" customHeight="1">
      <x:c r="A419" s="2" t="str">
        <x:v>T3-L05-CL</x:v>
      </x:c>
      <x:c r="B419" s="2" t="str">
        <x:v>T3</x:v>
      </x:c>
      <x:c r="C419" s="2" t="str">
        <x:v>L05</x:v>
      </x:c>
      <x:c r="D419" s="2" t="str">
        <x:v>Column longitudinal</x:v>
      </x:c>
      <x:c r="E419" s="21" t="n">
        <x:v>25</x:v>
      </x:c>
      <x:c r="F419" s="21" t="n">
        <x:v>360</x:v>
      </x:c>
      <x:c r="G419" s="21" t="n">
        <x:v>3.9</x:v>
      </x:c>
      <x:c r="H419" s="21" t="n">
        <x:f>E419^2*'Controls'!$B$52</x:f>
        <x:v>3.8531250000000004</x:v>
      </x:c>
      <x:c r="I419" s="21" t="n">
        <x:f>F419*G419*H419</x:f>
        <x:v>5409.7875</x:v>
      </x:c>
      <x:c r="J419" s="2" t="str">
        <x:v>30 columns x 12 bars incl. lap</x:v>
      </x:c>
      <x:c r="K419" s="2"/>
      <x:c r="L419" s="2"/>
      <x:c r="M419" s="2"/>
      <x:c r="N419" s="2"/>
      <x:c r="O419" s="2"/>
      <x:c r="P419" s="2"/>
      <x:c r="Q419" s="2"/>
    </x:row>
    <x:row r="420" ht="22" customHeight="1">
      <x:c r="A420" s="7" t="str">
        <x:v>T3-L05-CT</x:v>
      </x:c>
      <x:c r="B420" s="7" t="str">
        <x:v>T3</x:v>
      </x:c>
      <x:c r="C420" s="7" t="str">
        <x:v>L05</x:v>
      </x:c>
      <x:c r="D420" s="7" t="str">
        <x:v>Column ties</x:v>
      </x:c>
      <x:c r="E420" s="20" t="n">
        <x:v>10</x:v>
      </x:c>
      <x:c r="F420" s="20" t="n">
        <x:v>510</x:v>
      </x:c>
      <x:c r="G420" s="20" t="n">
        <x:v>1.96</x:v>
      </x:c>
      <x:c r="H420" s="20" t="n">
        <x:f>E420^2*'Controls'!$B$52</x:f>
        <x:v>0.6165</x:v>
      </x:c>
      <x:c r="I420" s="20" t="n">
        <x:f>F420*G420*H420</x:f>
        <x:v>616.2534</x:v>
      </x:c>
      <x:c r="J420" s="7" t="str">
        <x:v>30 columns x 17 ties, cover and hooks included</x:v>
      </x:c>
      <x:c r="K420" s="2"/>
      <x:c r="L420" s="2"/>
      <x:c r="M420" s="2"/>
      <x:c r="N420" s="2"/>
      <x:c r="O420" s="2"/>
      <x:c r="P420" s="2"/>
      <x:c r="Q420" s="2"/>
    </x:row>
    <x:row r="421" ht="22" customHeight="1">
      <x:c r="A421" s="2" t="str">
        <x:v>T3-L05-CV</x:v>
      </x:c>
      <x:c r="B421" s="2" t="str">
        <x:v>T3</x:v>
      </x:c>
      <x:c r="C421" s="2" t="str">
        <x:v>L05</x:v>
      </x:c>
      <x:c r="D421" s="2" t="str">
        <x:v>Core vertical bars</x:v>
      </x:c>
      <x:c r="E421" s="21" t="n">
        <x:v>16</x:v>
      </x:c>
      <x:c r="F421" s="21" t="n">
        <x:v>244</x:v>
      </x:c>
      <x:c r="G421" s="21" t="n">
        <x:v>3.9</x:v>
      </x:c>
      <x:c r="H421" s="21" t="n">
        <x:f>E421^2*'Controls'!$B$52</x:f>
        <x:v>1.57824</x:v>
      </x:c>
      <x:c r="I421" s="21" t="n">
        <x:f>F421*G421*H421</x:f>
        <x:v>1501.853184</x:v>
      </x:c>
      <x:c r="J421" s="2" t="str">
        <x:v>Two faces, 200 mm nominal along 24 m net length</x:v>
      </x:c>
      <x:c r="K421" s="2"/>
      <x:c r="L421" s="2"/>
      <x:c r="M421" s="2"/>
      <x:c r="N421" s="2"/>
      <x:c r="O421" s="2"/>
      <x:c r="P421" s="2"/>
      <x:c r="Q421" s="2"/>
    </x:row>
    <x:row r="422" ht="22" customHeight="1">
      <x:c r="A422" s="7" t="str">
        <x:v>T3-L05-CH</x:v>
      </x:c>
      <x:c r="B422" s="7" t="str">
        <x:v>T3</x:v>
      </x:c>
      <x:c r="C422" s="7" t="str">
        <x:v>L05</x:v>
      </x:c>
      <x:c r="D422" s="7" t="str">
        <x:v>Core horizontal bars</x:v>
      </x:c>
      <x:c r="E422" s="20" t="n">
        <x:v>12</x:v>
      </x:c>
      <x:c r="F422" s="20" t="n">
        <x:v>32</x:v>
      </x:c>
      <x:c r="G422" s="20" t="n">
        <x:v>25</x:v>
      </x:c>
      <x:c r="H422" s="20" t="n">
        <x:f>E422^2*'Controls'!$B$52</x:f>
        <x:v>0.8877600000000001</x:v>
      </x:c>
      <x:c r="I422" s="20" t="n">
        <x:f>F422*G422*H422</x:f>
        <x:v>710.2080000000001</x:v>
      </x:c>
      <x:c r="J422" s="7" t="str">
        <x:v>Two faces x 16 layers incl. lap</x:v>
      </x:c>
      <x:c r="K422" s="2"/>
      <x:c r="L422" s="2"/>
      <x:c r="M422" s="2"/>
      <x:c r="N422" s="2"/>
      <x:c r="O422" s="2"/>
      <x:c r="P422" s="2"/>
      <x:c r="Q422" s="2"/>
    </x:row>
    <x:row r="423" ht="22" customHeight="1">
      <x:c r="A423" s="2" t="str">
        <x:v>T3-L05-ST</x:v>
      </x:c>
      <x:c r="B423" s="2" t="str">
        <x:v>T3</x:v>
      </x:c>
      <x:c r="C423" s="2" t="str">
        <x:v>L05</x:v>
      </x:c>
      <x:c r="D423" s="2" t="str">
        <x:v>Stair flights and landings</x:v>
      </x:c>
      <x:c r="E423" s="21" t="n">
        <x:v>12</x:v>
      </x:c>
      <x:c r="F423" s="21" t="n">
        <x:v>80</x:v>
      </x:c>
      <x:c r="G423" s="21" t="n">
        <x:v>4.8</x:v>
      </x:c>
      <x:c r="H423" s="21" t="n">
        <x:f>E423^2*'Controls'!$B$52</x:f>
        <x:v>0.8877600000000001</x:v>
      </x:c>
      <x:c r="I423" s="21" t="n">
        <x:f>F423*G423*H423</x:f>
        <x:v>340.89984000000004</x:v>
      </x:c>
      <x:c r="J423" s="2" t="str">
        <x:v>Separate stair reinforcement allowance</x:v>
      </x:c>
      <x:c r="K423" s="2"/>
      <x:c r="L423" s="2"/>
      <x:c r="M423" s="2"/>
      <x:c r="N423" s="2"/>
      <x:c r="O423" s="2"/>
      <x:c r="P423" s="2"/>
      <x:c r="Q423" s="2"/>
    </x:row>
    <x:row r="424" ht="22" customHeight="1">
      <x:c r="A424" s="7" t="str">
        <x:v>T3-L06-S1</x:v>
      </x:c>
      <x:c r="B424" s="7" t="str">
        <x:v>T3</x:v>
      </x:c>
      <x:c r="C424" s="7" t="str">
        <x:v>L06</x:v>
      </x:c>
      <x:c r="D424" s="7" t="str">
        <x:v>Slab X through strips</x:v>
      </x:c>
      <x:c r="E424" s="20" t="n">
        <x:v>12</x:v>
      </x:c>
      <x:c r="F424" s="20" t="n">
        <x:v>182</x:v>
      </x:c>
      <x:c r="G424" s="20" t="n">
        <x:v>29.95</x:v>
      </x:c>
      <x:c r="H424" s="20" t="n">
        <x:f>E424^2*'Controls'!$B$52</x:f>
        <x:v>0.8877600000000001</x:v>
      </x:c>
      <x:c r="I424" s="20" t="n">
        <x:f>F424*G424*H424</x:f>
        <x:v>4839.090984</x:v>
      </x:c>
      <x:c r="J424" s="7" t="str">
        <x:v>2 layers x 91 bars outside central opening band</x:v>
      </x:c>
      <x:c r="K424" s="2"/>
      <x:c r="L424" s="2"/>
      <x:c r="M424" s="2"/>
      <x:c r="N424" s="2"/>
      <x:c r="O424" s="2"/>
      <x:c r="P424" s="2"/>
      <x:c r="Q424" s="2"/>
    </x:row>
    <x:row r="425" ht="22" customHeight="1">
      <x:c r="A425" s="2" t="str">
        <x:v>T3-L06-S2</x:v>
      </x:c>
      <x:c r="B425" s="2" t="str">
        <x:v>T3</x:v>
      </x:c>
      <x:c r="C425" s="2" t="str">
        <x:v>L06</x:v>
      </x:c>
      <x:c r="D425" s="2" t="str">
        <x:v>Slab X split at core</x:v>
      </x:c>
      <x:c r="E425" s="21" t="n">
        <x:v>12</x:v>
      </x:c>
      <x:c r="F425" s="21" t="n">
        <x:v>60</x:v>
      </x:c>
      <x:c r="G425" s="21" t="n">
        <x:v>25.95</x:v>
      </x:c>
      <x:c r="H425" s="21" t="n">
        <x:f>E425^2*'Controls'!$B$52</x:f>
        <x:v>0.8877600000000001</x:v>
      </x:c>
      <x:c r="I425" s="21" t="n">
        <x:f>F425*G425*H425</x:f>
        <x:v>1382.24232</x:v>
      </x:c>
      <x:c r="J425" s="2" t="str">
        <x:v>2 layers x 30 bars, split lengths combined around 4 m opening</x:v>
      </x:c>
      <x:c r="K425" s="2"/>
      <x:c r="L425" s="2"/>
      <x:c r="M425" s="2"/>
      <x:c r="N425" s="2"/>
      <x:c r="O425" s="2"/>
      <x:c r="P425" s="2"/>
      <x:c r="Q425" s="2"/>
    </x:row>
    <x:row r="426" ht="22" customHeight="1">
      <x:c r="A426" s="7" t="str">
        <x:v>T3-L06-S3</x:v>
      </x:c>
      <x:c r="B426" s="7" t="str">
        <x:v>T3</x:v>
      </x:c>
      <x:c r="C426" s="7" t="str">
        <x:v>L06</x:v>
      </x:c>
      <x:c r="D426" s="7" t="str">
        <x:v>Slab Y through strips</x:v>
      </x:c>
      <x:c r="E426" s="20" t="n">
        <x:v>12</x:v>
      </x:c>
      <x:c r="F426" s="20" t="n">
        <x:v>262</x:v>
      </x:c>
      <x:c r="G426" s="20" t="n">
        <x:v>23.95</x:v>
      </x:c>
      <x:c r="H426" s="20" t="n">
        <x:f>E426^2*'Controls'!$B$52</x:f>
        <x:v>0.8877600000000001</x:v>
      </x:c>
      <x:c r="I426" s="20" t="n">
        <x:f>F426*G426*H426</x:f>
        <x:v>5570.605224</x:v>
      </x:c>
      <x:c r="J426" s="7" t="str">
        <x:v>2 layers x 131 bars outside central opening band</x:v>
      </x:c>
      <x:c r="K426" s="2"/>
      <x:c r="L426" s="2"/>
      <x:c r="M426" s="2"/>
      <x:c r="N426" s="2"/>
      <x:c r="O426" s="2"/>
      <x:c r="P426" s="2"/>
      <x:c r="Q426" s="2"/>
    </x:row>
    <x:row r="427" ht="22" customHeight="1">
      <x:c r="A427" s="2" t="str">
        <x:v>T3-L06-S4</x:v>
      </x:c>
      <x:c r="B427" s="2" t="str">
        <x:v>T3</x:v>
      </x:c>
      <x:c r="C427" s="2" t="str">
        <x:v>L06</x:v>
      </x:c>
      <x:c r="D427" s="2" t="str">
        <x:v>Slab Y split at core</x:v>
      </x:c>
      <x:c r="E427" s="21" t="n">
        <x:v>12</x:v>
      </x:c>
      <x:c r="F427" s="21" t="n">
        <x:v>40</x:v>
      </x:c>
      <x:c r="G427" s="21" t="n">
        <x:v>17.95</x:v>
      </x:c>
      <x:c r="H427" s="21" t="n">
        <x:f>E427^2*'Controls'!$B$52</x:f>
        <x:v>0.8877600000000001</x:v>
      </x:c>
      <x:c r="I427" s="21" t="n">
        <x:f>F427*G427*H427</x:f>
        <x:v>637.41168</x:v>
      </x:c>
      <x:c r="J427" s="2" t="str">
        <x:v>2 layers x 20 bars, split around 6 m opening</x:v>
      </x:c>
      <x:c r="K427" s="2"/>
      <x:c r="L427" s="2"/>
      <x:c r="M427" s="2"/>
      <x:c r="N427" s="2"/>
      <x:c r="O427" s="2"/>
      <x:c r="P427" s="2"/>
      <x:c r="Q427" s="2"/>
    </x:row>
    <x:row r="428" ht="22" customHeight="1">
      <x:c r="A428" s="7" t="str">
        <x:v>T3-L06-S5</x:v>
      </x:c>
      <x:c r="B428" s="7" t="str">
        <x:v>T3</x:v>
      </x:c>
      <x:c r="C428" s="7" t="str">
        <x:v>L06</x:v>
      </x:c>
      <x:c r="D428" s="7" t="str">
        <x:v>Opening trim bars</x:v>
      </x:c>
      <x:c r="E428" s="20" t="n">
        <x:v>16</x:v>
      </x:c>
      <x:c r="F428" s="20" t="n">
        <x:v>16</x:v>
      </x:c>
      <x:c r="G428" s="20" t="n">
        <x:v>7.2</x:v>
      </x:c>
      <x:c r="H428" s="20" t="n">
        <x:f>E428^2*'Controls'!$B$52</x:f>
        <x:v>1.57824</x:v>
      </x:c>
      <x:c r="I428" s="20" t="n">
        <x:f>F428*G428*H428</x:f>
        <x:v>181.81324800000002</x:v>
      </x:c>
      <x:c r="J428" s="7" t="str">
        <x:v>Trim allowance, explicit scheduled lengths</x:v>
      </x:c>
      <x:c r="K428" s="2"/>
      <x:c r="L428" s="2"/>
      <x:c r="M428" s="2"/>
      <x:c r="N428" s="2"/>
      <x:c r="O428" s="2"/>
      <x:c r="P428" s="2"/>
      <x:c r="Q428" s="2"/>
    </x:row>
    <x:row r="429" ht="22" customHeight="1">
      <x:c r="A429" s="2" t="str">
        <x:v>T3-L06-BX</x:v>
      </x:c>
      <x:c r="B429" s="2" t="str">
        <x:v>T3</x:v>
      </x:c>
      <x:c r="C429" s="2" t="str">
        <x:v>L06</x:v>
      </x:c>
      <x:c r="D429" s="2" t="str">
        <x:v>X beam longitudinal</x:v>
      </x:c>
      <x:c r="E429" s="21" t="n">
        <x:v>20</x:v>
      </x:c>
      <x:c r="F429" s="21" t="n">
        <x:v>150</x:v>
      </x:c>
      <x:c r="G429" s="21" t="n">
        <x:v>6.5</x:v>
      </x:c>
      <x:c r="H429" s="21" t="n">
        <x:f>E429^2*'Controls'!$B$52</x:f>
        <x:v>2.466</x:v>
      </x:c>
      <x:c r="I429" s="21" t="n">
        <x:f>F429*G429*H429</x:f>
        <x:v>2404.3500000000004</x:v>
      </x:c>
      <x:c r="J429" s="2" t="str">
        <x:v>25 spans x 6 bars incl. 1 m lap/anchorage provision</x:v>
      </x:c>
      <x:c r="K429" s="2"/>
      <x:c r="L429" s="2"/>
      <x:c r="M429" s="2"/>
      <x:c r="N429" s="2"/>
      <x:c r="O429" s="2"/>
      <x:c r="P429" s="2"/>
      <x:c r="Q429" s="2"/>
    </x:row>
    <x:row r="430" ht="22" customHeight="1">
      <x:c r="A430" s="7" t="str">
        <x:v>T3-L06-BY</x:v>
      </x:c>
      <x:c r="B430" s="7" t="str">
        <x:v>T3</x:v>
      </x:c>
      <x:c r="C430" s="7" t="str">
        <x:v>L06</x:v>
      </x:c>
      <x:c r="D430" s="7" t="str">
        <x:v>Y beam longitudinal</x:v>
      </x:c>
      <x:c r="E430" s="20" t="n">
        <x:v>20</x:v>
      </x:c>
      <x:c r="F430" s="20" t="n">
        <x:v>144</x:v>
      </x:c>
      <x:c r="G430" s="20" t="n">
        <x:v>6.5</x:v>
      </x:c>
      <x:c r="H430" s="20" t="n">
        <x:f>E430^2*'Controls'!$B$52</x:f>
        <x:v>2.466</x:v>
      </x:c>
      <x:c r="I430" s="20" t="n">
        <x:f>F430*G430*H430</x:f>
        <x:v>2308.1760000000004</x:v>
      </x:c>
      <x:c r="J430" s="7" t="str">
        <x:v>24 spans x 6 bars</x:v>
      </x:c>
      <x:c r="K430" s="2"/>
      <x:c r="L430" s="2"/>
      <x:c r="M430" s="2"/>
      <x:c r="N430" s="2"/>
      <x:c r="O430" s="2"/>
      <x:c r="P430" s="2"/>
      <x:c r="Q430" s="2"/>
    </x:row>
    <x:row r="431" ht="22" customHeight="1">
      <x:c r="A431" s="2" t="str">
        <x:v>T3-L06-BT</x:v>
      </x:c>
      <x:c r="B431" s="2" t="str">
        <x:v>T3</x:v>
      </x:c>
      <x:c r="C431" s="2" t="str">
        <x:v>L06</x:v>
      </x:c>
      <x:c r="D431" s="2" t="str">
        <x:v>Beam closed links</x:v>
      </x:c>
      <x:c r="E431" s="21" t="n">
        <x:v>10</x:v>
      </x:c>
      <x:c r="F431" s="21" t="n">
        <x:v>1421</x:v>
      </x:c>
      <x:c r="G431" s="21" t="n">
        <x:v>1.7</x:v>
      </x:c>
      <x:c r="H431" s="21" t="n">
        <x:f>E431^2*'Controls'!$B$52</x:f>
        <x:v>0.6165</x:v>
      </x:c>
      <x:c r="I431" s="21" t="n">
        <x:f>F431*G431*H431</x:f>
        <x:v>1489.27905</x:v>
      </x:c>
      <x:c r="J431" s="2" t="str">
        <x:v>49 beams x 29 links, 200 mm nominal</x:v>
      </x:c>
      <x:c r="K431" s="2"/>
      <x:c r="L431" s="2"/>
      <x:c r="M431" s="2"/>
      <x:c r="N431" s="2"/>
      <x:c r="O431" s="2"/>
      <x:c r="P431" s="2"/>
      <x:c r="Q431" s="2"/>
    </x:row>
    <x:row r="432" ht="22" customHeight="1">
      <x:c r="A432" s="7" t="str">
        <x:v>T3-L06-CL</x:v>
      </x:c>
      <x:c r="B432" s="7" t="str">
        <x:v>T3</x:v>
      </x:c>
      <x:c r="C432" s="7" t="str">
        <x:v>L06</x:v>
      </x:c>
      <x:c r="D432" s="7" t="str">
        <x:v>Column longitudinal</x:v>
      </x:c>
      <x:c r="E432" s="20" t="n">
        <x:v>25</x:v>
      </x:c>
      <x:c r="F432" s="20" t="n">
        <x:v>360</x:v>
      </x:c>
      <x:c r="G432" s="20" t="n">
        <x:v>3.9</x:v>
      </x:c>
      <x:c r="H432" s="20" t="n">
        <x:f>E432^2*'Controls'!$B$52</x:f>
        <x:v>3.8531250000000004</x:v>
      </x:c>
      <x:c r="I432" s="20" t="n">
        <x:f>F432*G432*H432</x:f>
        <x:v>5409.7875</x:v>
      </x:c>
      <x:c r="J432" s="7" t="str">
        <x:v>30 columns x 12 bars incl. lap</x:v>
      </x:c>
      <x:c r="K432" s="2"/>
      <x:c r="L432" s="2"/>
      <x:c r="M432" s="2"/>
      <x:c r="N432" s="2"/>
      <x:c r="O432" s="2"/>
      <x:c r="P432" s="2"/>
      <x:c r="Q432" s="2"/>
    </x:row>
    <x:row r="433" ht="22" customHeight="1">
      <x:c r="A433" s="2" t="str">
        <x:v>T3-L06-CT</x:v>
      </x:c>
      <x:c r="B433" s="2" t="str">
        <x:v>T3</x:v>
      </x:c>
      <x:c r="C433" s="2" t="str">
        <x:v>L06</x:v>
      </x:c>
      <x:c r="D433" s="2" t="str">
        <x:v>Column ties</x:v>
      </x:c>
      <x:c r="E433" s="21" t="n">
        <x:v>10</x:v>
      </x:c>
      <x:c r="F433" s="21" t="n">
        <x:v>510</x:v>
      </x:c>
      <x:c r="G433" s="21" t="n">
        <x:v>1.96</x:v>
      </x:c>
      <x:c r="H433" s="21" t="n">
        <x:f>E433^2*'Controls'!$B$52</x:f>
        <x:v>0.6165</x:v>
      </x:c>
      <x:c r="I433" s="21" t="n">
        <x:f>F433*G433*H433</x:f>
        <x:v>616.2534</x:v>
      </x:c>
      <x:c r="J433" s="2" t="str">
        <x:v>30 columns x 17 ties, cover and hooks included</x:v>
      </x:c>
      <x:c r="K433" s="2"/>
      <x:c r="L433" s="2"/>
      <x:c r="M433" s="2"/>
      <x:c r="N433" s="2"/>
      <x:c r="O433" s="2"/>
      <x:c r="P433" s="2"/>
      <x:c r="Q433" s="2"/>
    </x:row>
    <x:row r="434" ht="22" customHeight="1">
      <x:c r="A434" s="7" t="str">
        <x:v>T3-L06-CV</x:v>
      </x:c>
      <x:c r="B434" s="7" t="str">
        <x:v>T3</x:v>
      </x:c>
      <x:c r="C434" s="7" t="str">
        <x:v>L06</x:v>
      </x:c>
      <x:c r="D434" s="7" t="str">
        <x:v>Core vertical bars</x:v>
      </x:c>
      <x:c r="E434" s="20" t="n">
        <x:v>16</x:v>
      </x:c>
      <x:c r="F434" s="20" t="n">
        <x:v>244</x:v>
      </x:c>
      <x:c r="G434" s="20" t="n">
        <x:v>3.9</x:v>
      </x:c>
      <x:c r="H434" s="20" t="n">
        <x:f>E434^2*'Controls'!$B$52</x:f>
        <x:v>1.57824</x:v>
      </x:c>
      <x:c r="I434" s="20" t="n">
        <x:f>F434*G434*H434</x:f>
        <x:v>1501.853184</x:v>
      </x:c>
      <x:c r="J434" s="7" t="str">
        <x:v>Two faces, 200 mm nominal along 24 m net length</x:v>
      </x:c>
      <x:c r="K434" s="2"/>
      <x:c r="L434" s="2"/>
      <x:c r="M434" s="2"/>
      <x:c r="N434" s="2"/>
      <x:c r="O434" s="2"/>
      <x:c r="P434" s="2"/>
      <x:c r="Q434" s="2"/>
    </x:row>
    <x:row r="435" ht="22" customHeight="1">
      <x:c r="A435" s="2" t="str">
        <x:v>T3-L06-CH</x:v>
      </x:c>
      <x:c r="B435" s="2" t="str">
        <x:v>T3</x:v>
      </x:c>
      <x:c r="C435" s="2" t="str">
        <x:v>L06</x:v>
      </x:c>
      <x:c r="D435" s="2" t="str">
        <x:v>Core horizontal bars</x:v>
      </x:c>
      <x:c r="E435" s="21" t="n">
        <x:v>12</x:v>
      </x:c>
      <x:c r="F435" s="21" t="n">
        <x:v>32</x:v>
      </x:c>
      <x:c r="G435" s="21" t="n">
        <x:v>25</x:v>
      </x:c>
      <x:c r="H435" s="21" t="n">
        <x:f>E435^2*'Controls'!$B$52</x:f>
        <x:v>0.8877600000000001</x:v>
      </x:c>
      <x:c r="I435" s="21" t="n">
        <x:f>F435*G435*H435</x:f>
        <x:v>710.2080000000001</x:v>
      </x:c>
      <x:c r="J435" s="2" t="str">
        <x:v>Two faces x 16 layers incl. lap</x:v>
      </x:c>
      <x:c r="K435" s="2"/>
      <x:c r="L435" s="2"/>
      <x:c r="M435" s="2"/>
      <x:c r="N435" s="2"/>
      <x:c r="O435" s="2"/>
      <x:c r="P435" s="2"/>
      <x:c r="Q435" s="2"/>
    </x:row>
    <x:row r="436" ht="22" customHeight="1">
      <x:c r="A436" s="7" t="str">
        <x:v>T3-L06-ST</x:v>
      </x:c>
      <x:c r="B436" s="7" t="str">
        <x:v>T3</x:v>
      </x:c>
      <x:c r="C436" s="7" t="str">
        <x:v>L06</x:v>
      </x:c>
      <x:c r="D436" s="7" t="str">
        <x:v>Stair flights and landings</x:v>
      </x:c>
      <x:c r="E436" s="20" t="n">
        <x:v>12</x:v>
      </x:c>
      <x:c r="F436" s="20" t="n">
        <x:v>80</x:v>
      </x:c>
      <x:c r="G436" s="20" t="n">
        <x:v>4.8</x:v>
      </x:c>
      <x:c r="H436" s="20" t="n">
        <x:f>E436^2*'Controls'!$B$52</x:f>
        <x:v>0.8877600000000001</x:v>
      </x:c>
      <x:c r="I436" s="20" t="n">
        <x:f>F436*G436*H436</x:f>
        <x:v>340.89984000000004</x:v>
      </x:c>
      <x:c r="J436" s="7" t="str">
        <x:v>Separate stair reinforcement allowance</x:v>
      </x:c>
      <x:c r="K436" s="2"/>
      <x:c r="L436" s="2"/>
      <x:c r="M436" s="2"/>
      <x:c r="N436" s="2"/>
      <x:c r="O436" s="2"/>
      <x:c r="P436" s="2"/>
      <x:c r="Q436" s="2"/>
    </x:row>
    <x:row r="437" ht="22" customHeight="1">
      <x:c r="A437" s="2" t="str">
        <x:v>T3-L07-S1</x:v>
      </x:c>
      <x:c r="B437" s="2" t="str">
        <x:v>T3</x:v>
      </x:c>
      <x:c r="C437" s="2" t="str">
        <x:v>L07</x:v>
      </x:c>
      <x:c r="D437" s="2" t="str">
        <x:v>Slab X through strips</x:v>
      </x:c>
      <x:c r="E437" s="21" t="n">
        <x:v>12</x:v>
      </x:c>
      <x:c r="F437" s="21" t="n">
        <x:v>182</x:v>
      </x:c>
      <x:c r="G437" s="21" t="n">
        <x:v>29.95</x:v>
      </x:c>
      <x:c r="H437" s="21" t="n">
        <x:f>E437^2*'Controls'!$B$52</x:f>
        <x:v>0.8877600000000001</x:v>
      </x:c>
      <x:c r="I437" s="21" t="n">
        <x:f>F437*G437*H437</x:f>
        <x:v>4839.090984</x:v>
      </x:c>
      <x:c r="J437" s="2" t="str">
        <x:v>2 layers x 91 bars outside central opening band</x:v>
      </x:c>
      <x:c r="K437" s="2"/>
      <x:c r="L437" s="2"/>
      <x:c r="M437" s="2"/>
      <x:c r="N437" s="2"/>
      <x:c r="O437" s="2"/>
      <x:c r="P437" s="2"/>
      <x:c r="Q437" s="2"/>
    </x:row>
    <x:row r="438" ht="22" customHeight="1">
      <x:c r="A438" s="7" t="str">
        <x:v>T3-L07-S2</x:v>
      </x:c>
      <x:c r="B438" s="7" t="str">
        <x:v>T3</x:v>
      </x:c>
      <x:c r="C438" s="7" t="str">
        <x:v>L07</x:v>
      </x:c>
      <x:c r="D438" s="7" t="str">
        <x:v>Slab X split at core</x:v>
      </x:c>
      <x:c r="E438" s="20" t="n">
        <x:v>12</x:v>
      </x:c>
      <x:c r="F438" s="20" t="n">
        <x:v>60</x:v>
      </x:c>
      <x:c r="G438" s="20" t="n">
        <x:v>25.95</x:v>
      </x:c>
      <x:c r="H438" s="20" t="n">
        <x:f>E438^2*'Controls'!$B$52</x:f>
        <x:v>0.8877600000000001</x:v>
      </x:c>
      <x:c r="I438" s="20" t="n">
        <x:f>F438*G438*H438</x:f>
        <x:v>1382.24232</x:v>
      </x:c>
      <x:c r="J438" s="7" t="str">
        <x:v>2 layers x 30 bars, split lengths combined around 4 m opening</x:v>
      </x:c>
      <x:c r="K438" s="2"/>
      <x:c r="L438" s="2"/>
      <x:c r="M438" s="2"/>
      <x:c r="N438" s="2"/>
      <x:c r="O438" s="2"/>
      <x:c r="P438" s="2"/>
      <x:c r="Q438" s="2"/>
    </x:row>
    <x:row r="439" ht="22" customHeight="1">
      <x:c r="A439" s="2" t="str">
        <x:v>T3-L07-S3</x:v>
      </x:c>
      <x:c r="B439" s="2" t="str">
        <x:v>T3</x:v>
      </x:c>
      <x:c r="C439" s="2" t="str">
        <x:v>L07</x:v>
      </x:c>
      <x:c r="D439" s="2" t="str">
        <x:v>Slab Y through strips</x:v>
      </x:c>
      <x:c r="E439" s="21" t="n">
        <x:v>12</x:v>
      </x:c>
      <x:c r="F439" s="21" t="n">
        <x:v>262</x:v>
      </x:c>
      <x:c r="G439" s="21" t="n">
        <x:v>23.95</x:v>
      </x:c>
      <x:c r="H439" s="21" t="n">
        <x:f>E439^2*'Controls'!$B$52</x:f>
        <x:v>0.8877600000000001</x:v>
      </x:c>
      <x:c r="I439" s="21" t="n">
        <x:f>F439*G439*H439</x:f>
        <x:v>5570.605224</x:v>
      </x:c>
      <x:c r="J439" s="2" t="str">
        <x:v>2 layers x 131 bars outside central opening band</x:v>
      </x:c>
      <x:c r="K439" s="2"/>
      <x:c r="L439" s="2"/>
      <x:c r="M439" s="2"/>
      <x:c r="N439" s="2"/>
      <x:c r="O439" s="2"/>
      <x:c r="P439" s="2"/>
      <x:c r="Q439" s="2"/>
    </x:row>
    <x:row r="440" ht="22" customHeight="1">
      <x:c r="A440" s="7" t="str">
        <x:v>T3-L07-S4</x:v>
      </x:c>
      <x:c r="B440" s="7" t="str">
        <x:v>T3</x:v>
      </x:c>
      <x:c r="C440" s="7" t="str">
        <x:v>L07</x:v>
      </x:c>
      <x:c r="D440" s="7" t="str">
        <x:v>Slab Y split at core</x:v>
      </x:c>
      <x:c r="E440" s="20" t="n">
        <x:v>12</x:v>
      </x:c>
      <x:c r="F440" s="20" t="n">
        <x:v>40</x:v>
      </x:c>
      <x:c r="G440" s="20" t="n">
        <x:v>17.95</x:v>
      </x:c>
      <x:c r="H440" s="20" t="n">
        <x:f>E440^2*'Controls'!$B$52</x:f>
        <x:v>0.8877600000000001</x:v>
      </x:c>
      <x:c r="I440" s="20" t="n">
        <x:f>F440*G440*H440</x:f>
        <x:v>637.41168</x:v>
      </x:c>
      <x:c r="J440" s="7" t="str">
        <x:v>2 layers x 20 bars, split around 6 m opening</x:v>
      </x:c>
      <x:c r="K440" s="2"/>
      <x:c r="L440" s="2"/>
      <x:c r="M440" s="2"/>
      <x:c r="N440" s="2"/>
      <x:c r="O440" s="2"/>
      <x:c r="P440" s="2"/>
      <x:c r="Q440" s="2"/>
    </x:row>
    <x:row r="441" ht="22" customHeight="1">
      <x:c r="A441" s="2" t="str">
        <x:v>T3-L07-S5</x:v>
      </x:c>
      <x:c r="B441" s="2" t="str">
        <x:v>T3</x:v>
      </x:c>
      <x:c r="C441" s="2" t="str">
        <x:v>L07</x:v>
      </x:c>
      <x:c r="D441" s="2" t="str">
        <x:v>Opening trim bars</x:v>
      </x:c>
      <x:c r="E441" s="21" t="n">
        <x:v>16</x:v>
      </x:c>
      <x:c r="F441" s="21" t="n">
        <x:v>16</x:v>
      </x:c>
      <x:c r="G441" s="21" t="n">
        <x:v>7.2</x:v>
      </x:c>
      <x:c r="H441" s="21" t="n">
        <x:f>E441^2*'Controls'!$B$52</x:f>
        <x:v>1.57824</x:v>
      </x:c>
      <x:c r="I441" s="21" t="n">
        <x:f>F441*G441*H441</x:f>
        <x:v>181.81324800000002</x:v>
      </x:c>
      <x:c r="J441" s="2" t="str">
        <x:v>Trim allowance, explicit scheduled lengths</x:v>
      </x:c>
      <x:c r="K441" s="2"/>
      <x:c r="L441" s="2"/>
      <x:c r="M441" s="2"/>
      <x:c r="N441" s="2"/>
      <x:c r="O441" s="2"/>
      <x:c r="P441" s="2"/>
      <x:c r="Q441" s="2"/>
    </x:row>
    <x:row r="442" ht="22" customHeight="1">
      <x:c r="A442" s="7" t="str">
        <x:v>T3-L07-BX</x:v>
      </x:c>
      <x:c r="B442" s="7" t="str">
        <x:v>T3</x:v>
      </x:c>
      <x:c r="C442" s="7" t="str">
        <x:v>L07</x:v>
      </x:c>
      <x:c r="D442" s="7" t="str">
        <x:v>X beam longitudinal</x:v>
      </x:c>
      <x:c r="E442" s="20" t="n">
        <x:v>20</x:v>
      </x:c>
      <x:c r="F442" s="20" t="n">
        <x:v>150</x:v>
      </x:c>
      <x:c r="G442" s="20" t="n">
        <x:v>6.5</x:v>
      </x:c>
      <x:c r="H442" s="20" t="n">
        <x:f>E442^2*'Controls'!$B$52</x:f>
        <x:v>2.466</x:v>
      </x:c>
      <x:c r="I442" s="20" t="n">
        <x:f>F442*G442*H442</x:f>
        <x:v>2404.3500000000004</x:v>
      </x:c>
      <x:c r="J442" s="7" t="str">
        <x:v>25 spans x 6 bars incl. 1 m lap/anchorage provision</x:v>
      </x:c>
      <x:c r="K442" s="2"/>
      <x:c r="L442" s="2"/>
      <x:c r="M442" s="2"/>
      <x:c r="N442" s="2"/>
      <x:c r="O442" s="2"/>
      <x:c r="P442" s="2"/>
      <x:c r="Q442" s="2"/>
    </x:row>
    <x:row r="443" ht="22" customHeight="1">
      <x:c r="A443" s="2" t="str">
        <x:v>T3-L07-BY</x:v>
      </x:c>
      <x:c r="B443" s="2" t="str">
        <x:v>T3</x:v>
      </x:c>
      <x:c r="C443" s="2" t="str">
        <x:v>L07</x:v>
      </x:c>
      <x:c r="D443" s="2" t="str">
        <x:v>Y beam longitudinal</x:v>
      </x:c>
      <x:c r="E443" s="21" t="n">
        <x:v>20</x:v>
      </x:c>
      <x:c r="F443" s="21" t="n">
        <x:v>144</x:v>
      </x:c>
      <x:c r="G443" s="21" t="n">
        <x:v>6.5</x:v>
      </x:c>
      <x:c r="H443" s="21" t="n">
        <x:f>E443^2*'Controls'!$B$52</x:f>
        <x:v>2.466</x:v>
      </x:c>
      <x:c r="I443" s="21" t="n">
        <x:f>F443*G443*H443</x:f>
        <x:v>2308.1760000000004</x:v>
      </x:c>
      <x:c r="J443" s="2" t="str">
        <x:v>24 spans x 6 bars</x:v>
      </x:c>
      <x:c r="K443" s="2"/>
      <x:c r="L443" s="2"/>
      <x:c r="M443" s="2"/>
      <x:c r="N443" s="2"/>
      <x:c r="O443" s="2"/>
      <x:c r="P443" s="2"/>
      <x:c r="Q443" s="2"/>
    </x:row>
    <x:row r="444" ht="22" customHeight="1">
      <x:c r="A444" s="7" t="str">
        <x:v>T3-L07-BT</x:v>
      </x:c>
      <x:c r="B444" s="7" t="str">
        <x:v>T3</x:v>
      </x:c>
      <x:c r="C444" s="7" t="str">
        <x:v>L07</x:v>
      </x:c>
      <x:c r="D444" s="7" t="str">
        <x:v>Beam closed links</x:v>
      </x:c>
      <x:c r="E444" s="20" t="n">
        <x:v>10</x:v>
      </x:c>
      <x:c r="F444" s="20" t="n">
        <x:v>1421</x:v>
      </x:c>
      <x:c r="G444" s="20" t="n">
        <x:v>1.7</x:v>
      </x:c>
      <x:c r="H444" s="20" t="n">
        <x:f>E444^2*'Controls'!$B$52</x:f>
        <x:v>0.6165</x:v>
      </x:c>
      <x:c r="I444" s="20" t="n">
        <x:f>F444*G444*H444</x:f>
        <x:v>1489.27905</x:v>
      </x:c>
      <x:c r="J444" s="7" t="str">
        <x:v>49 beams x 29 links, 200 mm nominal</x:v>
      </x:c>
      <x:c r="K444" s="2"/>
      <x:c r="L444" s="2"/>
      <x:c r="M444" s="2"/>
      <x:c r="N444" s="2"/>
      <x:c r="O444" s="2"/>
      <x:c r="P444" s="2"/>
      <x:c r="Q444" s="2"/>
    </x:row>
    <x:row r="445" ht="22" customHeight="1">
      <x:c r="A445" s="2" t="str">
        <x:v>T3-L07-CL</x:v>
      </x:c>
      <x:c r="B445" s="2" t="str">
        <x:v>T3</x:v>
      </x:c>
      <x:c r="C445" s="2" t="str">
        <x:v>L07</x:v>
      </x:c>
      <x:c r="D445" s="2" t="str">
        <x:v>Column longitudinal</x:v>
      </x:c>
      <x:c r="E445" s="21" t="n">
        <x:v>25</x:v>
      </x:c>
      <x:c r="F445" s="21" t="n">
        <x:v>360</x:v>
      </x:c>
      <x:c r="G445" s="21" t="n">
        <x:v>3.9</x:v>
      </x:c>
      <x:c r="H445" s="21" t="n">
        <x:f>E445^2*'Controls'!$B$52</x:f>
        <x:v>3.8531250000000004</x:v>
      </x:c>
      <x:c r="I445" s="21" t="n">
        <x:f>F445*G445*H445</x:f>
        <x:v>5409.7875</x:v>
      </x:c>
      <x:c r="J445" s="2" t="str">
        <x:v>30 columns x 12 bars incl. lap</x:v>
      </x:c>
      <x:c r="K445" s="2"/>
      <x:c r="L445" s="2"/>
      <x:c r="M445" s="2"/>
      <x:c r="N445" s="2"/>
      <x:c r="O445" s="2"/>
      <x:c r="P445" s="2"/>
      <x:c r="Q445" s="2"/>
    </x:row>
    <x:row r="446" ht="22" customHeight="1">
      <x:c r="A446" s="7" t="str">
        <x:v>T3-L07-CT</x:v>
      </x:c>
      <x:c r="B446" s="7" t="str">
        <x:v>T3</x:v>
      </x:c>
      <x:c r="C446" s="7" t="str">
        <x:v>L07</x:v>
      </x:c>
      <x:c r="D446" s="7" t="str">
        <x:v>Column ties</x:v>
      </x:c>
      <x:c r="E446" s="20" t="n">
        <x:v>10</x:v>
      </x:c>
      <x:c r="F446" s="20" t="n">
        <x:v>510</x:v>
      </x:c>
      <x:c r="G446" s="20" t="n">
        <x:v>1.96</x:v>
      </x:c>
      <x:c r="H446" s="20" t="n">
        <x:f>E446^2*'Controls'!$B$52</x:f>
        <x:v>0.6165</x:v>
      </x:c>
      <x:c r="I446" s="20" t="n">
        <x:f>F446*G446*H446</x:f>
        <x:v>616.2534</x:v>
      </x:c>
      <x:c r="J446" s="7" t="str">
        <x:v>30 columns x 17 ties, cover and hooks included</x:v>
      </x:c>
      <x:c r="K446" s="2"/>
      <x:c r="L446" s="2"/>
      <x:c r="M446" s="2"/>
      <x:c r="N446" s="2"/>
      <x:c r="O446" s="2"/>
      <x:c r="P446" s="2"/>
      <x:c r="Q446" s="2"/>
    </x:row>
    <x:row r="447" ht="22" customHeight="1">
      <x:c r="A447" s="2" t="str">
        <x:v>T3-L07-CV</x:v>
      </x:c>
      <x:c r="B447" s="2" t="str">
        <x:v>T3</x:v>
      </x:c>
      <x:c r="C447" s="2" t="str">
        <x:v>L07</x:v>
      </x:c>
      <x:c r="D447" s="2" t="str">
        <x:v>Core vertical bars</x:v>
      </x:c>
      <x:c r="E447" s="21" t="n">
        <x:v>16</x:v>
      </x:c>
      <x:c r="F447" s="21" t="n">
        <x:v>244</x:v>
      </x:c>
      <x:c r="G447" s="21" t="n">
        <x:v>3.9</x:v>
      </x:c>
      <x:c r="H447" s="21" t="n">
        <x:f>E447^2*'Controls'!$B$52</x:f>
        <x:v>1.57824</x:v>
      </x:c>
      <x:c r="I447" s="21" t="n">
        <x:f>F447*G447*H447</x:f>
        <x:v>1501.853184</x:v>
      </x:c>
      <x:c r="J447" s="2" t="str">
        <x:v>Two faces, 200 mm nominal along 24 m net length</x:v>
      </x:c>
      <x:c r="K447" s="2"/>
      <x:c r="L447" s="2"/>
      <x:c r="M447" s="2"/>
      <x:c r="N447" s="2"/>
      <x:c r="O447" s="2"/>
      <x:c r="P447" s="2"/>
      <x:c r="Q447" s="2"/>
    </x:row>
    <x:row r="448" ht="22" customHeight="1">
      <x:c r="A448" s="7" t="str">
        <x:v>T3-L07-CH</x:v>
      </x:c>
      <x:c r="B448" s="7" t="str">
        <x:v>T3</x:v>
      </x:c>
      <x:c r="C448" s="7" t="str">
        <x:v>L07</x:v>
      </x:c>
      <x:c r="D448" s="7" t="str">
        <x:v>Core horizontal bars</x:v>
      </x:c>
      <x:c r="E448" s="20" t="n">
        <x:v>12</x:v>
      </x:c>
      <x:c r="F448" s="20" t="n">
        <x:v>32</x:v>
      </x:c>
      <x:c r="G448" s="20" t="n">
        <x:v>25</x:v>
      </x:c>
      <x:c r="H448" s="20" t="n">
        <x:f>E448^2*'Controls'!$B$52</x:f>
        <x:v>0.8877600000000001</x:v>
      </x:c>
      <x:c r="I448" s="20" t="n">
        <x:f>F448*G448*H448</x:f>
        <x:v>710.2080000000001</x:v>
      </x:c>
      <x:c r="J448" s="7" t="str">
        <x:v>Two faces x 16 layers incl. lap</x:v>
      </x:c>
      <x:c r="K448" s="2"/>
      <x:c r="L448" s="2"/>
      <x:c r="M448" s="2"/>
      <x:c r="N448" s="2"/>
      <x:c r="O448" s="2"/>
      <x:c r="P448" s="2"/>
      <x:c r="Q448" s="2"/>
    </x:row>
    <x:row r="449" ht="22" customHeight="1">
      <x:c r="A449" s="2" t="str">
        <x:v>T3-L07-ST</x:v>
      </x:c>
      <x:c r="B449" s="2" t="str">
        <x:v>T3</x:v>
      </x:c>
      <x:c r="C449" s="2" t="str">
        <x:v>L07</x:v>
      </x:c>
      <x:c r="D449" s="2" t="str">
        <x:v>Stair flights and landings</x:v>
      </x:c>
      <x:c r="E449" s="21" t="n">
        <x:v>12</x:v>
      </x:c>
      <x:c r="F449" s="21" t="n">
        <x:v>80</x:v>
      </x:c>
      <x:c r="G449" s="21" t="n">
        <x:v>4.8</x:v>
      </x:c>
      <x:c r="H449" s="21" t="n">
        <x:f>E449^2*'Controls'!$B$52</x:f>
        <x:v>0.8877600000000001</x:v>
      </x:c>
      <x:c r="I449" s="21" t="n">
        <x:f>F449*G449*H449</x:f>
        <x:v>340.89984000000004</x:v>
      </x:c>
      <x:c r="J449" s="2" t="str">
        <x:v>Separate stair reinforcement allowance</x:v>
      </x:c>
      <x:c r="K449" s="2"/>
      <x:c r="L449" s="2"/>
      <x:c r="M449" s="2"/>
      <x:c r="N449" s="2"/>
      <x:c r="O449" s="2"/>
      <x:c r="P449" s="2"/>
      <x:c r="Q449" s="2"/>
    </x:row>
    <x:row r="450" ht="22" customHeight="1">
      <x:c r="A450" s="7" t="str">
        <x:v>T3-L08-S1</x:v>
      </x:c>
      <x:c r="B450" s="7" t="str">
        <x:v>T3</x:v>
      </x:c>
      <x:c r="C450" s="7" t="str">
        <x:v>L08</x:v>
      </x:c>
      <x:c r="D450" s="7" t="str">
        <x:v>Slab X through strips</x:v>
      </x:c>
      <x:c r="E450" s="20" t="n">
        <x:v>12</x:v>
      </x:c>
      <x:c r="F450" s="20" t="n">
        <x:v>182</x:v>
      </x:c>
      <x:c r="G450" s="20" t="n">
        <x:v>29.95</x:v>
      </x:c>
      <x:c r="H450" s="20" t="n">
        <x:f>E450^2*'Controls'!$B$52</x:f>
        <x:v>0.8877600000000001</x:v>
      </x:c>
      <x:c r="I450" s="20" t="n">
        <x:f>F450*G450*H450</x:f>
        <x:v>4839.090984</x:v>
      </x:c>
      <x:c r="J450" s="7" t="str">
        <x:v>2 layers x 91 bars outside central opening band</x:v>
      </x:c>
      <x:c r="K450" s="2"/>
      <x:c r="L450" s="2"/>
      <x:c r="M450" s="2"/>
      <x:c r="N450" s="2"/>
      <x:c r="O450" s="2"/>
      <x:c r="P450" s="2"/>
      <x:c r="Q450" s="2"/>
    </x:row>
    <x:row r="451" ht="22" customHeight="1">
      <x:c r="A451" s="2" t="str">
        <x:v>T3-L08-S2</x:v>
      </x:c>
      <x:c r="B451" s="2" t="str">
        <x:v>T3</x:v>
      </x:c>
      <x:c r="C451" s="2" t="str">
        <x:v>L08</x:v>
      </x:c>
      <x:c r="D451" s="2" t="str">
        <x:v>Slab X split at core</x:v>
      </x:c>
      <x:c r="E451" s="21" t="n">
        <x:v>12</x:v>
      </x:c>
      <x:c r="F451" s="21" t="n">
        <x:v>60</x:v>
      </x:c>
      <x:c r="G451" s="21" t="n">
        <x:v>25.95</x:v>
      </x:c>
      <x:c r="H451" s="21" t="n">
        <x:f>E451^2*'Controls'!$B$52</x:f>
        <x:v>0.8877600000000001</x:v>
      </x:c>
      <x:c r="I451" s="21" t="n">
        <x:f>F451*G451*H451</x:f>
        <x:v>1382.24232</x:v>
      </x:c>
      <x:c r="J451" s="2" t="str">
        <x:v>2 layers x 30 bars, split lengths combined around 4 m opening</x:v>
      </x:c>
      <x:c r="K451" s="2"/>
      <x:c r="L451" s="2"/>
      <x:c r="M451" s="2"/>
      <x:c r="N451" s="2"/>
      <x:c r="O451" s="2"/>
      <x:c r="P451" s="2"/>
      <x:c r="Q451" s="2"/>
    </x:row>
    <x:row r="452" ht="22" customHeight="1">
      <x:c r="A452" s="7" t="str">
        <x:v>T3-L08-S3</x:v>
      </x:c>
      <x:c r="B452" s="7" t="str">
        <x:v>T3</x:v>
      </x:c>
      <x:c r="C452" s="7" t="str">
        <x:v>L08</x:v>
      </x:c>
      <x:c r="D452" s="7" t="str">
        <x:v>Slab Y through strips</x:v>
      </x:c>
      <x:c r="E452" s="20" t="n">
        <x:v>12</x:v>
      </x:c>
      <x:c r="F452" s="20" t="n">
        <x:v>262</x:v>
      </x:c>
      <x:c r="G452" s="20" t="n">
        <x:v>23.95</x:v>
      </x:c>
      <x:c r="H452" s="20" t="n">
        <x:f>E452^2*'Controls'!$B$52</x:f>
        <x:v>0.8877600000000001</x:v>
      </x:c>
      <x:c r="I452" s="20" t="n">
        <x:f>F452*G452*H452</x:f>
        <x:v>5570.605224</x:v>
      </x:c>
      <x:c r="J452" s="7" t="str">
        <x:v>2 layers x 131 bars outside central opening band</x:v>
      </x:c>
      <x:c r="K452" s="2"/>
      <x:c r="L452" s="2"/>
      <x:c r="M452" s="2"/>
      <x:c r="N452" s="2"/>
      <x:c r="O452" s="2"/>
      <x:c r="P452" s="2"/>
      <x:c r="Q452" s="2"/>
    </x:row>
    <x:row r="453" ht="22" customHeight="1">
      <x:c r="A453" s="2" t="str">
        <x:v>T3-L08-S4</x:v>
      </x:c>
      <x:c r="B453" s="2" t="str">
        <x:v>T3</x:v>
      </x:c>
      <x:c r="C453" s="2" t="str">
        <x:v>L08</x:v>
      </x:c>
      <x:c r="D453" s="2" t="str">
        <x:v>Slab Y split at core</x:v>
      </x:c>
      <x:c r="E453" s="21" t="n">
        <x:v>12</x:v>
      </x:c>
      <x:c r="F453" s="21" t="n">
        <x:v>40</x:v>
      </x:c>
      <x:c r="G453" s="21" t="n">
        <x:v>17.95</x:v>
      </x:c>
      <x:c r="H453" s="21" t="n">
        <x:f>E453^2*'Controls'!$B$52</x:f>
        <x:v>0.8877600000000001</x:v>
      </x:c>
      <x:c r="I453" s="21" t="n">
        <x:f>F453*G453*H453</x:f>
        <x:v>637.41168</x:v>
      </x:c>
      <x:c r="J453" s="2" t="str">
        <x:v>2 layers x 20 bars, split around 6 m opening</x:v>
      </x:c>
      <x:c r="K453" s="2"/>
      <x:c r="L453" s="2"/>
      <x:c r="M453" s="2"/>
      <x:c r="N453" s="2"/>
      <x:c r="O453" s="2"/>
      <x:c r="P453" s="2"/>
      <x:c r="Q453" s="2"/>
    </x:row>
    <x:row r="454" ht="22" customHeight="1">
      <x:c r="A454" s="7" t="str">
        <x:v>T3-L08-S5</x:v>
      </x:c>
      <x:c r="B454" s="7" t="str">
        <x:v>T3</x:v>
      </x:c>
      <x:c r="C454" s="7" t="str">
        <x:v>L08</x:v>
      </x:c>
      <x:c r="D454" s="7" t="str">
        <x:v>Opening trim bars</x:v>
      </x:c>
      <x:c r="E454" s="20" t="n">
        <x:v>16</x:v>
      </x:c>
      <x:c r="F454" s="20" t="n">
        <x:v>16</x:v>
      </x:c>
      <x:c r="G454" s="20" t="n">
        <x:v>7.2</x:v>
      </x:c>
      <x:c r="H454" s="20" t="n">
        <x:f>E454^2*'Controls'!$B$52</x:f>
        <x:v>1.57824</x:v>
      </x:c>
      <x:c r="I454" s="20" t="n">
        <x:f>F454*G454*H454</x:f>
        <x:v>181.81324800000002</x:v>
      </x:c>
      <x:c r="J454" s="7" t="str">
        <x:v>Trim allowance, explicit scheduled lengths</x:v>
      </x:c>
      <x:c r="K454" s="2"/>
      <x:c r="L454" s="2"/>
      <x:c r="M454" s="2"/>
      <x:c r="N454" s="2"/>
      <x:c r="O454" s="2"/>
      <x:c r="P454" s="2"/>
      <x:c r="Q454" s="2"/>
    </x:row>
    <x:row r="455" ht="22" customHeight="1">
      <x:c r="A455" s="2" t="str">
        <x:v>T3-L08-BX</x:v>
      </x:c>
      <x:c r="B455" s="2" t="str">
        <x:v>T3</x:v>
      </x:c>
      <x:c r="C455" s="2" t="str">
        <x:v>L08</x:v>
      </x:c>
      <x:c r="D455" s="2" t="str">
        <x:v>X beam longitudinal</x:v>
      </x:c>
      <x:c r="E455" s="21" t="n">
        <x:v>20</x:v>
      </x:c>
      <x:c r="F455" s="21" t="n">
        <x:v>150</x:v>
      </x:c>
      <x:c r="G455" s="21" t="n">
        <x:v>6.5</x:v>
      </x:c>
      <x:c r="H455" s="21" t="n">
        <x:f>E455^2*'Controls'!$B$52</x:f>
        <x:v>2.466</x:v>
      </x:c>
      <x:c r="I455" s="21" t="n">
        <x:f>F455*G455*H455</x:f>
        <x:v>2404.3500000000004</x:v>
      </x:c>
      <x:c r="J455" s="2" t="str">
        <x:v>25 spans x 6 bars incl. 1 m lap/anchorage provision</x:v>
      </x:c>
      <x:c r="K455" s="2"/>
      <x:c r="L455" s="2"/>
      <x:c r="M455" s="2"/>
      <x:c r="N455" s="2"/>
      <x:c r="O455" s="2"/>
      <x:c r="P455" s="2"/>
      <x:c r="Q455" s="2"/>
    </x:row>
    <x:row r="456" ht="22" customHeight="1">
      <x:c r="A456" s="7" t="str">
        <x:v>T3-L08-BY</x:v>
      </x:c>
      <x:c r="B456" s="7" t="str">
        <x:v>T3</x:v>
      </x:c>
      <x:c r="C456" s="7" t="str">
        <x:v>L08</x:v>
      </x:c>
      <x:c r="D456" s="7" t="str">
        <x:v>Y beam longitudinal</x:v>
      </x:c>
      <x:c r="E456" s="20" t="n">
        <x:v>20</x:v>
      </x:c>
      <x:c r="F456" s="20" t="n">
        <x:v>144</x:v>
      </x:c>
      <x:c r="G456" s="20" t="n">
        <x:v>6.5</x:v>
      </x:c>
      <x:c r="H456" s="20" t="n">
        <x:f>E456^2*'Controls'!$B$52</x:f>
        <x:v>2.466</x:v>
      </x:c>
      <x:c r="I456" s="20" t="n">
        <x:f>F456*G456*H456</x:f>
        <x:v>2308.1760000000004</x:v>
      </x:c>
      <x:c r="J456" s="7" t="str">
        <x:v>24 spans x 6 bars</x:v>
      </x:c>
      <x:c r="K456" s="2"/>
      <x:c r="L456" s="2"/>
      <x:c r="M456" s="2"/>
      <x:c r="N456" s="2"/>
      <x:c r="O456" s="2"/>
      <x:c r="P456" s="2"/>
      <x:c r="Q456" s="2"/>
    </x:row>
    <x:row r="457" ht="22" customHeight="1">
      <x:c r="A457" s="2" t="str">
        <x:v>T3-L08-BT</x:v>
      </x:c>
      <x:c r="B457" s="2" t="str">
        <x:v>T3</x:v>
      </x:c>
      <x:c r="C457" s="2" t="str">
        <x:v>L08</x:v>
      </x:c>
      <x:c r="D457" s="2" t="str">
        <x:v>Beam closed links</x:v>
      </x:c>
      <x:c r="E457" s="21" t="n">
        <x:v>10</x:v>
      </x:c>
      <x:c r="F457" s="21" t="n">
        <x:v>1421</x:v>
      </x:c>
      <x:c r="G457" s="21" t="n">
        <x:v>1.7</x:v>
      </x:c>
      <x:c r="H457" s="21" t="n">
        <x:f>E457^2*'Controls'!$B$52</x:f>
        <x:v>0.6165</x:v>
      </x:c>
      <x:c r="I457" s="21" t="n">
        <x:f>F457*G457*H457</x:f>
        <x:v>1489.27905</x:v>
      </x:c>
      <x:c r="J457" s="2" t="str">
        <x:v>49 beams x 29 links, 200 mm nominal</x:v>
      </x:c>
      <x:c r="K457" s="2"/>
      <x:c r="L457" s="2"/>
      <x:c r="M457" s="2"/>
      <x:c r="N457" s="2"/>
      <x:c r="O457" s="2"/>
      <x:c r="P457" s="2"/>
      <x:c r="Q457" s="2"/>
    </x:row>
    <x:row r="458" ht="22" customHeight="1">
      <x:c r="A458" s="7" t="str">
        <x:v>T3-L08-CL</x:v>
      </x:c>
      <x:c r="B458" s="7" t="str">
        <x:v>T3</x:v>
      </x:c>
      <x:c r="C458" s="7" t="str">
        <x:v>L08</x:v>
      </x:c>
      <x:c r="D458" s="7" t="str">
        <x:v>Column longitudinal</x:v>
      </x:c>
      <x:c r="E458" s="20" t="n">
        <x:v>25</x:v>
      </x:c>
      <x:c r="F458" s="20" t="n">
        <x:v>360</x:v>
      </x:c>
      <x:c r="G458" s="20" t="n">
        <x:v>3.9</x:v>
      </x:c>
      <x:c r="H458" s="20" t="n">
        <x:f>E458^2*'Controls'!$B$52</x:f>
        <x:v>3.8531250000000004</x:v>
      </x:c>
      <x:c r="I458" s="20" t="n">
        <x:f>F458*G458*H458</x:f>
        <x:v>5409.7875</x:v>
      </x:c>
      <x:c r="J458" s="7" t="str">
        <x:v>30 columns x 12 bars incl. lap</x:v>
      </x:c>
      <x:c r="K458" s="2"/>
      <x:c r="L458" s="2"/>
      <x:c r="M458" s="2"/>
      <x:c r="N458" s="2"/>
      <x:c r="O458" s="2"/>
      <x:c r="P458" s="2"/>
      <x:c r="Q458" s="2"/>
    </x:row>
    <x:row r="459" ht="22" customHeight="1">
      <x:c r="A459" s="2" t="str">
        <x:v>T3-L08-CT</x:v>
      </x:c>
      <x:c r="B459" s="2" t="str">
        <x:v>T3</x:v>
      </x:c>
      <x:c r="C459" s="2" t="str">
        <x:v>L08</x:v>
      </x:c>
      <x:c r="D459" s="2" t="str">
        <x:v>Column ties</x:v>
      </x:c>
      <x:c r="E459" s="21" t="n">
        <x:v>10</x:v>
      </x:c>
      <x:c r="F459" s="21" t="n">
        <x:v>510</x:v>
      </x:c>
      <x:c r="G459" s="21" t="n">
        <x:v>1.96</x:v>
      </x:c>
      <x:c r="H459" s="21" t="n">
        <x:f>E459^2*'Controls'!$B$52</x:f>
        <x:v>0.6165</x:v>
      </x:c>
      <x:c r="I459" s="21" t="n">
        <x:f>F459*G459*H459</x:f>
        <x:v>616.2534</x:v>
      </x:c>
      <x:c r="J459" s="2" t="str">
        <x:v>30 columns x 17 ties, cover and hooks included</x:v>
      </x:c>
      <x:c r="K459" s="2"/>
      <x:c r="L459" s="2"/>
      <x:c r="M459" s="2"/>
      <x:c r="N459" s="2"/>
      <x:c r="O459" s="2"/>
      <x:c r="P459" s="2"/>
      <x:c r="Q459" s="2"/>
    </x:row>
    <x:row r="460" ht="22" customHeight="1">
      <x:c r="A460" s="7" t="str">
        <x:v>T3-L08-CV</x:v>
      </x:c>
      <x:c r="B460" s="7" t="str">
        <x:v>T3</x:v>
      </x:c>
      <x:c r="C460" s="7" t="str">
        <x:v>L08</x:v>
      </x:c>
      <x:c r="D460" s="7" t="str">
        <x:v>Core vertical bars</x:v>
      </x:c>
      <x:c r="E460" s="20" t="n">
        <x:v>16</x:v>
      </x:c>
      <x:c r="F460" s="20" t="n">
        <x:v>244</x:v>
      </x:c>
      <x:c r="G460" s="20" t="n">
        <x:v>3.9</x:v>
      </x:c>
      <x:c r="H460" s="20" t="n">
        <x:f>E460^2*'Controls'!$B$52</x:f>
        <x:v>1.57824</x:v>
      </x:c>
      <x:c r="I460" s="20" t="n">
        <x:f>F460*G460*H460</x:f>
        <x:v>1501.853184</x:v>
      </x:c>
      <x:c r="J460" s="7" t="str">
        <x:v>Two faces, 200 mm nominal along 24 m net length</x:v>
      </x:c>
      <x:c r="K460" s="2"/>
      <x:c r="L460" s="2"/>
      <x:c r="M460" s="2"/>
      <x:c r="N460" s="2"/>
      <x:c r="O460" s="2"/>
      <x:c r="P460" s="2"/>
      <x:c r="Q460" s="2"/>
    </x:row>
    <x:row r="461" ht="22" customHeight="1">
      <x:c r="A461" s="2" t="str">
        <x:v>T3-L08-CH</x:v>
      </x:c>
      <x:c r="B461" s="2" t="str">
        <x:v>T3</x:v>
      </x:c>
      <x:c r="C461" s="2" t="str">
        <x:v>L08</x:v>
      </x:c>
      <x:c r="D461" s="2" t="str">
        <x:v>Core horizontal bars</x:v>
      </x:c>
      <x:c r="E461" s="21" t="n">
        <x:v>12</x:v>
      </x:c>
      <x:c r="F461" s="21" t="n">
        <x:v>32</x:v>
      </x:c>
      <x:c r="G461" s="21" t="n">
        <x:v>25</x:v>
      </x:c>
      <x:c r="H461" s="21" t="n">
        <x:f>E461^2*'Controls'!$B$52</x:f>
        <x:v>0.8877600000000001</x:v>
      </x:c>
      <x:c r="I461" s="21" t="n">
        <x:f>F461*G461*H461</x:f>
        <x:v>710.2080000000001</x:v>
      </x:c>
      <x:c r="J461" s="2" t="str">
        <x:v>Two faces x 16 layers incl. lap</x:v>
      </x:c>
      <x:c r="K461" s="2"/>
      <x:c r="L461" s="2"/>
      <x:c r="M461" s="2"/>
      <x:c r="N461" s="2"/>
      <x:c r="O461" s="2"/>
      <x:c r="P461" s="2"/>
      <x:c r="Q461" s="2"/>
    </x:row>
    <x:row r="462" ht="22" customHeight="1">
      <x:c r="A462" s="7" t="str">
        <x:v>T3-L08-ST</x:v>
      </x:c>
      <x:c r="B462" s="7" t="str">
        <x:v>T3</x:v>
      </x:c>
      <x:c r="C462" s="7" t="str">
        <x:v>L08</x:v>
      </x:c>
      <x:c r="D462" s="7" t="str">
        <x:v>Stair flights and landings</x:v>
      </x:c>
      <x:c r="E462" s="20" t="n">
        <x:v>12</x:v>
      </x:c>
      <x:c r="F462" s="20" t="n">
        <x:v>80</x:v>
      </x:c>
      <x:c r="G462" s="20" t="n">
        <x:v>4.8</x:v>
      </x:c>
      <x:c r="H462" s="20" t="n">
        <x:f>E462^2*'Controls'!$B$52</x:f>
        <x:v>0.8877600000000001</x:v>
      </x:c>
      <x:c r="I462" s="20" t="n">
        <x:f>F462*G462*H462</x:f>
        <x:v>340.89984000000004</x:v>
      </x:c>
      <x:c r="J462" s="7" t="str">
        <x:v>Separate stair reinforcement allowance</x:v>
      </x:c>
      <x:c r="K462" s="2"/>
      <x:c r="L462" s="2"/>
      <x:c r="M462" s="2"/>
      <x:c r="N462" s="2"/>
      <x:c r="O462" s="2"/>
      <x:c r="P462" s="2"/>
      <x:c r="Q462" s="2"/>
    </x:row>
    <x:row r="463" ht="22" customHeight="1">
      <x:c r="A463" s="2" t="str">
        <x:v>T3-L09-S1</x:v>
      </x:c>
      <x:c r="B463" s="2" t="str">
        <x:v>T3</x:v>
      </x:c>
      <x:c r="C463" s="2" t="str">
        <x:v>L09</x:v>
      </x:c>
      <x:c r="D463" s="2" t="str">
        <x:v>Slab X through strips</x:v>
      </x:c>
      <x:c r="E463" s="21" t="n">
        <x:v>12</x:v>
      </x:c>
      <x:c r="F463" s="21" t="n">
        <x:v>182</x:v>
      </x:c>
      <x:c r="G463" s="21" t="n">
        <x:v>29.95</x:v>
      </x:c>
      <x:c r="H463" s="21" t="n">
        <x:f>E463^2*'Controls'!$B$52</x:f>
        <x:v>0.8877600000000001</x:v>
      </x:c>
      <x:c r="I463" s="21" t="n">
        <x:f>F463*G463*H463</x:f>
        <x:v>4839.090984</x:v>
      </x:c>
      <x:c r="J463" s="2" t="str">
        <x:v>2 layers x 91 bars outside central opening band</x:v>
      </x:c>
      <x:c r="K463" s="2"/>
      <x:c r="L463" s="2"/>
      <x:c r="M463" s="2"/>
      <x:c r="N463" s="2"/>
      <x:c r="O463" s="2"/>
      <x:c r="P463" s="2"/>
      <x:c r="Q463" s="2"/>
    </x:row>
    <x:row r="464" ht="22" customHeight="1">
      <x:c r="A464" s="7" t="str">
        <x:v>T3-L09-S2</x:v>
      </x:c>
      <x:c r="B464" s="7" t="str">
        <x:v>T3</x:v>
      </x:c>
      <x:c r="C464" s="7" t="str">
        <x:v>L09</x:v>
      </x:c>
      <x:c r="D464" s="7" t="str">
        <x:v>Slab X split at core</x:v>
      </x:c>
      <x:c r="E464" s="20" t="n">
        <x:v>12</x:v>
      </x:c>
      <x:c r="F464" s="20" t="n">
        <x:v>60</x:v>
      </x:c>
      <x:c r="G464" s="20" t="n">
        <x:v>25.95</x:v>
      </x:c>
      <x:c r="H464" s="20" t="n">
        <x:f>E464^2*'Controls'!$B$52</x:f>
        <x:v>0.8877600000000001</x:v>
      </x:c>
      <x:c r="I464" s="20" t="n">
        <x:f>F464*G464*H464</x:f>
        <x:v>1382.24232</x:v>
      </x:c>
      <x:c r="J464" s="7" t="str">
        <x:v>2 layers x 30 bars, split lengths combined around 4 m opening</x:v>
      </x:c>
      <x:c r="K464" s="2"/>
      <x:c r="L464" s="2"/>
      <x:c r="M464" s="2"/>
      <x:c r="N464" s="2"/>
      <x:c r="O464" s="2"/>
      <x:c r="P464" s="2"/>
      <x:c r="Q464" s="2"/>
    </x:row>
    <x:row r="465" ht="22" customHeight="1">
      <x:c r="A465" s="2" t="str">
        <x:v>T3-L09-S3</x:v>
      </x:c>
      <x:c r="B465" s="2" t="str">
        <x:v>T3</x:v>
      </x:c>
      <x:c r="C465" s="2" t="str">
        <x:v>L09</x:v>
      </x:c>
      <x:c r="D465" s="2" t="str">
        <x:v>Slab Y through strips</x:v>
      </x:c>
      <x:c r="E465" s="21" t="n">
        <x:v>12</x:v>
      </x:c>
      <x:c r="F465" s="21" t="n">
        <x:v>262</x:v>
      </x:c>
      <x:c r="G465" s="21" t="n">
        <x:v>23.95</x:v>
      </x:c>
      <x:c r="H465" s="21" t="n">
        <x:f>E465^2*'Controls'!$B$52</x:f>
        <x:v>0.8877600000000001</x:v>
      </x:c>
      <x:c r="I465" s="21" t="n">
        <x:f>F465*G465*H465</x:f>
        <x:v>5570.605224</x:v>
      </x:c>
      <x:c r="J465" s="2" t="str">
        <x:v>2 layers x 131 bars outside central opening band</x:v>
      </x:c>
      <x:c r="K465" s="2"/>
      <x:c r="L465" s="2"/>
      <x:c r="M465" s="2"/>
      <x:c r="N465" s="2"/>
      <x:c r="O465" s="2"/>
      <x:c r="P465" s="2"/>
      <x:c r="Q465" s="2"/>
    </x:row>
    <x:row r="466" ht="22" customHeight="1">
      <x:c r="A466" s="7" t="str">
        <x:v>T3-L09-S4</x:v>
      </x:c>
      <x:c r="B466" s="7" t="str">
        <x:v>T3</x:v>
      </x:c>
      <x:c r="C466" s="7" t="str">
        <x:v>L09</x:v>
      </x:c>
      <x:c r="D466" s="7" t="str">
        <x:v>Slab Y split at core</x:v>
      </x:c>
      <x:c r="E466" s="20" t="n">
        <x:v>12</x:v>
      </x:c>
      <x:c r="F466" s="20" t="n">
        <x:v>40</x:v>
      </x:c>
      <x:c r="G466" s="20" t="n">
        <x:v>17.95</x:v>
      </x:c>
      <x:c r="H466" s="20" t="n">
        <x:f>E466^2*'Controls'!$B$52</x:f>
        <x:v>0.8877600000000001</x:v>
      </x:c>
      <x:c r="I466" s="20" t="n">
        <x:f>F466*G466*H466</x:f>
        <x:v>637.41168</x:v>
      </x:c>
      <x:c r="J466" s="7" t="str">
        <x:v>2 layers x 20 bars, split around 6 m opening</x:v>
      </x:c>
      <x:c r="K466" s="2"/>
      <x:c r="L466" s="2"/>
      <x:c r="M466" s="2"/>
      <x:c r="N466" s="2"/>
      <x:c r="O466" s="2"/>
      <x:c r="P466" s="2"/>
      <x:c r="Q466" s="2"/>
    </x:row>
    <x:row r="467" ht="22" customHeight="1">
      <x:c r="A467" s="2" t="str">
        <x:v>T3-L09-S5</x:v>
      </x:c>
      <x:c r="B467" s="2" t="str">
        <x:v>T3</x:v>
      </x:c>
      <x:c r="C467" s="2" t="str">
        <x:v>L09</x:v>
      </x:c>
      <x:c r="D467" s="2" t="str">
        <x:v>Opening trim bars</x:v>
      </x:c>
      <x:c r="E467" s="21" t="n">
        <x:v>16</x:v>
      </x:c>
      <x:c r="F467" s="21" t="n">
        <x:v>16</x:v>
      </x:c>
      <x:c r="G467" s="21" t="n">
        <x:v>7.2</x:v>
      </x:c>
      <x:c r="H467" s="21" t="n">
        <x:f>E467^2*'Controls'!$B$52</x:f>
        <x:v>1.57824</x:v>
      </x:c>
      <x:c r="I467" s="21" t="n">
        <x:f>F467*G467*H467</x:f>
        <x:v>181.81324800000002</x:v>
      </x:c>
      <x:c r="J467" s="2" t="str">
        <x:v>Trim allowance, explicit scheduled lengths</x:v>
      </x:c>
      <x:c r="K467" s="2"/>
      <x:c r="L467" s="2"/>
      <x:c r="M467" s="2"/>
      <x:c r="N467" s="2"/>
      <x:c r="O467" s="2"/>
      <x:c r="P467" s="2"/>
      <x:c r="Q467" s="2"/>
    </x:row>
    <x:row r="468" ht="22" customHeight="1">
      <x:c r="A468" s="7" t="str">
        <x:v>T3-L09-BX</x:v>
      </x:c>
      <x:c r="B468" s="7" t="str">
        <x:v>T3</x:v>
      </x:c>
      <x:c r="C468" s="7" t="str">
        <x:v>L09</x:v>
      </x:c>
      <x:c r="D468" s="7" t="str">
        <x:v>X beam longitudinal</x:v>
      </x:c>
      <x:c r="E468" s="20" t="n">
        <x:v>20</x:v>
      </x:c>
      <x:c r="F468" s="20" t="n">
        <x:v>150</x:v>
      </x:c>
      <x:c r="G468" s="20" t="n">
        <x:v>6.5</x:v>
      </x:c>
      <x:c r="H468" s="20" t="n">
        <x:f>E468^2*'Controls'!$B$52</x:f>
        <x:v>2.466</x:v>
      </x:c>
      <x:c r="I468" s="20" t="n">
        <x:f>F468*G468*H468</x:f>
        <x:v>2404.3500000000004</x:v>
      </x:c>
      <x:c r="J468" s="7" t="str">
        <x:v>25 spans x 6 bars incl. 1 m lap/anchorage provision</x:v>
      </x:c>
      <x:c r="K468" s="2"/>
      <x:c r="L468" s="2"/>
      <x:c r="M468" s="2"/>
      <x:c r="N468" s="2"/>
      <x:c r="O468" s="2"/>
      <x:c r="P468" s="2"/>
      <x:c r="Q468" s="2"/>
    </x:row>
    <x:row r="469" ht="22" customHeight="1">
      <x:c r="A469" s="2" t="str">
        <x:v>T3-L09-BY</x:v>
      </x:c>
      <x:c r="B469" s="2" t="str">
        <x:v>T3</x:v>
      </x:c>
      <x:c r="C469" s="2" t="str">
        <x:v>L09</x:v>
      </x:c>
      <x:c r="D469" s="2" t="str">
        <x:v>Y beam longitudinal</x:v>
      </x:c>
      <x:c r="E469" s="21" t="n">
        <x:v>20</x:v>
      </x:c>
      <x:c r="F469" s="21" t="n">
        <x:v>144</x:v>
      </x:c>
      <x:c r="G469" s="21" t="n">
        <x:v>6.5</x:v>
      </x:c>
      <x:c r="H469" s="21" t="n">
        <x:f>E469^2*'Controls'!$B$52</x:f>
        <x:v>2.466</x:v>
      </x:c>
      <x:c r="I469" s="21" t="n">
        <x:f>F469*G469*H469</x:f>
        <x:v>2308.1760000000004</x:v>
      </x:c>
      <x:c r="J469" s="2" t="str">
        <x:v>24 spans x 6 bars</x:v>
      </x:c>
      <x:c r="K469" s="2"/>
      <x:c r="L469" s="2"/>
      <x:c r="M469" s="2"/>
      <x:c r="N469" s="2"/>
      <x:c r="O469" s="2"/>
      <x:c r="P469" s="2"/>
      <x:c r="Q469" s="2"/>
    </x:row>
    <x:row r="470" ht="22" customHeight="1">
      <x:c r="A470" s="7" t="str">
        <x:v>T3-L09-BT</x:v>
      </x:c>
      <x:c r="B470" s="7" t="str">
        <x:v>T3</x:v>
      </x:c>
      <x:c r="C470" s="7" t="str">
        <x:v>L09</x:v>
      </x:c>
      <x:c r="D470" s="7" t="str">
        <x:v>Beam closed links</x:v>
      </x:c>
      <x:c r="E470" s="20" t="n">
        <x:v>10</x:v>
      </x:c>
      <x:c r="F470" s="20" t="n">
        <x:v>1421</x:v>
      </x:c>
      <x:c r="G470" s="20" t="n">
        <x:v>1.7</x:v>
      </x:c>
      <x:c r="H470" s="20" t="n">
        <x:f>E470^2*'Controls'!$B$52</x:f>
        <x:v>0.6165</x:v>
      </x:c>
      <x:c r="I470" s="20" t="n">
        <x:f>F470*G470*H470</x:f>
        <x:v>1489.27905</x:v>
      </x:c>
      <x:c r="J470" s="7" t="str">
        <x:v>49 beams x 29 links, 200 mm nominal</x:v>
      </x:c>
      <x:c r="K470" s="2"/>
      <x:c r="L470" s="2"/>
      <x:c r="M470" s="2"/>
      <x:c r="N470" s="2"/>
      <x:c r="O470" s="2"/>
      <x:c r="P470" s="2"/>
      <x:c r="Q470" s="2"/>
    </x:row>
    <x:row r="471" ht="22" customHeight="1">
      <x:c r="A471" s="2" t="str">
        <x:v>T3-L09-CL</x:v>
      </x:c>
      <x:c r="B471" s="2" t="str">
        <x:v>T3</x:v>
      </x:c>
      <x:c r="C471" s="2" t="str">
        <x:v>L09</x:v>
      </x:c>
      <x:c r="D471" s="2" t="str">
        <x:v>Column longitudinal</x:v>
      </x:c>
      <x:c r="E471" s="21" t="n">
        <x:v>25</x:v>
      </x:c>
      <x:c r="F471" s="21" t="n">
        <x:v>360</x:v>
      </x:c>
      <x:c r="G471" s="21" t="n">
        <x:v>3.9</x:v>
      </x:c>
      <x:c r="H471" s="21" t="n">
        <x:f>E471^2*'Controls'!$B$52</x:f>
        <x:v>3.8531250000000004</x:v>
      </x:c>
      <x:c r="I471" s="21" t="n">
        <x:f>F471*G471*H471</x:f>
        <x:v>5409.7875</x:v>
      </x:c>
      <x:c r="J471" s="2" t="str">
        <x:v>30 columns x 12 bars incl. lap</x:v>
      </x:c>
      <x:c r="K471" s="2"/>
      <x:c r="L471" s="2"/>
      <x:c r="M471" s="2"/>
      <x:c r="N471" s="2"/>
      <x:c r="O471" s="2"/>
      <x:c r="P471" s="2"/>
      <x:c r="Q471" s="2"/>
    </x:row>
    <x:row r="472" ht="22" customHeight="1">
      <x:c r="A472" s="7" t="str">
        <x:v>T3-L09-CT</x:v>
      </x:c>
      <x:c r="B472" s="7" t="str">
        <x:v>T3</x:v>
      </x:c>
      <x:c r="C472" s="7" t="str">
        <x:v>L09</x:v>
      </x:c>
      <x:c r="D472" s="7" t="str">
        <x:v>Column ties</x:v>
      </x:c>
      <x:c r="E472" s="20" t="n">
        <x:v>10</x:v>
      </x:c>
      <x:c r="F472" s="20" t="n">
        <x:v>510</x:v>
      </x:c>
      <x:c r="G472" s="20" t="n">
        <x:v>1.96</x:v>
      </x:c>
      <x:c r="H472" s="20" t="n">
        <x:f>E472^2*'Controls'!$B$52</x:f>
        <x:v>0.6165</x:v>
      </x:c>
      <x:c r="I472" s="20" t="n">
        <x:f>F472*G472*H472</x:f>
        <x:v>616.2534</x:v>
      </x:c>
      <x:c r="J472" s="7" t="str">
        <x:v>30 columns x 17 ties, cover and hooks included</x:v>
      </x:c>
      <x:c r="K472" s="2"/>
      <x:c r="L472" s="2"/>
      <x:c r="M472" s="2"/>
      <x:c r="N472" s="2"/>
      <x:c r="O472" s="2"/>
      <x:c r="P472" s="2"/>
      <x:c r="Q472" s="2"/>
    </x:row>
    <x:row r="473" ht="22" customHeight="1">
      <x:c r="A473" s="2" t="str">
        <x:v>T3-L09-CV</x:v>
      </x:c>
      <x:c r="B473" s="2" t="str">
        <x:v>T3</x:v>
      </x:c>
      <x:c r="C473" s="2" t="str">
        <x:v>L09</x:v>
      </x:c>
      <x:c r="D473" s="2" t="str">
        <x:v>Core vertical bars</x:v>
      </x:c>
      <x:c r="E473" s="21" t="n">
        <x:v>16</x:v>
      </x:c>
      <x:c r="F473" s="21" t="n">
        <x:v>244</x:v>
      </x:c>
      <x:c r="G473" s="21" t="n">
        <x:v>3.9</x:v>
      </x:c>
      <x:c r="H473" s="21" t="n">
        <x:f>E473^2*'Controls'!$B$52</x:f>
        <x:v>1.57824</x:v>
      </x:c>
      <x:c r="I473" s="21" t="n">
        <x:f>F473*G473*H473</x:f>
        <x:v>1501.853184</x:v>
      </x:c>
      <x:c r="J473" s="2" t="str">
        <x:v>Two faces, 200 mm nominal along 24 m net length</x:v>
      </x:c>
      <x:c r="K473" s="2"/>
      <x:c r="L473" s="2"/>
      <x:c r="M473" s="2"/>
      <x:c r="N473" s="2"/>
      <x:c r="O473" s="2"/>
      <x:c r="P473" s="2"/>
      <x:c r="Q473" s="2"/>
    </x:row>
    <x:row r="474" ht="22" customHeight="1">
      <x:c r="A474" s="7" t="str">
        <x:v>T3-L09-CH</x:v>
      </x:c>
      <x:c r="B474" s="7" t="str">
        <x:v>T3</x:v>
      </x:c>
      <x:c r="C474" s="7" t="str">
        <x:v>L09</x:v>
      </x:c>
      <x:c r="D474" s="7" t="str">
        <x:v>Core horizontal bars</x:v>
      </x:c>
      <x:c r="E474" s="20" t="n">
        <x:v>12</x:v>
      </x:c>
      <x:c r="F474" s="20" t="n">
        <x:v>32</x:v>
      </x:c>
      <x:c r="G474" s="20" t="n">
        <x:v>25</x:v>
      </x:c>
      <x:c r="H474" s="20" t="n">
        <x:f>E474^2*'Controls'!$B$52</x:f>
        <x:v>0.8877600000000001</x:v>
      </x:c>
      <x:c r="I474" s="20" t="n">
        <x:f>F474*G474*H474</x:f>
        <x:v>710.2080000000001</x:v>
      </x:c>
      <x:c r="J474" s="7" t="str">
        <x:v>Two faces x 16 layers incl. lap</x:v>
      </x:c>
      <x:c r="K474" s="2"/>
      <x:c r="L474" s="2"/>
      <x:c r="M474" s="2"/>
      <x:c r="N474" s="2"/>
      <x:c r="O474" s="2"/>
      <x:c r="P474" s="2"/>
      <x:c r="Q474" s="2"/>
    </x:row>
    <x:row r="475" ht="22" customHeight="1">
      <x:c r="A475" s="2" t="str">
        <x:v>T3-L09-ST</x:v>
      </x:c>
      <x:c r="B475" s="2" t="str">
        <x:v>T3</x:v>
      </x:c>
      <x:c r="C475" s="2" t="str">
        <x:v>L09</x:v>
      </x:c>
      <x:c r="D475" s="2" t="str">
        <x:v>Stair flights and landings</x:v>
      </x:c>
      <x:c r="E475" s="21" t="n">
        <x:v>12</x:v>
      </x:c>
      <x:c r="F475" s="21" t="n">
        <x:v>80</x:v>
      </x:c>
      <x:c r="G475" s="21" t="n">
        <x:v>4.8</x:v>
      </x:c>
      <x:c r="H475" s="21" t="n">
        <x:f>E475^2*'Controls'!$B$52</x:f>
        <x:v>0.8877600000000001</x:v>
      </x:c>
      <x:c r="I475" s="21" t="n">
        <x:f>F475*G475*H475</x:f>
        <x:v>340.89984000000004</x:v>
      </x:c>
      <x:c r="J475" s="2" t="str">
        <x:v>Separate stair reinforcement allowance</x:v>
      </x:c>
      <x:c r="K475" s="2"/>
      <x:c r="L475" s="2"/>
      <x:c r="M475" s="2"/>
      <x:c r="N475" s="2"/>
      <x:c r="O475" s="2"/>
      <x:c r="P475" s="2"/>
      <x:c r="Q475" s="2"/>
    </x:row>
    <x:row r="476" ht="22" customHeight="1">
      <x:c r="A476" s="7" t="str">
        <x:v>T3-L10-S1</x:v>
      </x:c>
      <x:c r="B476" s="7" t="str">
        <x:v>T3</x:v>
      </x:c>
      <x:c r="C476" s="7" t="str">
        <x:v>L10</x:v>
      </x:c>
      <x:c r="D476" s="7" t="str">
        <x:v>Slab X through strips</x:v>
      </x:c>
      <x:c r="E476" s="20" t="n">
        <x:v>12</x:v>
      </x:c>
      <x:c r="F476" s="20" t="n">
        <x:v>182</x:v>
      </x:c>
      <x:c r="G476" s="20" t="n">
        <x:v>29.95</x:v>
      </x:c>
      <x:c r="H476" s="20" t="n">
        <x:f>E476^2*'Controls'!$B$52</x:f>
        <x:v>0.8877600000000001</x:v>
      </x:c>
      <x:c r="I476" s="20" t="n">
        <x:f>F476*G476*H476</x:f>
        <x:v>4839.090984</x:v>
      </x:c>
      <x:c r="J476" s="7" t="str">
        <x:v>2 layers x 91 bars outside central opening band</x:v>
      </x:c>
      <x:c r="K476" s="2"/>
      <x:c r="L476" s="2"/>
      <x:c r="M476" s="2"/>
      <x:c r="N476" s="2"/>
      <x:c r="O476" s="2"/>
      <x:c r="P476" s="2"/>
      <x:c r="Q476" s="2"/>
    </x:row>
    <x:row r="477" ht="22" customHeight="1">
      <x:c r="A477" s="2" t="str">
        <x:v>T3-L10-S2</x:v>
      </x:c>
      <x:c r="B477" s="2" t="str">
        <x:v>T3</x:v>
      </x:c>
      <x:c r="C477" s="2" t="str">
        <x:v>L10</x:v>
      </x:c>
      <x:c r="D477" s="2" t="str">
        <x:v>Slab X split at core</x:v>
      </x:c>
      <x:c r="E477" s="21" t="n">
        <x:v>12</x:v>
      </x:c>
      <x:c r="F477" s="21" t="n">
        <x:v>60</x:v>
      </x:c>
      <x:c r="G477" s="21" t="n">
        <x:v>25.95</x:v>
      </x:c>
      <x:c r="H477" s="21" t="n">
        <x:f>E477^2*'Controls'!$B$52</x:f>
        <x:v>0.8877600000000001</x:v>
      </x:c>
      <x:c r="I477" s="21" t="n">
        <x:f>F477*G477*H477</x:f>
        <x:v>1382.24232</x:v>
      </x:c>
      <x:c r="J477" s="2" t="str">
        <x:v>2 layers x 30 bars, split lengths combined around 4 m opening</x:v>
      </x:c>
      <x:c r="K477" s="2"/>
      <x:c r="L477" s="2"/>
      <x:c r="M477" s="2"/>
      <x:c r="N477" s="2"/>
      <x:c r="O477" s="2"/>
      <x:c r="P477" s="2"/>
      <x:c r="Q477" s="2"/>
    </x:row>
    <x:row r="478" ht="22" customHeight="1">
      <x:c r="A478" s="7" t="str">
        <x:v>T3-L10-S3</x:v>
      </x:c>
      <x:c r="B478" s="7" t="str">
        <x:v>T3</x:v>
      </x:c>
      <x:c r="C478" s="7" t="str">
        <x:v>L10</x:v>
      </x:c>
      <x:c r="D478" s="7" t="str">
        <x:v>Slab Y through strips</x:v>
      </x:c>
      <x:c r="E478" s="20" t="n">
        <x:v>12</x:v>
      </x:c>
      <x:c r="F478" s="20" t="n">
        <x:v>262</x:v>
      </x:c>
      <x:c r="G478" s="20" t="n">
        <x:v>23.95</x:v>
      </x:c>
      <x:c r="H478" s="20" t="n">
        <x:f>E478^2*'Controls'!$B$52</x:f>
        <x:v>0.8877600000000001</x:v>
      </x:c>
      <x:c r="I478" s="20" t="n">
        <x:f>F478*G478*H478</x:f>
        <x:v>5570.605224</x:v>
      </x:c>
      <x:c r="J478" s="7" t="str">
        <x:v>2 layers x 131 bars outside central opening band</x:v>
      </x:c>
      <x:c r="K478" s="2"/>
      <x:c r="L478" s="2"/>
      <x:c r="M478" s="2"/>
      <x:c r="N478" s="2"/>
      <x:c r="O478" s="2"/>
      <x:c r="P478" s="2"/>
      <x:c r="Q478" s="2"/>
    </x:row>
    <x:row r="479" ht="22" customHeight="1">
      <x:c r="A479" s="2" t="str">
        <x:v>T3-L10-S4</x:v>
      </x:c>
      <x:c r="B479" s="2" t="str">
        <x:v>T3</x:v>
      </x:c>
      <x:c r="C479" s="2" t="str">
        <x:v>L10</x:v>
      </x:c>
      <x:c r="D479" s="2" t="str">
        <x:v>Slab Y split at core</x:v>
      </x:c>
      <x:c r="E479" s="21" t="n">
        <x:v>12</x:v>
      </x:c>
      <x:c r="F479" s="21" t="n">
        <x:v>40</x:v>
      </x:c>
      <x:c r="G479" s="21" t="n">
        <x:v>17.95</x:v>
      </x:c>
      <x:c r="H479" s="21" t="n">
        <x:f>E479^2*'Controls'!$B$52</x:f>
        <x:v>0.8877600000000001</x:v>
      </x:c>
      <x:c r="I479" s="21" t="n">
        <x:f>F479*G479*H479</x:f>
        <x:v>637.41168</x:v>
      </x:c>
      <x:c r="J479" s="2" t="str">
        <x:v>2 layers x 20 bars, split around 6 m opening</x:v>
      </x:c>
      <x:c r="K479" s="2"/>
      <x:c r="L479" s="2"/>
      <x:c r="M479" s="2"/>
      <x:c r="N479" s="2"/>
      <x:c r="O479" s="2"/>
      <x:c r="P479" s="2"/>
      <x:c r="Q479" s="2"/>
    </x:row>
    <x:row r="480" ht="22" customHeight="1">
      <x:c r="A480" s="7" t="str">
        <x:v>T3-L10-S5</x:v>
      </x:c>
      <x:c r="B480" s="7" t="str">
        <x:v>T3</x:v>
      </x:c>
      <x:c r="C480" s="7" t="str">
        <x:v>L10</x:v>
      </x:c>
      <x:c r="D480" s="7" t="str">
        <x:v>Opening trim bars</x:v>
      </x:c>
      <x:c r="E480" s="20" t="n">
        <x:v>16</x:v>
      </x:c>
      <x:c r="F480" s="20" t="n">
        <x:v>16</x:v>
      </x:c>
      <x:c r="G480" s="20" t="n">
        <x:v>7.2</x:v>
      </x:c>
      <x:c r="H480" s="20" t="n">
        <x:f>E480^2*'Controls'!$B$52</x:f>
        <x:v>1.57824</x:v>
      </x:c>
      <x:c r="I480" s="20" t="n">
        <x:f>F480*G480*H480</x:f>
        <x:v>181.81324800000002</x:v>
      </x:c>
      <x:c r="J480" s="7" t="str">
        <x:v>Trim allowance, explicit scheduled lengths</x:v>
      </x:c>
      <x:c r="K480" s="2"/>
      <x:c r="L480" s="2"/>
      <x:c r="M480" s="2"/>
      <x:c r="N480" s="2"/>
      <x:c r="O480" s="2"/>
      <x:c r="P480" s="2"/>
      <x:c r="Q480" s="2"/>
    </x:row>
    <x:row r="481" ht="22" customHeight="1">
      <x:c r="A481" s="2" t="str">
        <x:v>T3-L10-BX</x:v>
      </x:c>
      <x:c r="B481" s="2" t="str">
        <x:v>T3</x:v>
      </x:c>
      <x:c r="C481" s="2" t="str">
        <x:v>L10</x:v>
      </x:c>
      <x:c r="D481" s="2" t="str">
        <x:v>X beam longitudinal</x:v>
      </x:c>
      <x:c r="E481" s="21" t="n">
        <x:v>20</x:v>
      </x:c>
      <x:c r="F481" s="21" t="n">
        <x:v>150</x:v>
      </x:c>
      <x:c r="G481" s="21" t="n">
        <x:v>6.5</x:v>
      </x:c>
      <x:c r="H481" s="21" t="n">
        <x:f>E481^2*'Controls'!$B$52</x:f>
        <x:v>2.466</x:v>
      </x:c>
      <x:c r="I481" s="21" t="n">
        <x:f>F481*G481*H481</x:f>
        <x:v>2404.3500000000004</x:v>
      </x:c>
      <x:c r="J481" s="2" t="str">
        <x:v>25 spans x 6 bars incl. 1 m lap/anchorage provision</x:v>
      </x:c>
      <x:c r="K481" s="2"/>
      <x:c r="L481" s="2"/>
      <x:c r="M481" s="2"/>
      <x:c r="N481" s="2"/>
      <x:c r="O481" s="2"/>
      <x:c r="P481" s="2"/>
      <x:c r="Q481" s="2"/>
    </x:row>
    <x:row r="482" ht="22" customHeight="1">
      <x:c r="A482" s="7" t="str">
        <x:v>T3-L10-BY</x:v>
      </x:c>
      <x:c r="B482" s="7" t="str">
        <x:v>T3</x:v>
      </x:c>
      <x:c r="C482" s="7" t="str">
        <x:v>L10</x:v>
      </x:c>
      <x:c r="D482" s="7" t="str">
        <x:v>Y beam longitudinal</x:v>
      </x:c>
      <x:c r="E482" s="20" t="n">
        <x:v>20</x:v>
      </x:c>
      <x:c r="F482" s="20" t="n">
        <x:v>144</x:v>
      </x:c>
      <x:c r="G482" s="20" t="n">
        <x:v>6.5</x:v>
      </x:c>
      <x:c r="H482" s="20" t="n">
        <x:f>E482^2*'Controls'!$B$52</x:f>
        <x:v>2.466</x:v>
      </x:c>
      <x:c r="I482" s="20" t="n">
        <x:f>F482*G482*H482</x:f>
        <x:v>2308.1760000000004</x:v>
      </x:c>
      <x:c r="J482" s="7" t="str">
        <x:v>24 spans x 6 bars</x:v>
      </x:c>
      <x:c r="K482" s="2"/>
      <x:c r="L482" s="2"/>
      <x:c r="M482" s="2"/>
      <x:c r="N482" s="2"/>
      <x:c r="O482" s="2"/>
      <x:c r="P482" s="2"/>
      <x:c r="Q482" s="2"/>
    </x:row>
    <x:row r="483" ht="22" customHeight="1">
      <x:c r="A483" s="2" t="str">
        <x:v>T3-L10-BT</x:v>
      </x:c>
      <x:c r="B483" s="2" t="str">
        <x:v>T3</x:v>
      </x:c>
      <x:c r="C483" s="2" t="str">
        <x:v>L10</x:v>
      </x:c>
      <x:c r="D483" s="2" t="str">
        <x:v>Beam closed links</x:v>
      </x:c>
      <x:c r="E483" s="21" t="n">
        <x:v>10</x:v>
      </x:c>
      <x:c r="F483" s="21" t="n">
        <x:v>1421</x:v>
      </x:c>
      <x:c r="G483" s="21" t="n">
        <x:v>1.7</x:v>
      </x:c>
      <x:c r="H483" s="21" t="n">
        <x:f>E483^2*'Controls'!$B$52</x:f>
        <x:v>0.6165</x:v>
      </x:c>
      <x:c r="I483" s="21" t="n">
        <x:f>F483*G483*H483</x:f>
        <x:v>1489.27905</x:v>
      </x:c>
      <x:c r="J483" s="2" t="str">
        <x:v>49 beams x 29 links, 200 mm nominal</x:v>
      </x:c>
      <x:c r="K483" s="2"/>
      <x:c r="L483" s="2"/>
      <x:c r="M483" s="2"/>
      <x:c r="N483" s="2"/>
      <x:c r="O483" s="2"/>
      <x:c r="P483" s="2"/>
      <x:c r="Q483" s="2"/>
    </x:row>
    <x:row r="484" ht="22" customHeight="1">
      <x:c r="A484" s="7" t="str">
        <x:v>T3-L10-CL</x:v>
      </x:c>
      <x:c r="B484" s="7" t="str">
        <x:v>T3</x:v>
      </x:c>
      <x:c r="C484" s="7" t="str">
        <x:v>L10</x:v>
      </x:c>
      <x:c r="D484" s="7" t="str">
        <x:v>Column longitudinal</x:v>
      </x:c>
      <x:c r="E484" s="20" t="n">
        <x:v>25</x:v>
      </x:c>
      <x:c r="F484" s="20" t="n">
        <x:v>360</x:v>
      </x:c>
      <x:c r="G484" s="20" t="n">
        <x:v>3.9</x:v>
      </x:c>
      <x:c r="H484" s="20" t="n">
        <x:f>E484^2*'Controls'!$B$52</x:f>
        <x:v>3.8531250000000004</x:v>
      </x:c>
      <x:c r="I484" s="20" t="n">
        <x:f>F484*G484*H484</x:f>
        <x:v>5409.7875</x:v>
      </x:c>
      <x:c r="J484" s="7" t="str">
        <x:v>30 columns x 12 bars incl. lap</x:v>
      </x:c>
      <x:c r="K484" s="2"/>
      <x:c r="L484" s="2"/>
      <x:c r="M484" s="2"/>
      <x:c r="N484" s="2"/>
      <x:c r="O484" s="2"/>
      <x:c r="P484" s="2"/>
      <x:c r="Q484" s="2"/>
    </x:row>
    <x:row r="485" ht="22" customHeight="1">
      <x:c r="A485" s="2" t="str">
        <x:v>T3-L10-CT</x:v>
      </x:c>
      <x:c r="B485" s="2" t="str">
        <x:v>T3</x:v>
      </x:c>
      <x:c r="C485" s="2" t="str">
        <x:v>L10</x:v>
      </x:c>
      <x:c r="D485" s="2" t="str">
        <x:v>Column ties</x:v>
      </x:c>
      <x:c r="E485" s="21" t="n">
        <x:v>10</x:v>
      </x:c>
      <x:c r="F485" s="21" t="n">
        <x:v>510</x:v>
      </x:c>
      <x:c r="G485" s="21" t="n">
        <x:v>1.96</x:v>
      </x:c>
      <x:c r="H485" s="21" t="n">
        <x:f>E485^2*'Controls'!$B$52</x:f>
        <x:v>0.6165</x:v>
      </x:c>
      <x:c r="I485" s="21" t="n">
        <x:f>F485*G485*H485</x:f>
        <x:v>616.2534</x:v>
      </x:c>
      <x:c r="J485" s="2" t="str">
        <x:v>30 columns x 17 ties, cover and hooks included</x:v>
      </x:c>
      <x:c r="K485" s="2"/>
      <x:c r="L485" s="2"/>
      <x:c r="M485" s="2"/>
      <x:c r="N485" s="2"/>
      <x:c r="O485" s="2"/>
      <x:c r="P485" s="2"/>
      <x:c r="Q485" s="2"/>
    </x:row>
    <x:row r="486" ht="22" customHeight="1">
      <x:c r="A486" s="7" t="str">
        <x:v>T3-L10-CV</x:v>
      </x:c>
      <x:c r="B486" s="7" t="str">
        <x:v>T3</x:v>
      </x:c>
      <x:c r="C486" s="7" t="str">
        <x:v>L10</x:v>
      </x:c>
      <x:c r="D486" s="7" t="str">
        <x:v>Core vertical bars</x:v>
      </x:c>
      <x:c r="E486" s="20" t="n">
        <x:v>16</x:v>
      </x:c>
      <x:c r="F486" s="20" t="n">
        <x:v>244</x:v>
      </x:c>
      <x:c r="G486" s="20" t="n">
        <x:v>3.9</x:v>
      </x:c>
      <x:c r="H486" s="20" t="n">
        <x:f>E486^2*'Controls'!$B$52</x:f>
        <x:v>1.57824</x:v>
      </x:c>
      <x:c r="I486" s="20" t="n">
        <x:f>F486*G486*H486</x:f>
        <x:v>1501.853184</x:v>
      </x:c>
      <x:c r="J486" s="7" t="str">
        <x:v>Two faces, 200 mm nominal along 24 m net length</x:v>
      </x:c>
      <x:c r="K486" s="2"/>
      <x:c r="L486" s="2"/>
      <x:c r="M486" s="2"/>
      <x:c r="N486" s="2"/>
      <x:c r="O486" s="2"/>
      <x:c r="P486" s="2"/>
      <x:c r="Q486" s="2"/>
    </x:row>
    <x:row r="487" ht="22" customHeight="1">
      <x:c r="A487" s="2" t="str">
        <x:v>T3-L10-CH</x:v>
      </x:c>
      <x:c r="B487" s="2" t="str">
        <x:v>T3</x:v>
      </x:c>
      <x:c r="C487" s="2" t="str">
        <x:v>L10</x:v>
      </x:c>
      <x:c r="D487" s="2" t="str">
        <x:v>Core horizontal bars</x:v>
      </x:c>
      <x:c r="E487" s="21" t="n">
        <x:v>12</x:v>
      </x:c>
      <x:c r="F487" s="21" t="n">
        <x:v>32</x:v>
      </x:c>
      <x:c r="G487" s="21" t="n">
        <x:v>25</x:v>
      </x:c>
      <x:c r="H487" s="21" t="n">
        <x:f>E487^2*'Controls'!$B$52</x:f>
        <x:v>0.8877600000000001</x:v>
      </x:c>
      <x:c r="I487" s="21" t="n">
        <x:f>F487*G487*H487</x:f>
        <x:v>710.2080000000001</x:v>
      </x:c>
      <x:c r="J487" s="2" t="str">
        <x:v>Two faces x 16 layers incl. lap</x:v>
      </x:c>
      <x:c r="K487" s="2"/>
      <x:c r="L487" s="2"/>
      <x:c r="M487" s="2"/>
      <x:c r="N487" s="2"/>
      <x:c r="O487" s="2"/>
      <x:c r="P487" s="2"/>
      <x:c r="Q487" s="2"/>
    </x:row>
    <x:row r="488" ht="22" customHeight="1">
      <x:c r="A488" s="7" t="str">
        <x:v>T3-L10-ST</x:v>
      </x:c>
      <x:c r="B488" s="7" t="str">
        <x:v>T3</x:v>
      </x:c>
      <x:c r="C488" s="7" t="str">
        <x:v>L10</x:v>
      </x:c>
      <x:c r="D488" s="7" t="str">
        <x:v>Stair flights and landings</x:v>
      </x:c>
      <x:c r="E488" s="20" t="n">
        <x:v>12</x:v>
      </x:c>
      <x:c r="F488" s="20" t="n">
        <x:v>80</x:v>
      </x:c>
      <x:c r="G488" s="20" t="n">
        <x:v>4.8</x:v>
      </x:c>
      <x:c r="H488" s="20" t="n">
        <x:f>E488^2*'Controls'!$B$52</x:f>
        <x:v>0.8877600000000001</x:v>
      </x:c>
      <x:c r="I488" s="20" t="n">
        <x:f>F488*G488*H488</x:f>
        <x:v>340.89984000000004</x:v>
      </x:c>
      <x:c r="J488" s="7" t="str">
        <x:v>Separate stair reinforcement allowance</x:v>
      </x:c>
      <x:c r="K488" s="2"/>
      <x:c r="L488" s="2"/>
      <x:c r="M488" s="2"/>
      <x:c r="N488" s="2"/>
      <x:c r="O488" s="2"/>
      <x:c r="P488" s="2"/>
      <x:c r="Q488" s="2"/>
    </x:row>
    <x:row r="489" ht="22" customHeight="1">
      <x:c r="A489" s="2" t="str">
        <x:v>T3-L11-S1</x:v>
      </x:c>
      <x:c r="B489" s="2" t="str">
        <x:v>T3</x:v>
      </x:c>
      <x:c r="C489" s="2" t="str">
        <x:v>L11</x:v>
      </x:c>
      <x:c r="D489" s="2" t="str">
        <x:v>Slab X through strips</x:v>
      </x:c>
      <x:c r="E489" s="21" t="n">
        <x:v>12</x:v>
      </x:c>
      <x:c r="F489" s="21" t="n">
        <x:v>182</x:v>
      </x:c>
      <x:c r="G489" s="21" t="n">
        <x:v>29.95</x:v>
      </x:c>
      <x:c r="H489" s="21" t="n">
        <x:f>E489^2*'Controls'!$B$52</x:f>
        <x:v>0.8877600000000001</x:v>
      </x:c>
      <x:c r="I489" s="21" t="n">
        <x:f>F489*G489*H489</x:f>
        <x:v>4839.090984</x:v>
      </x:c>
      <x:c r="J489" s="2" t="str">
        <x:v>2 layers x 91 bars outside central opening band</x:v>
      </x:c>
      <x:c r="K489" s="2"/>
      <x:c r="L489" s="2"/>
      <x:c r="M489" s="2"/>
      <x:c r="N489" s="2"/>
      <x:c r="O489" s="2"/>
      <x:c r="P489" s="2"/>
      <x:c r="Q489" s="2"/>
    </x:row>
    <x:row r="490" ht="22" customHeight="1">
      <x:c r="A490" s="7" t="str">
        <x:v>T3-L11-S2</x:v>
      </x:c>
      <x:c r="B490" s="7" t="str">
        <x:v>T3</x:v>
      </x:c>
      <x:c r="C490" s="7" t="str">
        <x:v>L11</x:v>
      </x:c>
      <x:c r="D490" s="7" t="str">
        <x:v>Slab X split at core</x:v>
      </x:c>
      <x:c r="E490" s="20" t="n">
        <x:v>12</x:v>
      </x:c>
      <x:c r="F490" s="20" t="n">
        <x:v>60</x:v>
      </x:c>
      <x:c r="G490" s="20" t="n">
        <x:v>25.95</x:v>
      </x:c>
      <x:c r="H490" s="20" t="n">
        <x:f>E490^2*'Controls'!$B$52</x:f>
        <x:v>0.8877600000000001</x:v>
      </x:c>
      <x:c r="I490" s="20" t="n">
        <x:f>F490*G490*H490</x:f>
        <x:v>1382.24232</x:v>
      </x:c>
      <x:c r="J490" s="7" t="str">
        <x:v>2 layers x 30 bars, split lengths combined around 4 m opening</x:v>
      </x:c>
      <x:c r="K490" s="2"/>
      <x:c r="L490" s="2"/>
      <x:c r="M490" s="2"/>
      <x:c r="N490" s="2"/>
      <x:c r="O490" s="2"/>
      <x:c r="P490" s="2"/>
      <x:c r="Q490" s="2"/>
    </x:row>
    <x:row r="491" ht="22" customHeight="1">
      <x:c r="A491" s="2" t="str">
        <x:v>T3-L11-S3</x:v>
      </x:c>
      <x:c r="B491" s="2" t="str">
        <x:v>T3</x:v>
      </x:c>
      <x:c r="C491" s="2" t="str">
        <x:v>L11</x:v>
      </x:c>
      <x:c r="D491" s="2" t="str">
        <x:v>Slab Y through strips</x:v>
      </x:c>
      <x:c r="E491" s="21" t="n">
        <x:v>12</x:v>
      </x:c>
      <x:c r="F491" s="21" t="n">
        <x:v>262</x:v>
      </x:c>
      <x:c r="G491" s="21" t="n">
        <x:v>23.95</x:v>
      </x:c>
      <x:c r="H491" s="21" t="n">
        <x:f>E491^2*'Controls'!$B$52</x:f>
        <x:v>0.8877600000000001</x:v>
      </x:c>
      <x:c r="I491" s="21" t="n">
        <x:f>F491*G491*H491</x:f>
        <x:v>5570.605224</x:v>
      </x:c>
      <x:c r="J491" s="2" t="str">
        <x:v>2 layers x 131 bars outside central opening band</x:v>
      </x:c>
      <x:c r="K491" s="2"/>
      <x:c r="L491" s="2"/>
      <x:c r="M491" s="2"/>
      <x:c r="N491" s="2"/>
      <x:c r="O491" s="2"/>
      <x:c r="P491" s="2"/>
      <x:c r="Q491" s="2"/>
    </x:row>
    <x:row r="492" ht="22" customHeight="1">
      <x:c r="A492" s="7" t="str">
        <x:v>T3-L11-S4</x:v>
      </x:c>
      <x:c r="B492" s="7" t="str">
        <x:v>T3</x:v>
      </x:c>
      <x:c r="C492" s="7" t="str">
        <x:v>L11</x:v>
      </x:c>
      <x:c r="D492" s="7" t="str">
        <x:v>Slab Y split at core</x:v>
      </x:c>
      <x:c r="E492" s="20" t="n">
        <x:v>12</x:v>
      </x:c>
      <x:c r="F492" s="20" t="n">
        <x:v>40</x:v>
      </x:c>
      <x:c r="G492" s="20" t="n">
        <x:v>17.95</x:v>
      </x:c>
      <x:c r="H492" s="20" t="n">
        <x:f>E492^2*'Controls'!$B$52</x:f>
        <x:v>0.8877600000000001</x:v>
      </x:c>
      <x:c r="I492" s="20" t="n">
        <x:f>F492*G492*H492</x:f>
        <x:v>637.41168</x:v>
      </x:c>
      <x:c r="J492" s="7" t="str">
        <x:v>2 layers x 20 bars, split around 6 m opening</x:v>
      </x:c>
      <x:c r="K492" s="2"/>
      <x:c r="L492" s="2"/>
      <x:c r="M492" s="2"/>
      <x:c r="N492" s="2"/>
      <x:c r="O492" s="2"/>
      <x:c r="P492" s="2"/>
      <x:c r="Q492" s="2"/>
    </x:row>
    <x:row r="493" ht="22" customHeight="1">
      <x:c r="A493" s="2" t="str">
        <x:v>T3-L11-S5</x:v>
      </x:c>
      <x:c r="B493" s="2" t="str">
        <x:v>T3</x:v>
      </x:c>
      <x:c r="C493" s="2" t="str">
        <x:v>L11</x:v>
      </x:c>
      <x:c r="D493" s="2" t="str">
        <x:v>Opening trim bars</x:v>
      </x:c>
      <x:c r="E493" s="21" t="n">
        <x:v>16</x:v>
      </x:c>
      <x:c r="F493" s="21" t="n">
        <x:v>16</x:v>
      </x:c>
      <x:c r="G493" s="21" t="n">
        <x:v>7.2</x:v>
      </x:c>
      <x:c r="H493" s="21" t="n">
        <x:f>E493^2*'Controls'!$B$52</x:f>
        <x:v>1.57824</x:v>
      </x:c>
      <x:c r="I493" s="21" t="n">
        <x:f>F493*G493*H493</x:f>
        <x:v>181.81324800000002</x:v>
      </x:c>
      <x:c r="J493" s="2" t="str">
        <x:v>Trim allowance, explicit scheduled lengths</x:v>
      </x:c>
      <x:c r="K493" s="2"/>
      <x:c r="L493" s="2"/>
      <x:c r="M493" s="2"/>
      <x:c r="N493" s="2"/>
      <x:c r="O493" s="2"/>
      <x:c r="P493" s="2"/>
      <x:c r="Q493" s="2"/>
    </x:row>
    <x:row r="494" ht="22" customHeight="1">
      <x:c r="A494" s="7" t="str">
        <x:v>T3-L11-BX</x:v>
      </x:c>
      <x:c r="B494" s="7" t="str">
        <x:v>T3</x:v>
      </x:c>
      <x:c r="C494" s="7" t="str">
        <x:v>L11</x:v>
      </x:c>
      <x:c r="D494" s="7" t="str">
        <x:v>X beam longitudinal</x:v>
      </x:c>
      <x:c r="E494" s="20" t="n">
        <x:v>20</x:v>
      </x:c>
      <x:c r="F494" s="20" t="n">
        <x:v>150</x:v>
      </x:c>
      <x:c r="G494" s="20" t="n">
        <x:v>6.5</x:v>
      </x:c>
      <x:c r="H494" s="20" t="n">
        <x:f>E494^2*'Controls'!$B$52</x:f>
        <x:v>2.466</x:v>
      </x:c>
      <x:c r="I494" s="20" t="n">
        <x:f>F494*G494*H494</x:f>
        <x:v>2404.3500000000004</x:v>
      </x:c>
      <x:c r="J494" s="7" t="str">
        <x:v>25 spans x 6 bars incl. 1 m lap/anchorage provision</x:v>
      </x:c>
      <x:c r="K494" s="2"/>
      <x:c r="L494" s="2"/>
      <x:c r="M494" s="2"/>
      <x:c r="N494" s="2"/>
      <x:c r="O494" s="2"/>
      <x:c r="P494" s="2"/>
      <x:c r="Q494" s="2"/>
    </x:row>
    <x:row r="495" ht="22" customHeight="1">
      <x:c r="A495" s="2" t="str">
        <x:v>T3-L11-BY</x:v>
      </x:c>
      <x:c r="B495" s="2" t="str">
        <x:v>T3</x:v>
      </x:c>
      <x:c r="C495" s="2" t="str">
        <x:v>L11</x:v>
      </x:c>
      <x:c r="D495" s="2" t="str">
        <x:v>Y beam longitudinal</x:v>
      </x:c>
      <x:c r="E495" s="21" t="n">
        <x:v>20</x:v>
      </x:c>
      <x:c r="F495" s="21" t="n">
        <x:v>144</x:v>
      </x:c>
      <x:c r="G495" s="21" t="n">
        <x:v>6.5</x:v>
      </x:c>
      <x:c r="H495" s="21" t="n">
        <x:f>E495^2*'Controls'!$B$52</x:f>
        <x:v>2.466</x:v>
      </x:c>
      <x:c r="I495" s="21" t="n">
        <x:f>F495*G495*H495</x:f>
        <x:v>2308.1760000000004</x:v>
      </x:c>
      <x:c r="J495" s="2" t="str">
        <x:v>24 spans x 6 bars</x:v>
      </x:c>
      <x:c r="K495" s="2"/>
      <x:c r="L495" s="2"/>
      <x:c r="M495" s="2"/>
      <x:c r="N495" s="2"/>
      <x:c r="O495" s="2"/>
      <x:c r="P495" s="2"/>
      <x:c r="Q495" s="2"/>
    </x:row>
    <x:row r="496" ht="22" customHeight="1">
      <x:c r="A496" s="7" t="str">
        <x:v>T3-L11-BT</x:v>
      </x:c>
      <x:c r="B496" s="7" t="str">
        <x:v>T3</x:v>
      </x:c>
      <x:c r="C496" s="7" t="str">
        <x:v>L11</x:v>
      </x:c>
      <x:c r="D496" s="7" t="str">
        <x:v>Beam closed links</x:v>
      </x:c>
      <x:c r="E496" s="20" t="n">
        <x:v>10</x:v>
      </x:c>
      <x:c r="F496" s="20" t="n">
        <x:v>1421</x:v>
      </x:c>
      <x:c r="G496" s="20" t="n">
        <x:v>1.7</x:v>
      </x:c>
      <x:c r="H496" s="20" t="n">
        <x:f>E496^2*'Controls'!$B$52</x:f>
        <x:v>0.6165</x:v>
      </x:c>
      <x:c r="I496" s="20" t="n">
        <x:f>F496*G496*H496</x:f>
        <x:v>1489.27905</x:v>
      </x:c>
      <x:c r="J496" s="7" t="str">
        <x:v>49 beams x 29 links, 200 mm nominal</x:v>
      </x:c>
      <x:c r="K496" s="2"/>
      <x:c r="L496" s="2"/>
      <x:c r="M496" s="2"/>
      <x:c r="N496" s="2"/>
      <x:c r="O496" s="2"/>
      <x:c r="P496" s="2"/>
      <x:c r="Q496" s="2"/>
    </x:row>
    <x:row r="497" ht="22" customHeight="1">
      <x:c r="A497" s="2" t="str">
        <x:v>T3-L11-CL</x:v>
      </x:c>
      <x:c r="B497" s="2" t="str">
        <x:v>T3</x:v>
      </x:c>
      <x:c r="C497" s="2" t="str">
        <x:v>L11</x:v>
      </x:c>
      <x:c r="D497" s="2" t="str">
        <x:v>Column longitudinal</x:v>
      </x:c>
      <x:c r="E497" s="21" t="n">
        <x:v>25</x:v>
      </x:c>
      <x:c r="F497" s="21" t="n">
        <x:v>360</x:v>
      </x:c>
      <x:c r="G497" s="21" t="n">
        <x:v>3.9</x:v>
      </x:c>
      <x:c r="H497" s="21" t="n">
        <x:f>E497^2*'Controls'!$B$52</x:f>
        <x:v>3.8531250000000004</x:v>
      </x:c>
      <x:c r="I497" s="21" t="n">
        <x:f>F497*G497*H497</x:f>
        <x:v>5409.7875</x:v>
      </x:c>
      <x:c r="J497" s="2" t="str">
        <x:v>30 columns x 12 bars incl. lap</x:v>
      </x:c>
      <x:c r="K497" s="2"/>
      <x:c r="L497" s="2"/>
      <x:c r="M497" s="2"/>
      <x:c r="N497" s="2"/>
      <x:c r="O497" s="2"/>
      <x:c r="P497" s="2"/>
      <x:c r="Q497" s="2"/>
    </x:row>
    <x:row r="498" ht="22" customHeight="1">
      <x:c r="A498" s="7" t="str">
        <x:v>T3-L11-CT</x:v>
      </x:c>
      <x:c r="B498" s="7" t="str">
        <x:v>T3</x:v>
      </x:c>
      <x:c r="C498" s="7" t="str">
        <x:v>L11</x:v>
      </x:c>
      <x:c r="D498" s="7" t="str">
        <x:v>Column ties</x:v>
      </x:c>
      <x:c r="E498" s="20" t="n">
        <x:v>10</x:v>
      </x:c>
      <x:c r="F498" s="20" t="n">
        <x:v>510</x:v>
      </x:c>
      <x:c r="G498" s="20" t="n">
        <x:v>1.96</x:v>
      </x:c>
      <x:c r="H498" s="20" t="n">
        <x:f>E498^2*'Controls'!$B$52</x:f>
        <x:v>0.6165</x:v>
      </x:c>
      <x:c r="I498" s="20" t="n">
        <x:f>F498*G498*H498</x:f>
        <x:v>616.2534</x:v>
      </x:c>
      <x:c r="J498" s="7" t="str">
        <x:v>30 columns x 17 ties, cover and hooks included</x:v>
      </x:c>
      <x:c r="K498" s="2"/>
      <x:c r="L498" s="2"/>
      <x:c r="M498" s="2"/>
      <x:c r="N498" s="2"/>
      <x:c r="O498" s="2"/>
      <x:c r="P498" s="2"/>
      <x:c r="Q498" s="2"/>
    </x:row>
    <x:row r="499" ht="22" customHeight="1">
      <x:c r="A499" s="2" t="str">
        <x:v>T3-L11-CV</x:v>
      </x:c>
      <x:c r="B499" s="2" t="str">
        <x:v>T3</x:v>
      </x:c>
      <x:c r="C499" s="2" t="str">
        <x:v>L11</x:v>
      </x:c>
      <x:c r="D499" s="2" t="str">
        <x:v>Core vertical bars</x:v>
      </x:c>
      <x:c r="E499" s="21" t="n">
        <x:v>16</x:v>
      </x:c>
      <x:c r="F499" s="21" t="n">
        <x:v>244</x:v>
      </x:c>
      <x:c r="G499" s="21" t="n">
        <x:v>3.9</x:v>
      </x:c>
      <x:c r="H499" s="21" t="n">
        <x:f>E499^2*'Controls'!$B$52</x:f>
        <x:v>1.57824</x:v>
      </x:c>
      <x:c r="I499" s="21" t="n">
        <x:f>F499*G499*H499</x:f>
        <x:v>1501.853184</x:v>
      </x:c>
      <x:c r="J499" s="2" t="str">
        <x:v>Two faces, 200 mm nominal along 24 m net length</x:v>
      </x:c>
      <x:c r="K499" s="2"/>
      <x:c r="L499" s="2"/>
      <x:c r="M499" s="2"/>
      <x:c r="N499" s="2"/>
      <x:c r="O499" s="2"/>
      <x:c r="P499" s="2"/>
      <x:c r="Q499" s="2"/>
    </x:row>
    <x:row r="500" ht="22" customHeight="1">
      <x:c r="A500" s="7" t="str">
        <x:v>T3-L11-CH</x:v>
      </x:c>
      <x:c r="B500" s="7" t="str">
        <x:v>T3</x:v>
      </x:c>
      <x:c r="C500" s="7" t="str">
        <x:v>L11</x:v>
      </x:c>
      <x:c r="D500" s="7" t="str">
        <x:v>Core horizontal bars</x:v>
      </x:c>
      <x:c r="E500" s="20" t="n">
        <x:v>12</x:v>
      </x:c>
      <x:c r="F500" s="20" t="n">
        <x:v>32</x:v>
      </x:c>
      <x:c r="G500" s="20" t="n">
        <x:v>25</x:v>
      </x:c>
      <x:c r="H500" s="20" t="n">
        <x:f>E500^2*'Controls'!$B$52</x:f>
        <x:v>0.8877600000000001</x:v>
      </x:c>
      <x:c r="I500" s="20" t="n">
        <x:f>F500*G500*H500</x:f>
        <x:v>710.2080000000001</x:v>
      </x:c>
      <x:c r="J500" s="7" t="str">
        <x:v>Two faces x 16 layers incl. lap</x:v>
      </x:c>
      <x:c r="K500" s="2"/>
      <x:c r="L500" s="2"/>
      <x:c r="M500" s="2"/>
      <x:c r="N500" s="2"/>
      <x:c r="O500" s="2"/>
      <x:c r="P500" s="2"/>
      <x:c r="Q500" s="2"/>
    </x:row>
    <x:row r="501" ht="22" customHeight="1">
      <x:c r="A501" s="2" t="str">
        <x:v>T3-L11-ST</x:v>
      </x:c>
      <x:c r="B501" s="2" t="str">
        <x:v>T3</x:v>
      </x:c>
      <x:c r="C501" s="2" t="str">
        <x:v>L11</x:v>
      </x:c>
      <x:c r="D501" s="2" t="str">
        <x:v>Stair flights and landings</x:v>
      </x:c>
      <x:c r="E501" s="21" t="n">
        <x:v>12</x:v>
      </x:c>
      <x:c r="F501" s="21" t="n">
        <x:v>80</x:v>
      </x:c>
      <x:c r="G501" s="21" t="n">
        <x:v>4.8</x:v>
      </x:c>
      <x:c r="H501" s="21" t="n">
        <x:f>E501^2*'Controls'!$B$52</x:f>
        <x:v>0.8877600000000001</x:v>
      </x:c>
      <x:c r="I501" s="21" t="n">
        <x:f>F501*G501*H501</x:f>
        <x:v>340.89984000000004</x:v>
      </x:c>
      <x:c r="J501" s="2" t="str">
        <x:v>Separate stair reinforcement allowance</x:v>
      </x:c>
      <x:c r="K501" s="2"/>
      <x:c r="L501" s="2"/>
      <x:c r="M501" s="2"/>
      <x:c r="N501" s="2"/>
      <x:c r="O501" s="2"/>
      <x:c r="P501" s="2"/>
      <x:c r="Q501" s="2"/>
    </x:row>
    <x:row r="502" ht="22" customHeight="1">
      <x:c r="A502" s="7" t="str">
        <x:v>T3-L12-S1</x:v>
      </x:c>
      <x:c r="B502" s="7" t="str">
        <x:v>T3</x:v>
      </x:c>
      <x:c r="C502" s="7" t="str">
        <x:v>L12</x:v>
      </x:c>
      <x:c r="D502" s="7" t="str">
        <x:v>Slab X through strips</x:v>
      </x:c>
      <x:c r="E502" s="20" t="n">
        <x:v>12</x:v>
      </x:c>
      <x:c r="F502" s="20" t="n">
        <x:v>182</x:v>
      </x:c>
      <x:c r="G502" s="20" t="n">
        <x:v>29.95</x:v>
      </x:c>
      <x:c r="H502" s="20" t="n">
        <x:f>E502^2*'Controls'!$B$52</x:f>
        <x:v>0.8877600000000001</x:v>
      </x:c>
      <x:c r="I502" s="20" t="n">
        <x:f>F502*G502*H502</x:f>
        <x:v>4839.090984</x:v>
      </x:c>
      <x:c r="J502" s="7" t="str">
        <x:v>2 layers x 91 bars outside central opening band</x:v>
      </x:c>
      <x:c r="K502" s="2"/>
      <x:c r="L502" s="2"/>
      <x:c r="M502" s="2"/>
      <x:c r="N502" s="2"/>
      <x:c r="O502" s="2"/>
      <x:c r="P502" s="2"/>
      <x:c r="Q502" s="2"/>
    </x:row>
    <x:row r="503" ht="22" customHeight="1">
      <x:c r="A503" s="2" t="str">
        <x:v>T3-L12-S2</x:v>
      </x:c>
      <x:c r="B503" s="2" t="str">
        <x:v>T3</x:v>
      </x:c>
      <x:c r="C503" s="2" t="str">
        <x:v>L12</x:v>
      </x:c>
      <x:c r="D503" s="2" t="str">
        <x:v>Slab X split at core</x:v>
      </x:c>
      <x:c r="E503" s="21" t="n">
        <x:v>12</x:v>
      </x:c>
      <x:c r="F503" s="21" t="n">
        <x:v>60</x:v>
      </x:c>
      <x:c r="G503" s="21" t="n">
        <x:v>25.95</x:v>
      </x:c>
      <x:c r="H503" s="21" t="n">
        <x:f>E503^2*'Controls'!$B$52</x:f>
        <x:v>0.8877600000000001</x:v>
      </x:c>
      <x:c r="I503" s="21" t="n">
        <x:f>F503*G503*H503</x:f>
        <x:v>1382.24232</x:v>
      </x:c>
      <x:c r="J503" s="2" t="str">
        <x:v>2 layers x 30 bars, split lengths combined around 4 m opening</x:v>
      </x:c>
      <x:c r="K503" s="2"/>
      <x:c r="L503" s="2"/>
      <x:c r="M503" s="2"/>
      <x:c r="N503" s="2"/>
      <x:c r="O503" s="2"/>
      <x:c r="P503" s="2"/>
      <x:c r="Q503" s="2"/>
    </x:row>
    <x:row r="504" ht="22" customHeight="1">
      <x:c r="A504" s="7" t="str">
        <x:v>T3-L12-S3</x:v>
      </x:c>
      <x:c r="B504" s="7" t="str">
        <x:v>T3</x:v>
      </x:c>
      <x:c r="C504" s="7" t="str">
        <x:v>L12</x:v>
      </x:c>
      <x:c r="D504" s="7" t="str">
        <x:v>Slab Y through strips</x:v>
      </x:c>
      <x:c r="E504" s="20" t="n">
        <x:v>12</x:v>
      </x:c>
      <x:c r="F504" s="20" t="n">
        <x:v>262</x:v>
      </x:c>
      <x:c r="G504" s="20" t="n">
        <x:v>23.95</x:v>
      </x:c>
      <x:c r="H504" s="20" t="n">
        <x:f>E504^2*'Controls'!$B$52</x:f>
        <x:v>0.8877600000000001</x:v>
      </x:c>
      <x:c r="I504" s="20" t="n">
        <x:f>F504*G504*H504</x:f>
        <x:v>5570.605224</x:v>
      </x:c>
      <x:c r="J504" s="7" t="str">
        <x:v>2 layers x 131 bars outside central opening band</x:v>
      </x:c>
      <x:c r="K504" s="2"/>
      <x:c r="L504" s="2"/>
      <x:c r="M504" s="2"/>
      <x:c r="N504" s="2"/>
      <x:c r="O504" s="2"/>
      <x:c r="P504" s="2"/>
      <x:c r="Q504" s="2"/>
    </x:row>
    <x:row r="505" ht="22" customHeight="1">
      <x:c r="A505" s="2" t="str">
        <x:v>T3-L12-S4</x:v>
      </x:c>
      <x:c r="B505" s="2" t="str">
        <x:v>T3</x:v>
      </x:c>
      <x:c r="C505" s="2" t="str">
        <x:v>L12</x:v>
      </x:c>
      <x:c r="D505" s="2" t="str">
        <x:v>Slab Y split at core</x:v>
      </x:c>
      <x:c r="E505" s="21" t="n">
        <x:v>12</x:v>
      </x:c>
      <x:c r="F505" s="21" t="n">
        <x:v>40</x:v>
      </x:c>
      <x:c r="G505" s="21" t="n">
        <x:v>17.95</x:v>
      </x:c>
      <x:c r="H505" s="21" t="n">
        <x:f>E505^2*'Controls'!$B$52</x:f>
        <x:v>0.8877600000000001</x:v>
      </x:c>
      <x:c r="I505" s="21" t="n">
        <x:f>F505*G505*H505</x:f>
        <x:v>637.41168</x:v>
      </x:c>
      <x:c r="J505" s="2" t="str">
        <x:v>2 layers x 20 bars, split around 6 m opening</x:v>
      </x:c>
      <x:c r="K505" s="2"/>
      <x:c r="L505" s="2"/>
      <x:c r="M505" s="2"/>
      <x:c r="N505" s="2"/>
      <x:c r="O505" s="2"/>
      <x:c r="P505" s="2"/>
      <x:c r="Q505" s="2"/>
    </x:row>
    <x:row r="506" ht="22" customHeight="1">
      <x:c r="A506" s="7" t="str">
        <x:v>T3-L12-S5</x:v>
      </x:c>
      <x:c r="B506" s="7" t="str">
        <x:v>T3</x:v>
      </x:c>
      <x:c r="C506" s="7" t="str">
        <x:v>L12</x:v>
      </x:c>
      <x:c r="D506" s="7" t="str">
        <x:v>Opening trim bars</x:v>
      </x:c>
      <x:c r="E506" s="20" t="n">
        <x:v>16</x:v>
      </x:c>
      <x:c r="F506" s="20" t="n">
        <x:v>16</x:v>
      </x:c>
      <x:c r="G506" s="20" t="n">
        <x:v>7.2</x:v>
      </x:c>
      <x:c r="H506" s="20" t="n">
        <x:f>E506^2*'Controls'!$B$52</x:f>
        <x:v>1.57824</x:v>
      </x:c>
      <x:c r="I506" s="20" t="n">
        <x:f>F506*G506*H506</x:f>
        <x:v>181.81324800000002</x:v>
      </x:c>
      <x:c r="J506" s="7" t="str">
        <x:v>Trim allowance, explicit scheduled lengths</x:v>
      </x:c>
      <x:c r="K506" s="2"/>
      <x:c r="L506" s="2"/>
      <x:c r="M506" s="2"/>
      <x:c r="N506" s="2"/>
      <x:c r="O506" s="2"/>
      <x:c r="P506" s="2"/>
      <x:c r="Q506" s="2"/>
    </x:row>
    <x:row r="507" ht="22" customHeight="1">
      <x:c r="A507" s="2" t="str">
        <x:v>T3-L12-BX</x:v>
      </x:c>
      <x:c r="B507" s="2" t="str">
        <x:v>T3</x:v>
      </x:c>
      <x:c r="C507" s="2" t="str">
        <x:v>L12</x:v>
      </x:c>
      <x:c r="D507" s="2" t="str">
        <x:v>X beam longitudinal</x:v>
      </x:c>
      <x:c r="E507" s="21" t="n">
        <x:v>20</x:v>
      </x:c>
      <x:c r="F507" s="21" t="n">
        <x:v>150</x:v>
      </x:c>
      <x:c r="G507" s="21" t="n">
        <x:v>6.5</x:v>
      </x:c>
      <x:c r="H507" s="21" t="n">
        <x:f>E507^2*'Controls'!$B$52</x:f>
        <x:v>2.466</x:v>
      </x:c>
      <x:c r="I507" s="21" t="n">
        <x:f>F507*G507*H507</x:f>
        <x:v>2404.3500000000004</x:v>
      </x:c>
      <x:c r="J507" s="2" t="str">
        <x:v>25 spans x 6 bars incl. 1 m lap/anchorage provision</x:v>
      </x:c>
      <x:c r="K507" s="2"/>
      <x:c r="L507" s="2"/>
      <x:c r="M507" s="2"/>
      <x:c r="N507" s="2"/>
      <x:c r="O507" s="2"/>
      <x:c r="P507" s="2"/>
      <x:c r="Q507" s="2"/>
    </x:row>
    <x:row r="508" ht="22" customHeight="1">
      <x:c r="A508" s="7" t="str">
        <x:v>T3-L12-BY</x:v>
      </x:c>
      <x:c r="B508" s="7" t="str">
        <x:v>T3</x:v>
      </x:c>
      <x:c r="C508" s="7" t="str">
        <x:v>L12</x:v>
      </x:c>
      <x:c r="D508" s="7" t="str">
        <x:v>Y beam longitudinal</x:v>
      </x:c>
      <x:c r="E508" s="20" t="n">
        <x:v>20</x:v>
      </x:c>
      <x:c r="F508" s="20" t="n">
        <x:v>144</x:v>
      </x:c>
      <x:c r="G508" s="20" t="n">
        <x:v>6.5</x:v>
      </x:c>
      <x:c r="H508" s="20" t="n">
        <x:f>E508^2*'Controls'!$B$52</x:f>
        <x:v>2.466</x:v>
      </x:c>
      <x:c r="I508" s="20" t="n">
        <x:f>F508*G508*H508</x:f>
        <x:v>2308.1760000000004</x:v>
      </x:c>
      <x:c r="J508" s="7" t="str">
        <x:v>24 spans x 6 bars</x:v>
      </x:c>
      <x:c r="K508" s="2"/>
      <x:c r="L508" s="2"/>
      <x:c r="M508" s="2"/>
      <x:c r="N508" s="2"/>
      <x:c r="O508" s="2"/>
      <x:c r="P508" s="2"/>
      <x:c r="Q508" s="2"/>
    </x:row>
    <x:row r="509" ht="22" customHeight="1">
      <x:c r="A509" s="2" t="str">
        <x:v>T3-L12-BT</x:v>
      </x:c>
      <x:c r="B509" s="2" t="str">
        <x:v>T3</x:v>
      </x:c>
      <x:c r="C509" s="2" t="str">
        <x:v>L12</x:v>
      </x:c>
      <x:c r="D509" s="2" t="str">
        <x:v>Beam closed links</x:v>
      </x:c>
      <x:c r="E509" s="21" t="n">
        <x:v>10</x:v>
      </x:c>
      <x:c r="F509" s="21" t="n">
        <x:v>1421</x:v>
      </x:c>
      <x:c r="G509" s="21" t="n">
        <x:v>1.7</x:v>
      </x:c>
      <x:c r="H509" s="21" t="n">
        <x:f>E509^2*'Controls'!$B$52</x:f>
        <x:v>0.6165</x:v>
      </x:c>
      <x:c r="I509" s="21" t="n">
        <x:f>F509*G509*H509</x:f>
        <x:v>1489.27905</x:v>
      </x:c>
      <x:c r="J509" s="2" t="str">
        <x:v>49 beams x 29 links, 200 mm nominal</x:v>
      </x:c>
      <x:c r="K509" s="2"/>
      <x:c r="L509" s="2"/>
      <x:c r="M509" s="2"/>
      <x:c r="N509" s="2"/>
      <x:c r="O509" s="2"/>
      <x:c r="P509" s="2"/>
      <x:c r="Q509" s="2"/>
    </x:row>
    <x:row r="510" ht="22" customHeight="1">
      <x:c r="A510" s="7" t="str">
        <x:v>T3-L12-CL</x:v>
      </x:c>
      <x:c r="B510" s="7" t="str">
        <x:v>T3</x:v>
      </x:c>
      <x:c r="C510" s="7" t="str">
        <x:v>L12</x:v>
      </x:c>
      <x:c r="D510" s="7" t="str">
        <x:v>Column longitudinal</x:v>
      </x:c>
      <x:c r="E510" s="20" t="n">
        <x:v>25</x:v>
      </x:c>
      <x:c r="F510" s="20" t="n">
        <x:v>360</x:v>
      </x:c>
      <x:c r="G510" s="20" t="n">
        <x:v>3.9</x:v>
      </x:c>
      <x:c r="H510" s="20" t="n">
        <x:f>E510^2*'Controls'!$B$52</x:f>
        <x:v>3.8531250000000004</x:v>
      </x:c>
      <x:c r="I510" s="20" t="n">
        <x:f>F510*G510*H510</x:f>
        <x:v>5409.7875</x:v>
      </x:c>
      <x:c r="J510" s="7" t="str">
        <x:v>30 columns x 12 bars incl. lap</x:v>
      </x:c>
      <x:c r="K510" s="2"/>
      <x:c r="L510" s="2"/>
      <x:c r="M510" s="2"/>
      <x:c r="N510" s="2"/>
      <x:c r="O510" s="2"/>
      <x:c r="P510" s="2"/>
      <x:c r="Q510" s="2"/>
    </x:row>
    <x:row r="511" ht="22" customHeight="1">
      <x:c r="A511" s="2" t="str">
        <x:v>T3-L12-CT</x:v>
      </x:c>
      <x:c r="B511" s="2" t="str">
        <x:v>T3</x:v>
      </x:c>
      <x:c r="C511" s="2" t="str">
        <x:v>L12</x:v>
      </x:c>
      <x:c r="D511" s="2" t="str">
        <x:v>Column ties</x:v>
      </x:c>
      <x:c r="E511" s="21" t="n">
        <x:v>10</x:v>
      </x:c>
      <x:c r="F511" s="21" t="n">
        <x:v>510</x:v>
      </x:c>
      <x:c r="G511" s="21" t="n">
        <x:v>1.96</x:v>
      </x:c>
      <x:c r="H511" s="21" t="n">
        <x:f>E511^2*'Controls'!$B$52</x:f>
        <x:v>0.6165</x:v>
      </x:c>
      <x:c r="I511" s="21" t="n">
        <x:f>F511*G511*H511</x:f>
        <x:v>616.2534</x:v>
      </x:c>
      <x:c r="J511" s="2" t="str">
        <x:v>30 columns x 17 ties, cover and hooks included</x:v>
      </x:c>
      <x:c r="K511" s="2"/>
      <x:c r="L511" s="2"/>
      <x:c r="M511" s="2"/>
      <x:c r="N511" s="2"/>
      <x:c r="O511" s="2"/>
      <x:c r="P511" s="2"/>
      <x:c r="Q511" s="2"/>
    </x:row>
    <x:row r="512" ht="22" customHeight="1">
      <x:c r="A512" s="7" t="str">
        <x:v>T3-L12-CV</x:v>
      </x:c>
      <x:c r="B512" s="7" t="str">
        <x:v>T3</x:v>
      </x:c>
      <x:c r="C512" s="7" t="str">
        <x:v>L12</x:v>
      </x:c>
      <x:c r="D512" s="7" t="str">
        <x:v>Core vertical bars</x:v>
      </x:c>
      <x:c r="E512" s="20" t="n">
        <x:v>16</x:v>
      </x:c>
      <x:c r="F512" s="20" t="n">
        <x:v>244</x:v>
      </x:c>
      <x:c r="G512" s="20" t="n">
        <x:v>3.9</x:v>
      </x:c>
      <x:c r="H512" s="20" t="n">
        <x:f>E512^2*'Controls'!$B$52</x:f>
        <x:v>1.57824</x:v>
      </x:c>
      <x:c r="I512" s="20" t="n">
        <x:f>F512*G512*H512</x:f>
        <x:v>1501.853184</x:v>
      </x:c>
      <x:c r="J512" s="7" t="str">
        <x:v>Two faces, 200 mm nominal along 24 m net length</x:v>
      </x:c>
      <x:c r="K512" s="2"/>
      <x:c r="L512" s="2"/>
      <x:c r="M512" s="2"/>
      <x:c r="N512" s="2"/>
      <x:c r="O512" s="2"/>
      <x:c r="P512" s="2"/>
      <x:c r="Q512" s="2"/>
    </x:row>
    <x:row r="513" ht="22" customHeight="1">
      <x:c r="A513" s="2" t="str">
        <x:v>T3-L12-CH</x:v>
      </x:c>
      <x:c r="B513" s="2" t="str">
        <x:v>T3</x:v>
      </x:c>
      <x:c r="C513" s="2" t="str">
        <x:v>L12</x:v>
      </x:c>
      <x:c r="D513" s="2" t="str">
        <x:v>Core horizontal bars</x:v>
      </x:c>
      <x:c r="E513" s="21" t="n">
        <x:v>12</x:v>
      </x:c>
      <x:c r="F513" s="21" t="n">
        <x:v>32</x:v>
      </x:c>
      <x:c r="G513" s="21" t="n">
        <x:v>25</x:v>
      </x:c>
      <x:c r="H513" s="21" t="n">
        <x:f>E513^2*'Controls'!$B$52</x:f>
        <x:v>0.8877600000000001</x:v>
      </x:c>
      <x:c r="I513" s="21" t="n">
        <x:f>F513*G513*H513</x:f>
        <x:v>710.2080000000001</x:v>
      </x:c>
      <x:c r="J513" s="2" t="str">
        <x:v>Two faces x 16 layers incl. lap</x:v>
      </x:c>
      <x:c r="K513" s="2"/>
      <x:c r="L513" s="2"/>
      <x:c r="M513" s="2"/>
      <x:c r="N513" s="2"/>
      <x:c r="O513" s="2"/>
      <x:c r="P513" s="2"/>
      <x:c r="Q513" s="2"/>
    </x:row>
    <x:row r="514" ht="22" customHeight="1">
      <x:c r="A514" s="7" t="str">
        <x:v>T3-L12-ST</x:v>
      </x:c>
      <x:c r="B514" s="7" t="str">
        <x:v>T3</x:v>
      </x:c>
      <x:c r="C514" s="7" t="str">
        <x:v>L12</x:v>
      </x:c>
      <x:c r="D514" s="7" t="str">
        <x:v>Stair flights and landings</x:v>
      </x:c>
      <x:c r="E514" s="20" t="n">
        <x:v>12</x:v>
      </x:c>
      <x:c r="F514" s="20" t="n">
        <x:v>80</x:v>
      </x:c>
      <x:c r="G514" s="20" t="n">
        <x:v>4.8</x:v>
      </x:c>
      <x:c r="H514" s="20" t="n">
        <x:f>E514^2*'Controls'!$B$52</x:f>
        <x:v>0.8877600000000001</x:v>
      </x:c>
      <x:c r="I514" s="20" t="n">
        <x:f>F514*G514*H514</x:f>
        <x:v>340.89984000000004</x:v>
      </x:c>
      <x:c r="J514" s="7" t="str">
        <x:v>Separate stair reinforcement allowance</x:v>
      </x:c>
      <x:c r="K514" s="2"/>
      <x:c r="L514" s="2"/>
      <x:c r="M514" s="2"/>
      <x:c r="N514" s="2"/>
      <x:c r="O514" s="2"/>
      <x:c r="P514" s="2"/>
      <x:c r="Q514" s="2"/>
    </x:row>
    <x:row r="515" ht="22" customHeight="1">
      <x:c r="A515" s="2" t="str">
        <x:v>T4-L00-S1</x:v>
      </x:c>
      <x:c r="B515" s="2" t="str">
        <x:v>T4</x:v>
      </x:c>
      <x:c r="C515" s="2" t="str">
        <x:v>L00</x:v>
      </x:c>
      <x:c r="D515" s="2" t="str">
        <x:v>Slab X through strips</x:v>
      </x:c>
      <x:c r="E515" s="21" t="n">
        <x:v>12</x:v>
      </x:c>
      <x:c r="F515" s="21" t="n">
        <x:v>182</x:v>
      </x:c>
      <x:c r="G515" s="21" t="n">
        <x:v>29.95</x:v>
      </x:c>
      <x:c r="H515" s="21" t="n">
        <x:f>E515^2*'Controls'!$B$52</x:f>
        <x:v>0.8877600000000001</x:v>
      </x:c>
      <x:c r="I515" s="21" t="n">
        <x:f>F515*G515*H515</x:f>
        <x:v>4839.090984</x:v>
      </x:c>
      <x:c r="J515" s="2" t="str">
        <x:v>2 layers x 91 bars outside central opening band</x:v>
      </x:c>
      <x:c r="K515" s="2"/>
      <x:c r="L515" s="2"/>
      <x:c r="M515" s="2"/>
      <x:c r="N515" s="2"/>
      <x:c r="O515" s="2"/>
      <x:c r="P515" s="2"/>
      <x:c r="Q515" s="2"/>
    </x:row>
    <x:row r="516" ht="22" customHeight="1">
      <x:c r="A516" s="7" t="str">
        <x:v>T4-L00-S2</x:v>
      </x:c>
      <x:c r="B516" s="7" t="str">
        <x:v>T4</x:v>
      </x:c>
      <x:c r="C516" s="7" t="str">
        <x:v>L00</x:v>
      </x:c>
      <x:c r="D516" s="7" t="str">
        <x:v>Slab X split at core</x:v>
      </x:c>
      <x:c r="E516" s="20" t="n">
        <x:v>12</x:v>
      </x:c>
      <x:c r="F516" s="20" t="n">
        <x:v>60</x:v>
      </x:c>
      <x:c r="G516" s="20" t="n">
        <x:v>25.95</x:v>
      </x:c>
      <x:c r="H516" s="20" t="n">
        <x:f>E516^2*'Controls'!$B$52</x:f>
        <x:v>0.8877600000000001</x:v>
      </x:c>
      <x:c r="I516" s="20" t="n">
        <x:f>F516*G516*H516</x:f>
        <x:v>1382.24232</x:v>
      </x:c>
      <x:c r="J516" s="7" t="str">
        <x:v>2 layers x 30 bars, split lengths combined around 4 m opening</x:v>
      </x:c>
      <x:c r="K516" s="2"/>
      <x:c r="L516" s="2"/>
      <x:c r="M516" s="2"/>
      <x:c r="N516" s="2"/>
      <x:c r="O516" s="2"/>
      <x:c r="P516" s="2"/>
      <x:c r="Q516" s="2"/>
    </x:row>
    <x:row r="517" ht="22" customHeight="1">
      <x:c r="A517" s="2" t="str">
        <x:v>T4-L00-S3</x:v>
      </x:c>
      <x:c r="B517" s="2" t="str">
        <x:v>T4</x:v>
      </x:c>
      <x:c r="C517" s="2" t="str">
        <x:v>L00</x:v>
      </x:c>
      <x:c r="D517" s="2" t="str">
        <x:v>Slab Y through strips</x:v>
      </x:c>
      <x:c r="E517" s="21" t="n">
        <x:v>12</x:v>
      </x:c>
      <x:c r="F517" s="21" t="n">
        <x:v>262</x:v>
      </x:c>
      <x:c r="G517" s="21" t="n">
        <x:v>23.95</x:v>
      </x:c>
      <x:c r="H517" s="21" t="n">
        <x:f>E517^2*'Controls'!$B$52</x:f>
        <x:v>0.8877600000000001</x:v>
      </x:c>
      <x:c r="I517" s="21" t="n">
        <x:f>F517*G517*H517</x:f>
        <x:v>5570.605224</x:v>
      </x:c>
      <x:c r="J517" s="2" t="str">
        <x:v>2 layers x 131 bars outside central opening band</x:v>
      </x:c>
      <x:c r="K517" s="2"/>
      <x:c r="L517" s="2"/>
      <x:c r="M517" s="2"/>
      <x:c r="N517" s="2"/>
      <x:c r="O517" s="2"/>
      <x:c r="P517" s="2"/>
      <x:c r="Q517" s="2"/>
    </x:row>
    <x:row r="518" ht="22" customHeight="1">
      <x:c r="A518" s="7" t="str">
        <x:v>T4-L00-S4</x:v>
      </x:c>
      <x:c r="B518" s="7" t="str">
        <x:v>T4</x:v>
      </x:c>
      <x:c r="C518" s="7" t="str">
        <x:v>L00</x:v>
      </x:c>
      <x:c r="D518" s="7" t="str">
        <x:v>Slab Y split at core</x:v>
      </x:c>
      <x:c r="E518" s="20" t="n">
        <x:v>12</x:v>
      </x:c>
      <x:c r="F518" s="20" t="n">
        <x:v>40</x:v>
      </x:c>
      <x:c r="G518" s="20" t="n">
        <x:v>17.95</x:v>
      </x:c>
      <x:c r="H518" s="20" t="n">
        <x:f>E518^2*'Controls'!$B$52</x:f>
        <x:v>0.8877600000000001</x:v>
      </x:c>
      <x:c r="I518" s="20" t="n">
        <x:f>F518*G518*H518</x:f>
        <x:v>637.41168</x:v>
      </x:c>
      <x:c r="J518" s="7" t="str">
        <x:v>2 layers x 20 bars, split around 6 m opening</x:v>
      </x:c>
      <x:c r="K518" s="2"/>
      <x:c r="L518" s="2"/>
      <x:c r="M518" s="2"/>
      <x:c r="N518" s="2"/>
      <x:c r="O518" s="2"/>
      <x:c r="P518" s="2"/>
      <x:c r="Q518" s="2"/>
    </x:row>
    <x:row r="519" ht="22" customHeight="1">
      <x:c r="A519" s="2" t="str">
        <x:v>T4-L00-S5</x:v>
      </x:c>
      <x:c r="B519" s="2" t="str">
        <x:v>T4</x:v>
      </x:c>
      <x:c r="C519" s="2" t="str">
        <x:v>L00</x:v>
      </x:c>
      <x:c r="D519" s="2" t="str">
        <x:v>Opening trim bars</x:v>
      </x:c>
      <x:c r="E519" s="21" t="n">
        <x:v>16</x:v>
      </x:c>
      <x:c r="F519" s="21" t="n">
        <x:v>16</x:v>
      </x:c>
      <x:c r="G519" s="21" t="n">
        <x:v>7.2</x:v>
      </x:c>
      <x:c r="H519" s="21" t="n">
        <x:f>E519^2*'Controls'!$B$52</x:f>
        <x:v>1.57824</x:v>
      </x:c>
      <x:c r="I519" s="21" t="n">
        <x:f>F519*G519*H519</x:f>
        <x:v>181.81324800000002</x:v>
      </x:c>
      <x:c r="J519" s="2" t="str">
        <x:v>Trim allowance, explicit scheduled lengths</x:v>
      </x:c>
      <x:c r="K519" s="2"/>
      <x:c r="L519" s="2"/>
      <x:c r="M519" s="2"/>
      <x:c r="N519" s="2"/>
      <x:c r="O519" s="2"/>
      <x:c r="P519" s="2"/>
      <x:c r="Q519" s="2"/>
    </x:row>
    <x:row r="520" ht="22" customHeight="1">
      <x:c r="A520" s="7" t="str">
        <x:v>T4-L00-BX</x:v>
      </x:c>
      <x:c r="B520" s="7" t="str">
        <x:v>T4</x:v>
      </x:c>
      <x:c r="C520" s="7" t="str">
        <x:v>L00</x:v>
      </x:c>
      <x:c r="D520" s="7" t="str">
        <x:v>X beam longitudinal</x:v>
      </x:c>
      <x:c r="E520" s="20" t="n">
        <x:v>20</x:v>
      </x:c>
      <x:c r="F520" s="20" t="n">
        <x:v>150</x:v>
      </x:c>
      <x:c r="G520" s="20" t="n">
        <x:v>6.5</x:v>
      </x:c>
      <x:c r="H520" s="20" t="n">
        <x:f>E520^2*'Controls'!$B$52</x:f>
        <x:v>2.466</x:v>
      </x:c>
      <x:c r="I520" s="20" t="n">
        <x:f>F520*G520*H520</x:f>
        <x:v>2404.3500000000004</x:v>
      </x:c>
      <x:c r="J520" s="7" t="str">
        <x:v>25 spans x 6 bars incl. 1 m lap/anchorage provision</x:v>
      </x:c>
      <x:c r="K520" s="2"/>
      <x:c r="L520" s="2"/>
      <x:c r="M520" s="2"/>
      <x:c r="N520" s="2"/>
      <x:c r="O520" s="2"/>
      <x:c r="P520" s="2"/>
      <x:c r="Q520" s="2"/>
    </x:row>
    <x:row r="521" ht="22" customHeight="1">
      <x:c r="A521" s="2" t="str">
        <x:v>T4-L00-BY</x:v>
      </x:c>
      <x:c r="B521" s="2" t="str">
        <x:v>T4</x:v>
      </x:c>
      <x:c r="C521" s="2" t="str">
        <x:v>L00</x:v>
      </x:c>
      <x:c r="D521" s="2" t="str">
        <x:v>Y beam longitudinal</x:v>
      </x:c>
      <x:c r="E521" s="21" t="n">
        <x:v>20</x:v>
      </x:c>
      <x:c r="F521" s="21" t="n">
        <x:v>144</x:v>
      </x:c>
      <x:c r="G521" s="21" t="n">
        <x:v>6.5</x:v>
      </x:c>
      <x:c r="H521" s="21" t="n">
        <x:f>E521^2*'Controls'!$B$52</x:f>
        <x:v>2.466</x:v>
      </x:c>
      <x:c r="I521" s="21" t="n">
        <x:f>F521*G521*H521</x:f>
        <x:v>2308.1760000000004</x:v>
      </x:c>
      <x:c r="J521" s="2" t="str">
        <x:v>24 spans x 6 bars</x:v>
      </x:c>
      <x:c r="K521" s="2"/>
      <x:c r="L521" s="2"/>
      <x:c r="M521" s="2"/>
      <x:c r="N521" s="2"/>
      <x:c r="O521" s="2"/>
      <x:c r="P521" s="2"/>
      <x:c r="Q521" s="2"/>
    </x:row>
    <x:row r="522" ht="22" customHeight="1">
      <x:c r="A522" s="7" t="str">
        <x:v>T4-L00-BT</x:v>
      </x:c>
      <x:c r="B522" s="7" t="str">
        <x:v>T4</x:v>
      </x:c>
      <x:c r="C522" s="7" t="str">
        <x:v>L00</x:v>
      </x:c>
      <x:c r="D522" s="7" t="str">
        <x:v>Beam closed links</x:v>
      </x:c>
      <x:c r="E522" s="20" t="n">
        <x:v>10</x:v>
      </x:c>
      <x:c r="F522" s="20" t="n">
        <x:v>1421</x:v>
      </x:c>
      <x:c r="G522" s="20" t="n">
        <x:v>1.7</x:v>
      </x:c>
      <x:c r="H522" s="20" t="n">
        <x:f>E522^2*'Controls'!$B$52</x:f>
        <x:v>0.6165</x:v>
      </x:c>
      <x:c r="I522" s="20" t="n">
        <x:f>F522*G522*H522</x:f>
        <x:v>1489.27905</x:v>
      </x:c>
      <x:c r="J522" s="7" t="str">
        <x:v>49 beams x 29 links, 200 mm nominal</x:v>
      </x:c>
      <x:c r="K522" s="2"/>
      <x:c r="L522" s="2"/>
      <x:c r="M522" s="2"/>
      <x:c r="N522" s="2"/>
      <x:c r="O522" s="2"/>
      <x:c r="P522" s="2"/>
      <x:c r="Q522" s="2"/>
    </x:row>
    <x:row r="523" ht="22" customHeight="1">
      <x:c r="A523" s="2" t="str">
        <x:v>T4-L00-CL</x:v>
      </x:c>
      <x:c r="B523" s="2" t="str">
        <x:v>T4</x:v>
      </x:c>
      <x:c r="C523" s="2" t="str">
        <x:v>L00</x:v>
      </x:c>
      <x:c r="D523" s="2" t="str">
        <x:v>Column longitudinal</x:v>
      </x:c>
      <x:c r="E523" s="21" t="n">
        <x:v>25</x:v>
      </x:c>
      <x:c r="F523" s="21" t="n">
        <x:v>360</x:v>
      </x:c>
      <x:c r="G523" s="21" t="n">
        <x:v>3.9</x:v>
      </x:c>
      <x:c r="H523" s="21" t="n">
        <x:f>E523^2*'Controls'!$B$52</x:f>
        <x:v>3.8531250000000004</x:v>
      </x:c>
      <x:c r="I523" s="21" t="n">
        <x:f>F523*G523*H523</x:f>
        <x:v>5409.7875</x:v>
      </x:c>
      <x:c r="J523" s="2" t="str">
        <x:v>30 columns x 12 bars incl. lap</x:v>
      </x:c>
      <x:c r="K523" s="2"/>
      <x:c r="L523" s="2"/>
      <x:c r="M523" s="2"/>
      <x:c r="N523" s="2"/>
      <x:c r="O523" s="2"/>
      <x:c r="P523" s="2"/>
      <x:c r="Q523" s="2"/>
    </x:row>
    <x:row r="524" ht="22" customHeight="1">
      <x:c r="A524" s="7" t="str">
        <x:v>T4-L00-CT</x:v>
      </x:c>
      <x:c r="B524" s="7" t="str">
        <x:v>T4</x:v>
      </x:c>
      <x:c r="C524" s="7" t="str">
        <x:v>L00</x:v>
      </x:c>
      <x:c r="D524" s="7" t="str">
        <x:v>Column ties</x:v>
      </x:c>
      <x:c r="E524" s="20" t="n">
        <x:v>10</x:v>
      </x:c>
      <x:c r="F524" s="20" t="n">
        <x:v>510</x:v>
      </x:c>
      <x:c r="G524" s="20" t="n">
        <x:v>1.96</x:v>
      </x:c>
      <x:c r="H524" s="20" t="n">
        <x:f>E524^2*'Controls'!$B$52</x:f>
        <x:v>0.6165</x:v>
      </x:c>
      <x:c r="I524" s="20" t="n">
        <x:f>F524*G524*H524</x:f>
        <x:v>616.2534</x:v>
      </x:c>
      <x:c r="J524" s="7" t="str">
        <x:v>30 columns x 17 ties, cover and hooks included</x:v>
      </x:c>
      <x:c r="K524" s="2"/>
      <x:c r="L524" s="2"/>
      <x:c r="M524" s="2"/>
      <x:c r="N524" s="2"/>
      <x:c r="O524" s="2"/>
      <x:c r="P524" s="2"/>
      <x:c r="Q524" s="2"/>
    </x:row>
    <x:row r="525" ht="22" customHeight="1">
      <x:c r="A525" s="2" t="str">
        <x:v>T4-L00-CV</x:v>
      </x:c>
      <x:c r="B525" s="2" t="str">
        <x:v>T4</x:v>
      </x:c>
      <x:c r="C525" s="2" t="str">
        <x:v>L00</x:v>
      </x:c>
      <x:c r="D525" s="2" t="str">
        <x:v>Core vertical bars</x:v>
      </x:c>
      <x:c r="E525" s="21" t="n">
        <x:v>16</x:v>
      </x:c>
      <x:c r="F525" s="21" t="n">
        <x:v>244</x:v>
      </x:c>
      <x:c r="G525" s="21" t="n">
        <x:v>3.9</x:v>
      </x:c>
      <x:c r="H525" s="21" t="n">
        <x:f>E525^2*'Controls'!$B$52</x:f>
        <x:v>1.57824</x:v>
      </x:c>
      <x:c r="I525" s="21" t="n">
        <x:f>F525*G525*H525</x:f>
        <x:v>1501.853184</x:v>
      </x:c>
      <x:c r="J525" s="2" t="str">
        <x:v>Two faces, 200 mm nominal along 24 m net length</x:v>
      </x:c>
      <x:c r="K525" s="2"/>
      <x:c r="L525" s="2"/>
      <x:c r="M525" s="2"/>
      <x:c r="N525" s="2"/>
      <x:c r="O525" s="2"/>
      <x:c r="P525" s="2"/>
      <x:c r="Q525" s="2"/>
    </x:row>
    <x:row r="526" ht="22" customHeight="1">
      <x:c r="A526" s="7" t="str">
        <x:v>T4-L00-CH</x:v>
      </x:c>
      <x:c r="B526" s="7" t="str">
        <x:v>T4</x:v>
      </x:c>
      <x:c r="C526" s="7" t="str">
        <x:v>L00</x:v>
      </x:c>
      <x:c r="D526" s="7" t="str">
        <x:v>Core horizontal bars</x:v>
      </x:c>
      <x:c r="E526" s="20" t="n">
        <x:v>12</x:v>
      </x:c>
      <x:c r="F526" s="20" t="n">
        <x:v>32</x:v>
      </x:c>
      <x:c r="G526" s="20" t="n">
        <x:v>25</x:v>
      </x:c>
      <x:c r="H526" s="20" t="n">
        <x:f>E526^2*'Controls'!$B$52</x:f>
        <x:v>0.8877600000000001</x:v>
      </x:c>
      <x:c r="I526" s="20" t="n">
        <x:f>F526*G526*H526</x:f>
        <x:v>710.2080000000001</x:v>
      </x:c>
      <x:c r="J526" s="7" t="str">
        <x:v>Two faces x 16 layers incl. lap</x:v>
      </x:c>
      <x:c r="K526" s="2"/>
      <x:c r="L526" s="2"/>
      <x:c r="M526" s="2"/>
      <x:c r="N526" s="2"/>
      <x:c r="O526" s="2"/>
      <x:c r="P526" s="2"/>
      <x:c r="Q526" s="2"/>
    </x:row>
    <x:row r="527" ht="22" customHeight="1">
      <x:c r="A527" s="2" t="str">
        <x:v>T4-L00-ST</x:v>
      </x:c>
      <x:c r="B527" s="2" t="str">
        <x:v>T4</x:v>
      </x:c>
      <x:c r="C527" s="2" t="str">
        <x:v>L00</x:v>
      </x:c>
      <x:c r="D527" s="2" t="str">
        <x:v>Stair flights and landings</x:v>
      </x:c>
      <x:c r="E527" s="21" t="n">
        <x:v>12</x:v>
      </x:c>
      <x:c r="F527" s="21" t="n">
        <x:v>80</x:v>
      </x:c>
      <x:c r="G527" s="21" t="n">
        <x:v>4.8</x:v>
      </x:c>
      <x:c r="H527" s="21" t="n">
        <x:f>E527^2*'Controls'!$B$52</x:f>
        <x:v>0.8877600000000001</x:v>
      </x:c>
      <x:c r="I527" s="21" t="n">
        <x:f>F527*G527*H527</x:f>
        <x:v>340.89984000000004</x:v>
      </x:c>
      <x:c r="J527" s="2" t="str">
        <x:v>Separate stair reinforcement allowance</x:v>
      </x:c>
      <x:c r="K527" s="2"/>
      <x:c r="L527" s="2"/>
      <x:c r="M527" s="2"/>
      <x:c r="N527" s="2"/>
      <x:c r="O527" s="2"/>
      <x:c r="P527" s="2"/>
      <x:c r="Q527" s="2"/>
    </x:row>
    <x:row r="528" ht="22" customHeight="1">
      <x:c r="A528" s="7" t="str">
        <x:v>T4-L01-S1</x:v>
      </x:c>
      <x:c r="B528" s="7" t="str">
        <x:v>T4</x:v>
      </x:c>
      <x:c r="C528" s="7" t="str">
        <x:v>L01</x:v>
      </x:c>
      <x:c r="D528" s="7" t="str">
        <x:v>Slab X through strips</x:v>
      </x:c>
      <x:c r="E528" s="20" t="n">
        <x:v>12</x:v>
      </x:c>
      <x:c r="F528" s="20" t="n">
        <x:v>182</x:v>
      </x:c>
      <x:c r="G528" s="20" t="n">
        <x:v>29.95</x:v>
      </x:c>
      <x:c r="H528" s="20" t="n">
        <x:f>E528^2*'Controls'!$B$52</x:f>
        <x:v>0.8877600000000001</x:v>
      </x:c>
      <x:c r="I528" s="20" t="n">
        <x:f>F528*G528*H528</x:f>
        <x:v>4839.090984</x:v>
      </x:c>
      <x:c r="J528" s="7" t="str">
        <x:v>2 layers x 91 bars outside central opening band</x:v>
      </x:c>
      <x:c r="K528" s="2"/>
      <x:c r="L528" s="2"/>
      <x:c r="M528" s="2"/>
      <x:c r="N528" s="2"/>
      <x:c r="O528" s="2"/>
      <x:c r="P528" s="2"/>
      <x:c r="Q528" s="2"/>
    </x:row>
    <x:row r="529" ht="22" customHeight="1">
      <x:c r="A529" s="2" t="str">
        <x:v>T4-L01-S2</x:v>
      </x:c>
      <x:c r="B529" s="2" t="str">
        <x:v>T4</x:v>
      </x:c>
      <x:c r="C529" s="2" t="str">
        <x:v>L01</x:v>
      </x:c>
      <x:c r="D529" s="2" t="str">
        <x:v>Slab X split at core</x:v>
      </x:c>
      <x:c r="E529" s="21" t="n">
        <x:v>12</x:v>
      </x:c>
      <x:c r="F529" s="21" t="n">
        <x:v>60</x:v>
      </x:c>
      <x:c r="G529" s="21" t="n">
        <x:v>25.95</x:v>
      </x:c>
      <x:c r="H529" s="21" t="n">
        <x:f>E529^2*'Controls'!$B$52</x:f>
        <x:v>0.8877600000000001</x:v>
      </x:c>
      <x:c r="I529" s="21" t="n">
        <x:f>F529*G529*H529</x:f>
        <x:v>1382.24232</x:v>
      </x:c>
      <x:c r="J529" s="2" t="str">
        <x:v>2 layers x 30 bars, split lengths combined around 4 m opening</x:v>
      </x:c>
      <x:c r="K529" s="2"/>
      <x:c r="L529" s="2"/>
      <x:c r="M529" s="2"/>
      <x:c r="N529" s="2"/>
      <x:c r="O529" s="2"/>
      <x:c r="P529" s="2"/>
      <x:c r="Q529" s="2"/>
    </x:row>
    <x:row r="530" ht="22" customHeight="1">
      <x:c r="A530" s="7" t="str">
        <x:v>T4-L01-S3</x:v>
      </x:c>
      <x:c r="B530" s="7" t="str">
        <x:v>T4</x:v>
      </x:c>
      <x:c r="C530" s="7" t="str">
        <x:v>L01</x:v>
      </x:c>
      <x:c r="D530" s="7" t="str">
        <x:v>Slab Y through strips</x:v>
      </x:c>
      <x:c r="E530" s="20" t="n">
        <x:v>12</x:v>
      </x:c>
      <x:c r="F530" s="20" t="n">
        <x:v>262</x:v>
      </x:c>
      <x:c r="G530" s="20" t="n">
        <x:v>23.95</x:v>
      </x:c>
      <x:c r="H530" s="20" t="n">
        <x:f>E530^2*'Controls'!$B$52</x:f>
        <x:v>0.8877600000000001</x:v>
      </x:c>
      <x:c r="I530" s="20" t="n">
        <x:f>F530*G530*H530</x:f>
        <x:v>5570.605224</x:v>
      </x:c>
      <x:c r="J530" s="7" t="str">
        <x:v>2 layers x 131 bars outside central opening band</x:v>
      </x:c>
      <x:c r="K530" s="2"/>
      <x:c r="L530" s="2"/>
      <x:c r="M530" s="2"/>
      <x:c r="N530" s="2"/>
      <x:c r="O530" s="2"/>
      <x:c r="P530" s="2"/>
      <x:c r="Q530" s="2"/>
    </x:row>
    <x:row r="531" ht="22" customHeight="1">
      <x:c r="A531" s="2" t="str">
        <x:v>T4-L01-S4</x:v>
      </x:c>
      <x:c r="B531" s="2" t="str">
        <x:v>T4</x:v>
      </x:c>
      <x:c r="C531" s="2" t="str">
        <x:v>L01</x:v>
      </x:c>
      <x:c r="D531" s="2" t="str">
        <x:v>Slab Y split at core</x:v>
      </x:c>
      <x:c r="E531" s="21" t="n">
        <x:v>12</x:v>
      </x:c>
      <x:c r="F531" s="21" t="n">
        <x:v>40</x:v>
      </x:c>
      <x:c r="G531" s="21" t="n">
        <x:v>17.95</x:v>
      </x:c>
      <x:c r="H531" s="21" t="n">
        <x:f>E531^2*'Controls'!$B$52</x:f>
        <x:v>0.8877600000000001</x:v>
      </x:c>
      <x:c r="I531" s="21" t="n">
        <x:f>F531*G531*H531</x:f>
        <x:v>637.41168</x:v>
      </x:c>
      <x:c r="J531" s="2" t="str">
        <x:v>2 layers x 20 bars, split around 6 m opening</x:v>
      </x:c>
      <x:c r="K531" s="2"/>
      <x:c r="L531" s="2"/>
      <x:c r="M531" s="2"/>
      <x:c r="N531" s="2"/>
      <x:c r="O531" s="2"/>
      <x:c r="P531" s="2"/>
      <x:c r="Q531" s="2"/>
    </x:row>
    <x:row r="532" ht="22" customHeight="1">
      <x:c r="A532" s="7" t="str">
        <x:v>T4-L01-S5</x:v>
      </x:c>
      <x:c r="B532" s="7" t="str">
        <x:v>T4</x:v>
      </x:c>
      <x:c r="C532" s="7" t="str">
        <x:v>L01</x:v>
      </x:c>
      <x:c r="D532" s="7" t="str">
        <x:v>Opening trim bars</x:v>
      </x:c>
      <x:c r="E532" s="20" t="n">
        <x:v>16</x:v>
      </x:c>
      <x:c r="F532" s="20" t="n">
        <x:v>16</x:v>
      </x:c>
      <x:c r="G532" s="20" t="n">
        <x:v>7.2</x:v>
      </x:c>
      <x:c r="H532" s="20" t="n">
        <x:f>E532^2*'Controls'!$B$52</x:f>
        <x:v>1.57824</x:v>
      </x:c>
      <x:c r="I532" s="20" t="n">
        <x:f>F532*G532*H532</x:f>
        <x:v>181.81324800000002</x:v>
      </x:c>
      <x:c r="J532" s="7" t="str">
        <x:v>Trim allowance, explicit scheduled lengths</x:v>
      </x:c>
      <x:c r="K532" s="2"/>
      <x:c r="L532" s="2"/>
      <x:c r="M532" s="2"/>
      <x:c r="N532" s="2"/>
      <x:c r="O532" s="2"/>
      <x:c r="P532" s="2"/>
      <x:c r="Q532" s="2"/>
    </x:row>
    <x:row r="533" ht="22" customHeight="1">
      <x:c r="A533" s="2" t="str">
        <x:v>T4-L01-BX</x:v>
      </x:c>
      <x:c r="B533" s="2" t="str">
        <x:v>T4</x:v>
      </x:c>
      <x:c r="C533" s="2" t="str">
        <x:v>L01</x:v>
      </x:c>
      <x:c r="D533" s="2" t="str">
        <x:v>X beam longitudinal</x:v>
      </x:c>
      <x:c r="E533" s="21" t="n">
        <x:v>20</x:v>
      </x:c>
      <x:c r="F533" s="21" t="n">
        <x:v>150</x:v>
      </x:c>
      <x:c r="G533" s="21" t="n">
        <x:v>6.5</x:v>
      </x:c>
      <x:c r="H533" s="21" t="n">
        <x:f>E533^2*'Controls'!$B$52</x:f>
        <x:v>2.466</x:v>
      </x:c>
      <x:c r="I533" s="21" t="n">
        <x:f>F533*G533*H533</x:f>
        <x:v>2404.3500000000004</x:v>
      </x:c>
      <x:c r="J533" s="2" t="str">
        <x:v>25 spans x 6 bars incl. 1 m lap/anchorage provision</x:v>
      </x:c>
      <x:c r="K533" s="2"/>
      <x:c r="L533" s="2"/>
      <x:c r="M533" s="2"/>
      <x:c r="N533" s="2"/>
      <x:c r="O533" s="2"/>
      <x:c r="P533" s="2"/>
      <x:c r="Q533" s="2"/>
    </x:row>
    <x:row r="534" ht="22" customHeight="1">
      <x:c r="A534" s="7" t="str">
        <x:v>T4-L01-BY</x:v>
      </x:c>
      <x:c r="B534" s="7" t="str">
        <x:v>T4</x:v>
      </x:c>
      <x:c r="C534" s="7" t="str">
        <x:v>L01</x:v>
      </x:c>
      <x:c r="D534" s="7" t="str">
        <x:v>Y beam longitudinal</x:v>
      </x:c>
      <x:c r="E534" s="20" t="n">
        <x:v>20</x:v>
      </x:c>
      <x:c r="F534" s="20" t="n">
        <x:v>144</x:v>
      </x:c>
      <x:c r="G534" s="20" t="n">
        <x:v>6.5</x:v>
      </x:c>
      <x:c r="H534" s="20" t="n">
        <x:f>E534^2*'Controls'!$B$52</x:f>
        <x:v>2.466</x:v>
      </x:c>
      <x:c r="I534" s="20" t="n">
        <x:f>F534*G534*H534</x:f>
        <x:v>2308.1760000000004</x:v>
      </x:c>
      <x:c r="J534" s="7" t="str">
        <x:v>24 spans x 6 bars</x:v>
      </x:c>
      <x:c r="K534" s="2"/>
      <x:c r="L534" s="2"/>
      <x:c r="M534" s="2"/>
      <x:c r="N534" s="2"/>
      <x:c r="O534" s="2"/>
      <x:c r="P534" s="2"/>
      <x:c r="Q534" s="2"/>
    </x:row>
    <x:row r="535" ht="22" customHeight="1">
      <x:c r="A535" s="2" t="str">
        <x:v>T4-L01-BT</x:v>
      </x:c>
      <x:c r="B535" s="2" t="str">
        <x:v>T4</x:v>
      </x:c>
      <x:c r="C535" s="2" t="str">
        <x:v>L01</x:v>
      </x:c>
      <x:c r="D535" s="2" t="str">
        <x:v>Beam closed links</x:v>
      </x:c>
      <x:c r="E535" s="21" t="n">
        <x:v>10</x:v>
      </x:c>
      <x:c r="F535" s="21" t="n">
        <x:v>1421</x:v>
      </x:c>
      <x:c r="G535" s="21" t="n">
        <x:v>1.7</x:v>
      </x:c>
      <x:c r="H535" s="21" t="n">
        <x:f>E535^2*'Controls'!$B$52</x:f>
        <x:v>0.6165</x:v>
      </x:c>
      <x:c r="I535" s="21" t="n">
        <x:f>F535*G535*H535</x:f>
        <x:v>1489.27905</x:v>
      </x:c>
      <x:c r="J535" s="2" t="str">
        <x:v>49 beams x 29 links, 200 mm nominal</x:v>
      </x:c>
      <x:c r="K535" s="2"/>
      <x:c r="L535" s="2"/>
      <x:c r="M535" s="2"/>
      <x:c r="N535" s="2"/>
      <x:c r="O535" s="2"/>
      <x:c r="P535" s="2"/>
      <x:c r="Q535" s="2"/>
    </x:row>
    <x:row r="536" ht="22" customHeight="1">
      <x:c r="A536" s="7" t="str">
        <x:v>T4-L01-CL</x:v>
      </x:c>
      <x:c r="B536" s="7" t="str">
        <x:v>T4</x:v>
      </x:c>
      <x:c r="C536" s="7" t="str">
        <x:v>L01</x:v>
      </x:c>
      <x:c r="D536" s="7" t="str">
        <x:v>Column longitudinal</x:v>
      </x:c>
      <x:c r="E536" s="20" t="n">
        <x:v>25</x:v>
      </x:c>
      <x:c r="F536" s="20" t="n">
        <x:v>360</x:v>
      </x:c>
      <x:c r="G536" s="20" t="n">
        <x:v>3.9</x:v>
      </x:c>
      <x:c r="H536" s="20" t="n">
        <x:f>E536^2*'Controls'!$B$52</x:f>
        <x:v>3.8531250000000004</x:v>
      </x:c>
      <x:c r="I536" s="20" t="n">
        <x:f>F536*G536*H536</x:f>
        <x:v>5409.7875</x:v>
      </x:c>
      <x:c r="J536" s="7" t="str">
        <x:v>30 columns x 12 bars incl. lap</x:v>
      </x:c>
      <x:c r="K536" s="2"/>
      <x:c r="L536" s="2"/>
      <x:c r="M536" s="2"/>
      <x:c r="N536" s="2"/>
      <x:c r="O536" s="2"/>
      <x:c r="P536" s="2"/>
      <x:c r="Q536" s="2"/>
    </x:row>
    <x:row r="537" ht="22" customHeight="1">
      <x:c r="A537" s="2" t="str">
        <x:v>T4-L01-CT</x:v>
      </x:c>
      <x:c r="B537" s="2" t="str">
        <x:v>T4</x:v>
      </x:c>
      <x:c r="C537" s="2" t="str">
        <x:v>L01</x:v>
      </x:c>
      <x:c r="D537" s="2" t="str">
        <x:v>Column ties</x:v>
      </x:c>
      <x:c r="E537" s="21" t="n">
        <x:v>10</x:v>
      </x:c>
      <x:c r="F537" s="21" t="n">
        <x:v>510</x:v>
      </x:c>
      <x:c r="G537" s="21" t="n">
        <x:v>1.96</x:v>
      </x:c>
      <x:c r="H537" s="21" t="n">
        <x:f>E537^2*'Controls'!$B$52</x:f>
        <x:v>0.6165</x:v>
      </x:c>
      <x:c r="I537" s="21" t="n">
        <x:f>F537*G537*H537</x:f>
        <x:v>616.2534</x:v>
      </x:c>
      <x:c r="J537" s="2" t="str">
        <x:v>30 columns x 17 ties, cover and hooks included</x:v>
      </x:c>
      <x:c r="K537" s="2"/>
      <x:c r="L537" s="2"/>
      <x:c r="M537" s="2"/>
      <x:c r="N537" s="2"/>
      <x:c r="O537" s="2"/>
      <x:c r="P537" s="2"/>
      <x:c r="Q537" s="2"/>
    </x:row>
    <x:row r="538" ht="22" customHeight="1">
      <x:c r="A538" s="7" t="str">
        <x:v>T4-L01-CV</x:v>
      </x:c>
      <x:c r="B538" s="7" t="str">
        <x:v>T4</x:v>
      </x:c>
      <x:c r="C538" s="7" t="str">
        <x:v>L01</x:v>
      </x:c>
      <x:c r="D538" s="7" t="str">
        <x:v>Core vertical bars</x:v>
      </x:c>
      <x:c r="E538" s="20" t="n">
        <x:v>16</x:v>
      </x:c>
      <x:c r="F538" s="20" t="n">
        <x:v>244</x:v>
      </x:c>
      <x:c r="G538" s="20" t="n">
        <x:v>3.9</x:v>
      </x:c>
      <x:c r="H538" s="20" t="n">
        <x:f>E538^2*'Controls'!$B$52</x:f>
        <x:v>1.57824</x:v>
      </x:c>
      <x:c r="I538" s="20" t="n">
        <x:f>F538*G538*H538</x:f>
        <x:v>1501.853184</x:v>
      </x:c>
      <x:c r="J538" s="7" t="str">
        <x:v>Two faces, 200 mm nominal along 24 m net length</x:v>
      </x:c>
      <x:c r="K538" s="2"/>
      <x:c r="L538" s="2"/>
      <x:c r="M538" s="2"/>
      <x:c r="N538" s="2"/>
      <x:c r="O538" s="2"/>
      <x:c r="P538" s="2"/>
      <x:c r="Q538" s="2"/>
    </x:row>
    <x:row r="539" ht="22" customHeight="1">
      <x:c r="A539" s="2" t="str">
        <x:v>T4-L01-CH</x:v>
      </x:c>
      <x:c r="B539" s="2" t="str">
        <x:v>T4</x:v>
      </x:c>
      <x:c r="C539" s="2" t="str">
        <x:v>L01</x:v>
      </x:c>
      <x:c r="D539" s="2" t="str">
        <x:v>Core horizontal bars</x:v>
      </x:c>
      <x:c r="E539" s="21" t="n">
        <x:v>12</x:v>
      </x:c>
      <x:c r="F539" s="21" t="n">
        <x:v>32</x:v>
      </x:c>
      <x:c r="G539" s="21" t="n">
        <x:v>25</x:v>
      </x:c>
      <x:c r="H539" s="21" t="n">
        <x:f>E539^2*'Controls'!$B$52</x:f>
        <x:v>0.8877600000000001</x:v>
      </x:c>
      <x:c r="I539" s="21" t="n">
        <x:f>F539*G539*H539</x:f>
        <x:v>710.2080000000001</x:v>
      </x:c>
      <x:c r="J539" s="2" t="str">
        <x:v>Two faces x 16 layers incl. lap</x:v>
      </x:c>
      <x:c r="K539" s="2"/>
      <x:c r="L539" s="2"/>
      <x:c r="M539" s="2"/>
      <x:c r="N539" s="2"/>
      <x:c r="O539" s="2"/>
      <x:c r="P539" s="2"/>
      <x:c r="Q539" s="2"/>
    </x:row>
    <x:row r="540" ht="22" customHeight="1">
      <x:c r="A540" s="7" t="str">
        <x:v>T4-L01-ST</x:v>
      </x:c>
      <x:c r="B540" s="7" t="str">
        <x:v>T4</x:v>
      </x:c>
      <x:c r="C540" s="7" t="str">
        <x:v>L01</x:v>
      </x:c>
      <x:c r="D540" s="7" t="str">
        <x:v>Stair flights and landings</x:v>
      </x:c>
      <x:c r="E540" s="20" t="n">
        <x:v>12</x:v>
      </x:c>
      <x:c r="F540" s="20" t="n">
        <x:v>80</x:v>
      </x:c>
      <x:c r="G540" s="20" t="n">
        <x:v>4.8</x:v>
      </x:c>
      <x:c r="H540" s="20" t="n">
        <x:f>E540^2*'Controls'!$B$52</x:f>
        <x:v>0.8877600000000001</x:v>
      </x:c>
      <x:c r="I540" s="20" t="n">
        <x:f>F540*G540*H540</x:f>
        <x:v>340.89984000000004</x:v>
      </x:c>
      <x:c r="J540" s="7" t="str">
        <x:v>Separate stair reinforcement allowance</x:v>
      </x:c>
      <x:c r="K540" s="2"/>
      <x:c r="L540" s="2"/>
      <x:c r="M540" s="2"/>
      <x:c r="N540" s="2"/>
      <x:c r="O540" s="2"/>
      <x:c r="P540" s="2"/>
      <x:c r="Q540" s="2"/>
    </x:row>
    <x:row r="541" ht="22" customHeight="1">
      <x:c r="A541" s="2" t="str">
        <x:v>T4-L02-S1</x:v>
      </x:c>
      <x:c r="B541" s="2" t="str">
        <x:v>T4</x:v>
      </x:c>
      <x:c r="C541" s="2" t="str">
        <x:v>L02</x:v>
      </x:c>
      <x:c r="D541" s="2" t="str">
        <x:v>Slab X through strips</x:v>
      </x:c>
      <x:c r="E541" s="21" t="n">
        <x:v>12</x:v>
      </x:c>
      <x:c r="F541" s="21" t="n">
        <x:v>182</x:v>
      </x:c>
      <x:c r="G541" s="21" t="n">
        <x:v>29.95</x:v>
      </x:c>
      <x:c r="H541" s="21" t="n">
        <x:f>E541^2*'Controls'!$B$52</x:f>
        <x:v>0.8877600000000001</x:v>
      </x:c>
      <x:c r="I541" s="21" t="n">
        <x:f>F541*G541*H541</x:f>
        <x:v>4839.090984</x:v>
      </x:c>
      <x:c r="J541" s="2" t="str">
        <x:v>2 layers x 91 bars outside central opening band</x:v>
      </x:c>
      <x:c r="K541" s="2"/>
      <x:c r="L541" s="2"/>
      <x:c r="M541" s="2"/>
      <x:c r="N541" s="2"/>
      <x:c r="O541" s="2"/>
      <x:c r="P541" s="2"/>
      <x:c r="Q541" s="2"/>
    </x:row>
    <x:row r="542" ht="22" customHeight="1">
      <x:c r="A542" s="7" t="str">
        <x:v>T4-L02-S2</x:v>
      </x:c>
      <x:c r="B542" s="7" t="str">
        <x:v>T4</x:v>
      </x:c>
      <x:c r="C542" s="7" t="str">
        <x:v>L02</x:v>
      </x:c>
      <x:c r="D542" s="7" t="str">
        <x:v>Slab X split at core</x:v>
      </x:c>
      <x:c r="E542" s="20" t="n">
        <x:v>12</x:v>
      </x:c>
      <x:c r="F542" s="20" t="n">
        <x:v>60</x:v>
      </x:c>
      <x:c r="G542" s="20" t="n">
        <x:v>25.95</x:v>
      </x:c>
      <x:c r="H542" s="20" t="n">
        <x:f>E542^2*'Controls'!$B$52</x:f>
        <x:v>0.8877600000000001</x:v>
      </x:c>
      <x:c r="I542" s="20" t="n">
        <x:f>F542*G542*H542</x:f>
        <x:v>1382.24232</x:v>
      </x:c>
      <x:c r="J542" s="7" t="str">
        <x:v>2 layers x 30 bars, split lengths combined around 4 m opening</x:v>
      </x:c>
      <x:c r="K542" s="2"/>
      <x:c r="L542" s="2"/>
      <x:c r="M542" s="2"/>
      <x:c r="N542" s="2"/>
      <x:c r="O542" s="2"/>
      <x:c r="P542" s="2"/>
      <x:c r="Q542" s="2"/>
    </x:row>
    <x:row r="543" ht="22" customHeight="1">
      <x:c r="A543" s="2" t="str">
        <x:v>T4-L02-S3</x:v>
      </x:c>
      <x:c r="B543" s="2" t="str">
        <x:v>T4</x:v>
      </x:c>
      <x:c r="C543" s="2" t="str">
        <x:v>L02</x:v>
      </x:c>
      <x:c r="D543" s="2" t="str">
        <x:v>Slab Y through strips</x:v>
      </x:c>
      <x:c r="E543" s="21" t="n">
        <x:v>12</x:v>
      </x:c>
      <x:c r="F543" s="21" t="n">
        <x:v>262</x:v>
      </x:c>
      <x:c r="G543" s="21" t="n">
        <x:v>23.95</x:v>
      </x:c>
      <x:c r="H543" s="21" t="n">
        <x:f>E543^2*'Controls'!$B$52</x:f>
        <x:v>0.8877600000000001</x:v>
      </x:c>
      <x:c r="I543" s="21" t="n">
        <x:f>F543*G543*H543</x:f>
        <x:v>5570.605224</x:v>
      </x:c>
      <x:c r="J543" s="2" t="str">
        <x:v>2 layers x 131 bars outside central opening band</x:v>
      </x:c>
      <x:c r="K543" s="2"/>
      <x:c r="L543" s="2"/>
      <x:c r="M543" s="2"/>
      <x:c r="N543" s="2"/>
      <x:c r="O543" s="2"/>
      <x:c r="P543" s="2"/>
      <x:c r="Q543" s="2"/>
    </x:row>
    <x:row r="544" ht="22" customHeight="1">
      <x:c r="A544" s="7" t="str">
        <x:v>T4-L02-S4</x:v>
      </x:c>
      <x:c r="B544" s="7" t="str">
        <x:v>T4</x:v>
      </x:c>
      <x:c r="C544" s="7" t="str">
        <x:v>L02</x:v>
      </x:c>
      <x:c r="D544" s="7" t="str">
        <x:v>Slab Y split at core</x:v>
      </x:c>
      <x:c r="E544" s="20" t="n">
        <x:v>12</x:v>
      </x:c>
      <x:c r="F544" s="20" t="n">
        <x:v>40</x:v>
      </x:c>
      <x:c r="G544" s="20" t="n">
        <x:v>17.95</x:v>
      </x:c>
      <x:c r="H544" s="20" t="n">
        <x:f>E544^2*'Controls'!$B$52</x:f>
        <x:v>0.8877600000000001</x:v>
      </x:c>
      <x:c r="I544" s="20" t="n">
        <x:f>F544*G544*H544</x:f>
        <x:v>637.41168</x:v>
      </x:c>
      <x:c r="J544" s="7" t="str">
        <x:v>2 layers x 20 bars, split around 6 m opening</x:v>
      </x:c>
      <x:c r="K544" s="2"/>
      <x:c r="L544" s="2"/>
      <x:c r="M544" s="2"/>
      <x:c r="N544" s="2"/>
      <x:c r="O544" s="2"/>
      <x:c r="P544" s="2"/>
      <x:c r="Q544" s="2"/>
    </x:row>
    <x:row r="545" ht="22" customHeight="1">
      <x:c r="A545" s="2" t="str">
        <x:v>T4-L02-S5</x:v>
      </x:c>
      <x:c r="B545" s="2" t="str">
        <x:v>T4</x:v>
      </x:c>
      <x:c r="C545" s="2" t="str">
        <x:v>L02</x:v>
      </x:c>
      <x:c r="D545" s="2" t="str">
        <x:v>Opening trim bars</x:v>
      </x:c>
      <x:c r="E545" s="21" t="n">
        <x:v>16</x:v>
      </x:c>
      <x:c r="F545" s="21" t="n">
        <x:v>16</x:v>
      </x:c>
      <x:c r="G545" s="21" t="n">
        <x:v>7.2</x:v>
      </x:c>
      <x:c r="H545" s="21" t="n">
        <x:f>E545^2*'Controls'!$B$52</x:f>
        <x:v>1.57824</x:v>
      </x:c>
      <x:c r="I545" s="21" t="n">
        <x:f>F545*G545*H545</x:f>
        <x:v>181.81324800000002</x:v>
      </x:c>
      <x:c r="J545" s="2" t="str">
        <x:v>Trim allowance, explicit scheduled lengths</x:v>
      </x:c>
      <x:c r="K545" s="2"/>
      <x:c r="L545" s="2"/>
      <x:c r="M545" s="2"/>
      <x:c r="N545" s="2"/>
      <x:c r="O545" s="2"/>
      <x:c r="P545" s="2"/>
      <x:c r="Q545" s="2"/>
    </x:row>
    <x:row r="546" ht="22" customHeight="1">
      <x:c r="A546" s="7" t="str">
        <x:v>T4-L02-BX</x:v>
      </x:c>
      <x:c r="B546" s="7" t="str">
        <x:v>T4</x:v>
      </x:c>
      <x:c r="C546" s="7" t="str">
        <x:v>L02</x:v>
      </x:c>
      <x:c r="D546" s="7" t="str">
        <x:v>X beam longitudinal</x:v>
      </x:c>
      <x:c r="E546" s="20" t="n">
        <x:v>20</x:v>
      </x:c>
      <x:c r="F546" s="20" t="n">
        <x:v>150</x:v>
      </x:c>
      <x:c r="G546" s="20" t="n">
        <x:v>6.5</x:v>
      </x:c>
      <x:c r="H546" s="20" t="n">
        <x:f>E546^2*'Controls'!$B$52</x:f>
        <x:v>2.466</x:v>
      </x:c>
      <x:c r="I546" s="20" t="n">
        <x:f>F546*G546*H546</x:f>
        <x:v>2404.3500000000004</x:v>
      </x:c>
      <x:c r="J546" s="7" t="str">
        <x:v>25 spans x 6 bars incl. 1 m lap/anchorage provision</x:v>
      </x:c>
      <x:c r="K546" s="2"/>
      <x:c r="L546" s="2"/>
      <x:c r="M546" s="2"/>
      <x:c r="N546" s="2"/>
      <x:c r="O546" s="2"/>
      <x:c r="P546" s="2"/>
      <x:c r="Q546" s="2"/>
    </x:row>
    <x:row r="547" ht="22" customHeight="1">
      <x:c r="A547" s="2" t="str">
        <x:v>T4-L02-BY</x:v>
      </x:c>
      <x:c r="B547" s="2" t="str">
        <x:v>T4</x:v>
      </x:c>
      <x:c r="C547" s="2" t="str">
        <x:v>L02</x:v>
      </x:c>
      <x:c r="D547" s="2" t="str">
        <x:v>Y beam longitudinal</x:v>
      </x:c>
      <x:c r="E547" s="21" t="n">
        <x:v>20</x:v>
      </x:c>
      <x:c r="F547" s="21" t="n">
        <x:v>144</x:v>
      </x:c>
      <x:c r="G547" s="21" t="n">
        <x:v>6.5</x:v>
      </x:c>
      <x:c r="H547" s="21" t="n">
        <x:f>E547^2*'Controls'!$B$52</x:f>
        <x:v>2.466</x:v>
      </x:c>
      <x:c r="I547" s="21" t="n">
        <x:f>F547*G547*H547</x:f>
        <x:v>2308.1760000000004</x:v>
      </x:c>
      <x:c r="J547" s="2" t="str">
        <x:v>24 spans x 6 bars</x:v>
      </x:c>
      <x:c r="K547" s="2"/>
      <x:c r="L547" s="2"/>
      <x:c r="M547" s="2"/>
      <x:c r="N547" s="2"/>
      <x:c r="O547" s="2"/>
      <x:c r="P547" s="2"/>
      <x:c r="Q547" s="2"/>
    </x:row>
    <x:row r="548" ht="22" customHeight="1">
      <x:c r="A548" s="7" t="str">
        <x:v>T4-L02-BT</x:v>
      </x:c>
      <x:c r="B548" s="7" t="str">
        <x:v>T4</x:v>
      </x:c>
      <x:c r="C548" s="7" t="str">
        <x:v>L02</x:v>
      </x:c>
      <x:c r="D548" s="7" t="str">
        <x:v>Beam closed links</x:v>
      </x:c>
      <x:c r="E548" s="20" t="n">
        <x:v>10</x:v>
      </x:c>
      <x:c r="F548" s="20" t="n">
        <x:v>1421</x:v>
      </x:c>
      <x:c r="G548" s="20" t="n">
        <x:v>1.7</x:v>
      </x:c>
      <x:c r="H548" s="20" t="n">
        <x:f>E548^2*'Controls'!$B$52</x:f>
        <x:v>0.6165</x:v>
      </x:c>
      <x:c r="I548" s="20" t="n">
        <x:f>F548*G548*H548</x:f>
        <x:v>1489.27905</x:v>
      </x:c>
      <x:c r="J548" s="7" t="str">
        <x:v>49 beams x 29 links, 200 mm nominal</x:v>
      </x:c>
      <x:c r="K548" s="2"/>
      <x:c r="L548" s="2"/>
      <x:c r="M548" s="2"/>
      <x:c r="N548" s="2"/>
      <x:c r="O548" s="2"/>
      <x:c r="P548" s="2"/>
      <x:c r="Q548" s="2"/>
    </x:row>
    <x:row r="549" ht="22" customHeight="1">
      <x:c r="A549" s="2" t="str">
        <x:v>T4-L02-CL</x:v>
      </x:c>
      <x:c r="B549" s="2" t="str">
        <x:v>T4</x:v>
      </x:c>
      <x:c r="C549" s="2" t="str">
        <x:v>L02</x:v>
      </x:c>
      <x:c r="D549" s="2" t="str">
        <x:v>Column longitudinal</x:v>
      </x:c>
      <x:c r="E549" s="21" t="n">
        <x:v>25</x:v>
      </x:c>
      <x:c r="F549" s="21" t="n">
        <x:v>360</x:v>
      </x:c>
      <x:c r="G549" s="21" t="n">
        <x:v>3.9</x:v>
      </x:c>
      <x:c r="H549" s="21" t="n">
        <x:f>E549^2*'Controls'!$B$52</x:f>
        <x:v>3.8531250000000004</x:v>
      </x:c>
      <x:c r="I549" s="21" t="n">
        <x:f>F549*G549*H549</x:f>
        <x:v>5409.7875</x:v>
      </x:c>
      <x:c r="J549" s="2" t="str">
        <x:v>30 columns x 12 bars incl. lap</x:v>
      </x:c>
      <x:c r="K549" s="2"/>
      <x:c r="L549" s="2"/>
      <x:c r="M549" s="2"/>
      <x:c r="N549" s="2"/>
      <x:c r="O549" s="2"/>
      <x:c r="P549" s="2"/>
      <x:c r="Q549" s="2"/>
    </x:row>
    <x:row r="550" ht="22" customHeight="1">
      <x:c r="A550" s="7" t="str">
        <x:v>T4-L02-CT</x:v>
      </x:c>
      <x:c r="B550" s="7" t="str">
        <x:v>T4</x:v>
      </x:c>
      <x:c r="C550" s="7" t="str">
        <x:v>L02</x:v>
      </x:c>
      <x:c r="D550" s="7" t="str">
        <x:v>Column ties</x:v>
      </x:c>
      <x:c r="E550" s="20" t="n">
        <x:v>10</x:v>
      </x:c>
      <x:c r="F550" s="20" t="n">
        <x:v>510</x:v>
      </x:c>
      <x:c r="G550" s="20" t="n">
        <x:v>1.96</x:v>
      </x:c>
      <x:c r="H550" s="20" t="n">
        <x:f>E550^2*'Controls'!$B$52</x:f>
        <x:v>0.6165</x:v>
      </x:c>
      <x:c r="I550" s="20" t="n">
        <x:f>F550*G550*H550</x:f>
        <x:v>616.2534</x:v>
      </x:c>
      <x:c r="J550" s="7" t="str">
        <x:v>30 columns x 17 ties, cover and hooks included</x:v>
      </x:c>
      <x:c r="K550" s="2"/>
      <x:c r="L550" s="2"/>
      <x:c r="M550" s="2"/>
      <x:c r="N550" s="2"/>
      <x:c r="O550" s="2"/>
      <x:c r="P550" s="2"/>
      <x:c r="Q550" s="2"/>
    </x:row>
    <x:row r="551" ht="22" customHeight="1">
      <x:c r="A551" s="2" t="str">
        <x:v>T4-L02-CV</x:v>
      </x:c>
      <x:c r="B551" s="2" t="str">
        <x:v>T4</x:v>
      </x:c>
      <x:c r="C551" s="2" t="str">
        <x:v>L02</x:v>
      </x:c>
      <x:c r="D551" s="2" t="str">
        <x:v>Core vertical bars</x:v>
      </x:c>
      <x:c r="E551" s="21" t="n">
        <x:v>16</x:v>
      </x:c>
      <x:c r="F551" s="21" t="n">
        <x:v>244</x:v>
      </x:c>
      <x:c r="G551" s="21" t="n">
        <x:v>3.9</x:v>
      </x:c>
      <x:c r="H551" s="21" t="n">
        <x:f>E551^2*'Controls'!$B$52</x:f>
        <x:v>1.57824</x:v>
      </x:c>
      <x:c r="I551" s="21" t="n">
        <x:f>F551*G551*H551</x:f>
        <x:v>1501.853184</x:v>
      </x:c>
      <x:c r="J551" s="2" t="str">
        <x:v>Two faces, 200 mm nominal along 24 m net length</x:v>
      </x:c>
      <x:c r="K551" s="2"/>
      <x:c r="L551" s="2"/>
      <x:c r="M551" s="2"/>
      <x:c r="N551" s="2"/>
      <x:c r="O551" s="2"/>
      <x:c r="P551" s="2"/>
      <x:c r="Q551" s="2"/>
    </x:row>
    <x:row r="552" ht="22" customHeight="1">
      <x:c r="A552" s="7" t="str">
        <x:v>T4-L02-CH</x:v>
      </x:c>
      <x:c r="B552" s="7" t="str">
        <x:v>T4</x:v>
      </x:c>
      <x:c r="C552" s="7" t="str">
        <x:v>L02</x:v>
      </x:c>
      <x:c r="D552" s="7" t="str">
        <x:v>Core horizontal bars</x:v>
      </x:c>
      <x:c r="E552" s="20" t="n">
        <x:v>12</x:v>
      </x:c>
      <x:c r="F552" s="20" t="n">
        <x:v>32</x:v>
      </x:c>
      <x:c r="G552" s="20" t="n">
        <x:v>25</x:v>
      </x:c>
      <x:c r="H552" s="20" t="n">
        <x:f>E552^2*'Controls'!$B$52</x:f>
        <x:v>0.8877600000000001</x:v>
      </x:c>
      <x:c r="I552" s="20" t="n">
        <x:f>F552*G552*H552</x:f>
        <x:v>710.2080000000001</x:v>
      </x:c>
      <x:c r="J552" s="7" t="str">
        <x:v>Two faces x 16 layers incl. lap</x:v>
      </x:c>
      <x:c r="K552" s="2"/>
      <x:c r="L552" s="2"/>
      <x:c r="M552" s="2"/>
      <x:c r="N552" s="2"/>
      <x:c r="O552" s="2"/>
      <x:c r="P552" s="2"/>
      <x:c r="Q552" s="2"/>
    </x:row>
    <x:row r="553" ht="22" customHeight="1">
      <x:c r="A553" s="2" t="str">
        <x:v>T4-L02-ST</x:v>
      </x:c>
      <x:c r="B553" s="2" t="str">
        <x:v>T4</x:v>
      </x:c>
      <x:c r="C553" s="2" t="str">
        <x:v>L02</x:v>
      </x:c>
      <x:c r="D553" s="2" t="str">
        <x:v>Stair flights and landings</x:v>
      </x:c>
      <x:c r="E553" s="21" t="n">
        <x:v>12</x:v>
      </x:c>
      <x:c r="F553" s="21" t="n">
        <x:v>80</x:v>
      </x:c>
      <x:c r="G553" s="21" t="n">
        <x:v>4.8</x:v>
      </x:c>
      <x:c r="H553" s="21" t="n">
        <x:f>E553^2*'Controls'!$B$52</x:f>
        <x:v>0.8877600000000001</x:v>
      </x:c>
      <x:c r="I553" s="21" t="n">
        <x:f>F553*G553*H553</x:f>
        <x:v>340.89984000000004</x:v>
      </x:c>
      <x:c r="J553" s="2" t="str">
        <x:v>Separate stair reinforcement allowance</x:v>
      </x:c>
      <x:c r="K553" s="2"/>
      <x:c r="L553" s="2"/>
      <x:c r="M553" s="2"/>
      <x:c r="N553" s="2"/>
      <x:c r="O553" s="2"/>
      <x:c r="P553" s="2"/>
      <x:c r="Q553" s="2"/>
    </x:row>
    <x:row r="554" ht="22" customHeight="1">
      <x:c r="A554" s="7" t="str">
        <x:v>T4-L03-S1</x:v>
      </x:c>
      <x:c r="B554" s="7" t="str">
        <x:v>T4</x:v>
      </x:c>
      <x:c r="C554" s="7" t="str">
        <x:v>L03</x:v>
      </x:c>
      <x:c r="D554" s="7" t="str">
        <x:v>Slab X through strips</x:v>
      </x:c>
      <x:c r="E554" s="20" t="n">
        <x:v>12</x:v>
      </x:c>
      <x:c r="F554" s="20" t="n">
        <x:v>182</x:v>
      </x:c>
      <x:c r="G554" s="20" t="n">
        <x:v>29.95</x:v>
      </x:c>
      <x:c r="H554" s="20" t="n">
        <x:f>E554^2*'Controls'!$B$52</x:f>
        <x:v>0.8877600000000001</x:v>
      </x:c>
      <x:c r="I554" s="20" t="n">
        <x:f>F554*G554*H554</x:f>
        <x:v>4839.090984</x:v>
      </x:c>
      <x:c r="J554" s="7" t="str">
        <x:v>2 layers x 91 bars outside central opening band</x:v>
      </x:c>
      <x:c r="K554" s="2"/>
      <x:c r="L554" s="2"/>
      <x:c r="M554" s="2"/>
      <x:c r="N554" s="2"/>
      <x:c r="O554" s="2"/>
      <x:c r="P554" s="2"/>
      <x:c r="Q554" s="2"/>
    </x:row>
    <x:row r="555" ht="22" customHeight="1">
      <x:c r="A555" s="2" t="str">
        <x:v>T4-L03-S2</x:v>
      </x:c>
      <x:c r="B555" s="2" t="str">
        <x:v>T4</x:v>
      </x:c>
      <x:c r="C555" s="2" t="str">
        <x:v>L03</x:v>
      </x:c>
      <x:c r="D555" s="2" t="str">
        <x:v>Slab X split at core</x:v>
      </x:c>
      <x:c r="E555" s="21" t="n">
        <x:v>12</x:v>
      </x:c>
      <x:c r="F555" s="21" t="n">
        <x:v>60</x:v>
      </x:c>
      <x:c r="G555" s="21" t="n">
        <x:v>25.95</x:v>
      </x:c>
      <x:c r="H555" s="21" t="n">
        <x:f>E555^2*'Controls'!$B$52</x:f>
        <x:v>0.8877600000000001</x:v>
      </x:c>
      <x:c r="I555" s="21" t="n">
        <x:f>F555*G555*H555</x:f>
        <x:v>1382.24232</x:v>
      </x:c>
      <x:c r="J555" s="2" t="str">
        <x:v>2 layers x 30 bars, split lengths combined around 4 m opening</x:v>
      </x:c>
      <x:c r="K555" s="2"/>
      <x:c r="L555" s="2"/>
      <x:c r="M555" s="2"/>
      <x:c r="N555" s="2"/>
      <x:c r="O555" s="2"/>
      <x:c r="P555" s="2"/>
      <x:c r="Q555" s="2"/>
    </x:row>
    <x:row r="556" ht="22" customHeight="1">
      <x:c r="A556" s="7" t="str">
        <x:v>T4-L03-S3</x:v>
      </x:c>
      <x:c r="B556" s="7" t="str">
        <x:v>T4</x:v>
      </x:c>
      <x:c r="C556" s="7" t="str">
        <x:v>L03</x:v>
      </x:c>
      <x:c r="D556" s="7" t="str">
        <x:v>Slab Y through strips</x:v>
      </x:c>
      <x:c r="E556" s="20" t="n">
        <x:v>12</x:v>
      </x:c>
      <x:c r="F556" s="20" t="n">
        <x:v>262</x:v>
      </x:c>
      <x:c r="G556" s="20" t="n">
        <x:v>23.95</x:v>
      </x:c>
      <x:c r="H556" s="20" t="n">
        <x:f>E556^2*'Controls'!$B$52</x:f>
        <x:v>0.8877600000000001</x:v>
      </x:c>
      <x:c r="I556" s="20" t="n">
        <x:f>F556*G556*H556</x:f>
        <x:v>5570.605224</x:v>
      </x:c>
      <x:c r="J556" s="7" t="str">
        <x:v>2 layers x 131 bars outside central opening band</x:v>
      </x:c>
      <x:c r="K556" s="2"/>
      <x:c r="L556" s="2"/>
      <x:c r="M556" s="2"/>
      <x:c r="N556" s="2"/>
      <x:c r="O556" s="2"/>
      <x:c r="P556" s="2"/>
      <x:c r="Q556" s="2"/>
    </x:row>
    <x:row r="557" ht="22" customHeight="1">
      <x:c r="A557" s="2" t="str">
        <x:v>T4-L03-S4</x:v>
      </x:c>
      <x:c r="B557" s="2" t="str">
        <x:v>T4</x:v>
      </x:c>
      <x:c r="C557" s="2" t="str">
        <x:v>L03</x:v>
      </x:c>
      <x:c r="D557" s="2" t="str">
        <x:v>Slab Y split at core</x:v>
      </x:c>
      <x:c r="E557" s="21" t="n">
        <x:v>12</x:v>
      </x:c>
      <x:c r="F557" s="21" t="n">
        <x:v>40</x:v>
      </x:c>
      <x:c r="G557" s="21" t="n">
        <x:v>17.95</x:v>
      </x:c>
      <x:c r="H557" s="21" t="n">
        <x:f>E557^2*'Controls'!$B$52</x:f>
        <x:v>0.8877600000000001</x:v>
      </x:c>
      <x:c r="I557" s="21" t="n">
        <x:f>F557*G557*H557</x:f>
        <x:v>637.41168</x:v>
      </x:c>
      <x:c r="J557" s="2" t="str">
        <x:v>2 layers x 20 bars, split around 6 m opening</x:v>
      </x:c>
      <x:c r="K557" s="2"/>
      <x:c r="L557" s="2"/>
      <x:c r="M557" s="2"/>
      <x:c r="N557" s="2"/>
      <x:c r="O557" s="2"/>
      <x:c r="P557" s="2"/>
      <x:c r="Q557" s="2"/>
    </x:row>
    <x:row r="558" ht="22" customHeight="1">
      <x:c r="A558" s="7" t="str">
        <x:v>T4-L03-S5</x:v>
      </x:c>
      <x:c r="B558" s="7" t="str">
        <x:v>T4</x:v>
      </x:c>
      <x:c r="C558" s="7" t="str">
        <x:v>L03</x:v>
      </x:c>
      <x:c r="D558" s="7" t="str">
        <x:v>Opening trim bars</x:v>
      </x:c>
      <x:c r="E558" s="20" t="n">
        <x:v>16</x:v>
      </x:c>
      <x:c r="F558" s="20" t="n">
        <x:v>16</x:v>
      </x:c>
      <x:c r="G558" s="20" t="n">
        <x:v>7.2</x:v>
      </x:c>
      <x:c r="H558" s="20" t="n">
        <x:f>E558^2*'Controls'!$B$52</x:f>
        <x:v>1.57824</x:v>
      </x:c>
      <x:c r="I558" s="20" t="n">
        <x:f>F558*G558*H558</x:f>
        <x:v>181.81324800000002</x:v>
      </x:c>
      <x:c r="J558" s="7" t="str">
        <x:v>Trim allowance, explicit scheduled lengths</x:v>
      </x:c>
      <x:c r="K558" s="2"/>
      <x:c r="L558" s="2"/>
      <x:c r="M558" s="2"/>
      <x:c r="N558" s="2"/>
      <x:c r="O558" s="2"/>
      <x:c r="P558" s="2"/>
      <x:c r="Q558" s="2"/>
    </x:row>
    <x:row r="559" ht="22" customHeight="1">
      <x:c r="A559" s="2" t="str">
        <x:v>T4-L03-BX</x:v>
      </x:c>
      <x:c r="B559" s="2" t="str">
        <x:v>T4</x:v>
      </x:c>
      <x:c r="C559" s="2" t="str">
        <x:v>L03</x:v>
      </x:c>
      <x:c r="D559" s="2" t="str">
        <x:v>X beam longitudinal</x:v>
      </x:c>
      <x:c r="E559" s="21" t="n">
        <x:v>20</x:v>
      </x:c>
      <x:c r="F559" s="21" t="n">
        <x:v>150</x:v>
      </x:c>
      <x:c r="G559" s="21" t="n">
        <x:v>6.5</x:v>
      </x:c>
      <x:c r="H559" s="21" t="n">
        <x:f>E559^2*'Controls'!$B$52</x:f>
        <x:v>2.466</x:v>
      </x:c>
      <x:c r="I559" s="21" t="n">
        <x:f>F559*G559*H559</x:f>
        <x:v>2404.3500000000004</x:v>
      </x:c>
      <x:c r="J559" s="2" t="str">
        <x:v>25 spans x 6 bars incl. 1 m lap/anchorage provision</x:v>
      </x:c>
      <x:c r="K559" s="2"/>
      <x:c r="L559" s="2"/>
      <x:c r="M559" s="2"/>
      <x:c r="N559" s="2"/>
      <x:c r="O559" s="2"/>
      <x:c r="P559" s="2"/>
      <x:c r="Q559" s="2"/>
    </x:row>
    <x:row r="560" ht="22" customHeight="1">
      <x:c r="A560" s="7" t="str">
        <x:v>T4-L03-BY</x:v>
      </x:c>
      <x:c r="B560" s="7" t="str">
        <x:v>T4</x:v>
      </x:c>
      <x:c r="C560" s="7" t="str">
        <x:v>L03</x:v>
      </x:c>
      <x:c r="D560" s="7" t="str">
        <x:v>Y beam longitudinal</x:v>
      </x:c>
      <x:c r="E560" s="20" t="n">
        <x:v>20</x:v>
      </x:c>
      <x:c r="F560" s="20" t="n">
        <x:v>144</x:v>
      </x:c>
      <x:c r="G560" s="20" t="n">
        <x:v>6.5</x:v>
      </x:c>
      <x:c r="H560" s="20" t="n">
        <x:f>E560^2*'Controls'!$B$52</x:f>
        <x:v>2.466</x:v>
      </x:c>
      <x:c r="I560" s="20" t="n">
        <x:f>F560*G560*H560</x:f>
        <x:v>2308.1760000000004</x:v>
      </x:c>
      <x:c r="J560" s="7" t="str">
        <x:v>24 spans x 6 bars</x:v>
      </x:c>
      <x:c r="K560" s="2"/>
      <x:c r="L560" s="2"/>
      <x:c r="M560" s="2"/>
      <x:c r="N560" s="2"/>
      <x:c r="O560" s="2"/>
      <x:c r="P560" s="2"/>
      <x:c r="Q560" s="2"/>
    </x:row>
    <x:row r="561" ht="22" customHeight="1">
      <x:c r="A561" s="2" t="str">
        <x:v>T4-L03-BT</x:v>
      </x:c>
      <x:c r="B561" s="2" t="str">
        <x:v>T4</x:v>
      </x:c>
      <x:c r="C561" s="2" t="str">
        <x:v>L03</x:v>
      </x:c>
      <x:c r="D561" s="2" t="str">
        <x:v>Beam closed links</x:v>
      </x:c>
      <x:c r="E561" s="21" t="n">
        <x:v>10</x:v>
      </x:c>
      <x:c r="F561" s="21" t="n">
        <x:v>1421</x:v>
      </x:c>
      <x:c r="G561" s="21" t="n">
        <x:v>1.7</x:v>
      </x:c>
      <x:c r="H561" s="21" t="n">
        <x:f>E561^2*'Controls'!$B$52</x:f>
        <x:v>0.6165</x:v>
      </x:c>
      <x:c r="I561" s="21" t="n">
        <x:f>F561*G561*H561</x:f>
        <x:v>1489.27905</x:v>
      </x:c>
      <x:c r="J561" s="2" t="str">
        <x:v>49 beams x 29 links, 200 mm nominal</x:v>
      </x:c>
      <x:c r="K561" s="2"/>
      <x:c r="L561" s="2"/>
      <x:c r="M561" s="2"/>
      <x:c r="N561" s="2"/>
      <x:c r="O561" s="2"/>
      <x:c r="P561" s="2"/>
      <x:c r="Q561" s="2"/>
    </x:row>
    <x:row r="562" ht="22" customHeight="1">
      <x:c r="A562" s="7" t="str">
        <x:v>T4-L03-CL</x:v>
      </x:c>
      <x:c r="B562" s="7" t="str">
        <x:v>T4</x:v>
      </x:c>
      <x:c r="C562" s="7" t="str">
        <x:v>L03</x:v>
      </x:c>
      <x:c r="D562" s="7" t="str">
        <x:v>Column longitudinal</x:v>
      </x:c>
      <x:c r="E562" s="20" t="n">
        <x:v>25</x:v>
      </x:c>
      <x:c r="F562" s="20" t="n">
        <x:v>360</x:v>
      </x:c>
      <x:c r="G562" s="20" t="n">
        <x:v>3.9</x:v>
      </x:c>
      <x:c r="H562" s="20" t="n">
        <x:f>E562^2*'Controls'!$B$52</x:f>
        <x:v>3.8531250000000004</x:v>
      </x:c>
      <x:c r="I562" s="20" t="n">
        <x:f>F562*G562*H562</x:f>
        <x:v>5409.7875</x:v>
      </x:c>
      <x:c r="J562" s="7" t="str">
        <x:v>30 columns x 12 bars incl. lap</x:v>
      </x:c>
      <x:c r="K562" s="2"/>
      <x:c r="L562" s="2"/>
      <x:c r="M562" s="2"/>
      <x:c r="N562" s="2"/>
      <x:c r="O562" s="2"/>
      <x:c r="P562" s="2"/>
      <x:c r="Q562" s="2"/>
    </x:row>
    <x:row r="563" ht="22" customHeight="1">
      <x:c r="A563" s="2" t="str">
        <x:v>T4-L03-CT</x:v>
      </x:c>
      <x:c r="B563" s="2" t="str">
        <x:v>T4</x:v>
      </x:c>
      <x:c r="C563" s="2" t="str">
        <x:v>L03</x:v>
      </x:c>
      <x:c r="D563" s="2" t="str">
        <x:v>Column ties</x:v>
      </x:c>
      <x:c r="E563" s="21" t="n">
        <x:v>10</x:v>
      </x:c>
      <x:c r="F563" s="21" t="n">
        <x:v>510</x:v>
      </x:c>
      <x:c r="G563" s="21" t="n">
        <x:v>1.96</x:v>
      </x:c>
      <x:c r="H563" s="21" t="n">
        <x:f>E563^2*'Controls'!$B$52</x:f>
        <x:v>0.6165</x:v>
      </x:c>
      <x:c r="I563" s="21" t="n">
        <x:f>F563*G563*H563</x:f>
        <x:v>616.2534</x:v>
      </x:c>
      <x:c r="J563" s="2" t="str">
        <x:v>30 columns x 17 ties, cover and hooks included</x:v>
      </x:c>
      <x:c r="K563" s="2"/>
      <x:c r="L563" s="2"/>
      <x:c r="M563" s="2"/>
      <x:c r="N563" s="2"/>
      <x:c r="O563" s="2"/>
      <x:c r="P563" s="2"/>
      <x:c r="Q563" s="2"/>
    </x:row>
    <x:row r="564" ht="22" customHeight="1">
      <x:c r="A564" s="7" t="str">
        <x:v>T4-L03-CV</x:v>
      </x:c>
      <x:c r="B564" s="7" t="str">
        <x:v>T4</x:v>
      </x:c>
      <x:c r="C564" s="7" t="str">
        <x:v>L03</x:v>
      </x:c>
      <x:c r="D564" s="7" t="str">
        <x:v>Core vertical bars</x:v>
      </x:c>
      <x:c r="E564" s="20" t="n">
        <x:v>16</x:v>
      </x:c>
      <x:c r="F564" s="20" t="n">
        <x:v>244</x:v>
      </x:c>
      <x:c r="G564" s="20" t="n">
        <x:v>3.9</x:v>
      </x:c>
      <x:c r="H564" s="20" t="n">
        <x:f>E564^2*'Controls'!$B$52</x:f>
        <x:v>1.57824</x:v>
      </x:c>
      <x:c r="I564" s="20" t="n">
        <x:f>F564*G564*H564</x:f>
        <x:v>1501.853184</x:v>
      </x:c>
      <x:c r="J564" s="7" t="str">
        <x:v>Two faces, 200 mm nominal along 24 m net length</x:v>
      </x:c>
      <x:c r="K564" s="2"/>
      <x:c r="L564" s="2"/>
      <x:c r="M564" s="2"/>
      <x:c r="N564" s="2"/>
      <x:c r="O564" s="2"/>
      <x:c r="P564" s="2"/>
      <x:c r="Q564" s="2"/>
    </x:row>
    <x:row r="565" ht="22" customHeight="1">
      <x:c r="A565" s="2" t="str">
        <x:v>T4-L03-CH</x:v>
      </x:c>
      <x:c r="B565" s="2" t="str">
        <x:v>T4</x:v>
      </x:c>
      <x:c r="C565" s="2" t="str">
        <x:v>L03</x:v>
      </x:c>
      <x:c r="D565" s="2" t="str">
        <x:v>Core horizontal bars</x:v>
      </x:c>
      <x:c r="E565" s="21" t="n">
        <x:v>12</x:v>
      </x:c>
      <x:c r="F565" s="21" t="n">
        <x:v>32</x:v>
      </x:c>
      <x:c r="G565" s="21" t="n">
        <x:v>25</x:v>
      </x:c>
      <x:c r="H565" s="21" t="n">
        <x:f>E565^2*'Controls'!$B$52</x:f>
        <x:v>0.8877600000000001</x:v>
      </x:c>
      <x:c r="I565" s="21" t="n">
        <x:f>F565*G565*H565</x:f>
        <x:v>710.2080000000001</x:v>
      </x:c>
      <x:c r="J565" s="2" t="str">
        <x:v>Two faces x 16 layers incl. lap</x:v>
      </x:c>
      <x:c r="K565" s="2"/>
      <x:c r="L565" s="2"/>
      <x:c r="M565" s="2"/>
      <x:c r="N565" s="2"/>
      <x:c r="O565" s="2"/>
      <x:c r="P565" s="2"/>
      <x:c r="Q565" s="2"/>
    </x:row>
    <x:row r="566" ht="22" customHeight="1">
      <x:c r="A566" s="7" t="str">
        <x:v>T4-L03-ST</x:v>
      </x:c>
      <x:c r="B566" s="7" t="str">
        <x:v>T4</x:v>
      </x:c>
      <x:c r="C566" s="7" t="str">
        <x:v>L03</x:v>
      </x:c>
      <x:c r="D566" s="7" t="str">
        <x:v>Stair flights and landings</x:v>
      </x:c>
      <x:c r="E566" s="20" t="n">
        <x:v>12</x:v>
      </x:c>
      <x:c r="F566" s="20" t="n">
        <x:v>80</x:v>
      </x:c>
      <x:c r="G566" s="20" t="n">
        <x:v>4.8</x:v>
      </x:c>
      <x:c r="H566" s="20" t="n">
        <x:f>E566^2*'Controls'!$B$52</x:f>
        <x:v>0.8877600000000001</x:v>
      </x:c>
      <x:c r="I566" s="20" t="n">
        <x:f>F566*G566*H566</x:f>
        <x:v>340.89984000000004</x:v>
      </x:c>
      <x:c r="J566" s="7" t="str">
        <x:v>Separate stair reinforcement allowance</x:v>
      </x:c>
      <x:c r="K566" s="2"/>
      <x:c r="L566" s="2"/>
      <x:c r="M566" s="2"/>
      <x:c r="N566" s="2"/>
      <x:c r="O566" s="2"/>
      <x:c r="P566" s="2"/>
      <x:c r="Q566" s="2"/>
    </x:row>
    <x:row r="567" ht="22" customHeight="1">
      <x:c r="A567" s="2" t="str">
        <x:v>T4-L04-S1</x:v>
      </x:c>
      <x:c r="B567" s="2" t="str">
        <x:v>T4</x:v>
      </x:c>
      <x:c r="C567" s="2" t="str">
        <x:v>L04</x:v>
      </x:c>
      <x:c r="D567" s="2" t="str">
        <x:v>Slab X through strips</x:v>
      </x:c>
      <x:c r="E567" s="21" t="n">
        <x:v>12</x:v>
      </x:c>
      <x:c r="F567" s="21" t="n">
        <x:v>182</x:v>
      </x:c>
      <x:c r="G567" s="21" t="n">
        <x:v>29.95</x:v>
      </x:c>
      <x:c r="H567" s="21" t="n">
        <x:f>E567^2*'Controls'!$B$52</x:f>
        <x:v>0.8877600000000001</x:v>
      </x:c>
      <x:c r="I567" s="21" t="n">
        <x:f>F567*G567*H567</x:f>
        <x:v>4839.090984</x:v>
      </x:c>
      <x:c r="J567" s="2" t="str">
        <x:v>2 layers x 91 bars outside central opening band</x:v>
      </x:c>
      <x:c r="K567" s="2"/>
      <x:c r="L567" s="2"/>
      <x:c r="M567" s="2"/>
      <x:c r="N567" s="2"/>
      <x:c r="O567" s="2"/>
      <x:c r="P567" s="2"/>
      <x:c r="Q567" s="2"/>
    </x:row>
    <x:row r="568" ht="22" customHeight="1">
      <x:c r="A568" s="7" t="str">
        <x:v>T4-L04-S2</x:v>
      </x:c>
      <x:c r="B568" s="7" t="str">
        <x:v>T4</x:v>
      </x:c>
      <x:c r="C568" s="7" t="str">
        <x:v>L04</x:v>
      </x:c>
      <x:c r="D568" s="7" t="str">
        <x:v>Slab X split at core</x:v>
      </x:c>
      <x:c r="E568" s="20" t="n">
        <x:v>12</x:v>
      </x:c>
      <x:c r="F568" s="20" t="n">
        <x:v>60</x:v>
      </x:c>
      <x:c r="G568" s="20" t="n">
        <x:v>25.95</x:v>
      </x:c>
      <x:c r="H568" s="20" t="n">
        <x:f>E568^2*'Controls'!$B$52</x:f>
        <x:v>0.8877600000000001</x:v>
      </x:c>
      <x:c r="I568" s="20" t="n">
        <x:f>F568*G568*H568</x:f>
        <x:v>1382.24232</x:v>
      </x:c>
      <x:c r="J568" s="7" t="str">
        <x:v>2 layers x 30 bars, split lengths combined around 4 m opening</x:v>
      </x:c>
      <x:c r="K568" s="2"/>
      <x:c r="L568" s="2"/>
      <x:c r="M568" s="2"/>
      <x:c r="N568" s="2"/>
      <x:c r="O568" s="2"/>
      <x:c r="P568" s="2"/>
      <x:c r="Q568" s="2"/>
    </x:row>
    <x:row r="569" ht="22" customHeight="1">
      <x:c r="A569" s="2" t="str">
        <x:v>T4-L04-S3</x:v>
      </x:c>
      <x:c r="B569" s="2" t="str">
        <x:v>T4</x:v>
      </x:c>
      <x:c r="C569" s="2" t="str">
        <x:v>L04</x:v>
      </x:c>
      <x:c r="D569" s="2" t="str">
        <x:v>Slab Y through strips</x:v>
      </x:c>
      <x:c r="E569" s="21" t="n">
        <x:v>12</x:v>
      </x:c>
      <x:c r="F569" s="21" t="n">
        <x:v>262</x:v>
      </x:c>
      <x:c r="G569" s="21" t="n">
        <x:v>23.95</x:v>
      </x:c>
      <x:c r="H569" s="21" t="n">
        <x:f>E569^2*'Controls'!$B$52</x:f>
        <x:v>0.8877600000000001</x:v>
      </x:c>
      <x:c r="I569" s="21" t="n">
        <x:f>F569*G569*H569</x:f>
        <x:v>5570.605224</x:v>
      </x:c>
      <x:c r="J569" s="2" t="str">
        <x:v>2 layers x 131 bars outside central opening band</x:v>
      </x:c>
      <x:c r="K569" s="2"/>
      <x:c r="L569" s="2"/>
      <x:c r="M569" s="2"/>
      <x:c r="N569" s="2"/>
      <x:c r="O569" s="2"/>
      <x:c r="P569" s="2"/>
      <x:c r="Q569" s="2"/>
    </x:row>
    <x:row r="570" ht="22" customHeight="1">
      <x:c r="A570" s="7" t="str">
        <x:v>T4-L04-S4</x:v>
      </x:c>
      <x:c r="B570" s="7" t="str">
        <x:v>T4</x:v>
      </x:c>
      <x:c r="C570" s="7" t="str">
        <x:v>L04</x:v>
      </x:c>
      <x:c r="D570" s="7" t="str">
        <x:v>Slab Y split at core</x:v>
      </x:c>
      <x:c r="E570" s="20" t="n">
        <x:v>12</x:v>
      </x:c>
      <x:c r="F570" s="20" t="n">
        <x:v>40</x:v>
      </x:c>
      <x:c r="G570" s="20" t="n">
        <x:v>17.95</x:v>
      </x:c>
      <x:c r="H570" s="20" t="n">
        <x:f>E570^2*'Controls'!$B$52</x:f>
        <x:v>0.8877600000000001</x:v>
      </x:c>
      <x:c r="I570" s="20" t="n">
        <x:f>F570*G570*H570</x:f>
        <x:v>637.41168</x:v>
      </x:c>
      <x:c r="J570" s="7" t="str">
        <x:v>2 layers x 20 bars, split around 6 m opening</x:v>
      </x:c>
      <x:c r="K570" s="2"/>
      <x:c r="L570" s="2"/>
      <x:c r="M570" s="2"/>
      <x:c r="N570" s="2"/>
      <x:c r="O570" s="2"/>
      <x:c r="P570" s="2"/>
      <x:c r="Q570" s="2"/>
    </x:row>
    <x:row r="571" ht="22" customHeight="1">
      <x:c r="A571" s="2" t="str">
        <x:v>T4-L04-S5</x:v>
      </x:c>
      <x:c r="B571" s="2" t="str">
        <x:v>T4</x:v>
      </x:c>
      <x:c r="C571" s="2" t="str">
        <x:v>L04</x:v>
      </x:c>
      <x:c r="D571" s="2" t="str">
        <x:v>Opening trim bars</x:v>
      </x:c>
      <x:c r="E571" s="21" t="n">
        <x:v>16</x:v>
      </x:c>
      <x:c r="F571" s="21" t="n">
        <x:v>16</x:v>
      </x:c>
      <x:c r="G571" s="21" t="n">
        <x:v>7.2</x:v>
      </x:c>
      <x:c r="H571" s="21" t="n">
        <x:f>E571^2*'Controls'!$B$52</x:f>
        <x:v>1.57824</x:v>
      </x:c>
      <x:c r="I571" s="21" t="n">
        <x:f>F571*G571*H571</x:f>
        <x:v>181.81324800000002</x:v>
      </x:c>
      <x:c r="J571" s="2" t="str">
        <x:v>Trim allowance, explicit scheduled lengths</x:v>
      </x:c>
      <x:c r="K571" s="2"/>
      <x:c r="L571" s="2"/>
      <x:c r="M571" s="2"/>
      <x:c r="N571" s="2"/>
      <x:c r="O571" s="2"/>
      <x:c r="P571" s="2"/>
      <x:c r="Q571" s="2"/>
    </x:row>
    <x:row r="572" ht="22" customHeight="1">
      <x:c r="A572" s="7" t="str">
        <x:v>T4-L04-BX</x:v>
      </x:c>
      <x:c r="B572" s="7" t="str">
        <x:v>T4</x:v>
      </x:c>
      <x:c r="C572" s="7" t="str">
        <x:v>L04</x:v>
      </x:c>
      <x:c r="D572" s="7" t="str">
        <x:v>X beam longitudinal</x:v>
      </x:c>
      <x:c r="E572" s="20" t="n">
        <x:v>20</x:v>
      </x:c>
      <x:c r="F572" s="20" t="n">
        <x:v>150</x:v>
      </x:c>
      <x:c r="G572" s="20" t="n">
        <x:v>6.5</x:v>
      </x:c>
      <x:c r="H572" s="20" t="n">
        <x:f>E572^2*'Controls'!$B$52</x:f>
        <x:v>2.466</x:v>
      </x:c>
      <x:c r="I572" s="20" t="n">
        <x:f>F572*G572*H572</x:f>
        <x:v>2404.3500000000004</x:v>
      </x:c>
      <x:c r="J572" s="7" t="str">
        <x:v>25 spans x 6 bars incl. 1 m lap/anchorage provision</x:v>
      </x:c>
      <x:c r="K572" s="2"/>
      <x:c r="L572" s="2"/>
      <x:c r="M572" s="2"/>
      <x:c r="N572" s="2"/>
      <x:c r="O572" s="2"/>
      <x:c r="P572" s="2"/>
      <x:c r="Q572" s="2"/>
    </x:row>
    <x:row r="573" ht="22" customHeight="1">
      <x:c r="A573" s="2" t="str">
        <x:v>T4-L04-BY</x:v>
      </x:c>
      <x:c r="B573" s="2" t="str">
        <x:v>T4</x:v>
      </x:c>
      <x:c r="C573" s="2" t="str">
        <x:v>L04</x:v>
      </x:c>
      <x:c r="D573" s="2" t="str">
        <x:v>Y beam longitudinal</x:v>
      </x:c>
      <x:c r="E573" s="21" t="n">
        <x:v>20</x:v>
      </x:c>
      <x:c r="F573" s="21" t="n">
        <x:v>144</x:v>
      </x:c>
      <x:c r="G573" s="21" t="n">
        <x:v>6.5</x:v>
      </x:c>
      <x:c r="H573" s="21" t="n">
        <x:f>E573^2*'Controls'!$B$52</x:f>
        <x:v>2.466</x:v>
      </x:c>
      <x:c r="I573" s="21" t="n">
        <x:f>F573*G573*H573</x:f>
        <x:v>2308.1760000000004</x:v>
      </x:c>
      <x:c r="J573" s="2" t="str">
        <x:v>24 spans x 6 bars</x:v>
      </x:c>
      <x:c r="K573" s="2"/>
      <x:c r="L573" s="2"/>
      <x:c r="M573" s="2"/>
      <x:c r="N573" s="2"/>
      <x:c r="O573" s="2"/>
      <x:c r="P573" s="2"/>
      <x:c r="Q573" s="2"/>
    </x:row>
    <x:row r="574" ht="22" customHeight="1">
      <x:c r="A574" s="7" t="str">
        <x:v>T4-L04-BT</x:v>
      </x:c>
      <x:c r="B574" s="7" t="str">
        <x:v>T4</x:v>
      </x:c>
      <x:c r="C574" s="7" t="str">
        <x:v>L04</x:v>
      </x:c>
      <x:c r="D574" s="7" t="str">
        <x:v>Beam closed links</x:v>
      </x:c>
      <x:c r="E574" s="20" t="n">
        <x:v>10</x:v>
      </x:c>
      <x:c r="F574" s="20" t="n">
        <x:v>1421</x:v>
      </x:c>
      <x:c r="G574" s="20" t="n">
        <x:v>1.7</x:v>
      </x:c>
      <x:c r="H574" s="20" t="n">
        <x:f>E574^2*'Controls'!$B$52</x:f>
        <x:v>0.6165</x:v>
      </x:c>
      <x:c r="I574" s="20" t="n">
        <x:f>F574*G574*H574</x:f>
        <x:v>1489.27905</x:v>
      </x:c>
      <x:c r="J574" s="7" t="str">
        <x:v>49 beams x 29 links, 200 mm nominal</x:v>
      </x:c>
      <x:c r="K574" s="2"/>
      <x:c r="L574" s="2"/>
      <x:c r="M574" s="2"/>
      <x:c r="N574" s="2"/>
      <x:c r="O574" s="2"/>
      <x:c r="P574" s="2"/>
      <x:c r="Q574" s="2"/>
    </x:row>
    <x:row r="575" ht="22" customHeight="1">
      <x:c r="A575" s="2" t="str">
        <x:v>T4-L04-CL</x:v>
      </x:c>
      <x:c r="B575" s="2" t="str">
        <x:v>T4</x:v>
      </x:c>
      <x:c r="C575" s="2" t="str">
        <x:v>L04</x:v>
      </x:c>
      <x:c r="D575" s="2" t="str">
        <x:v>Column longitudinal</x:v>
      </x:c>
      <x:c r="E575" s="21" t="n">
        <x:v>25</x:v>
      </x:c>
      <x:c r="F575" s="21" t="n">
        <x:v>360</x:v>
      </x:c>
      <x:c r="G575" s="21" t="n">
        <x:v>3.9</x:v>
      </x:c>
      <x:c r="H575" s="21" t="n">
        <x:f>E575^2*'Controls'!$B$52</x:f>
        <x:v>3.8531250000000004</x:v>
      </x:c>
      <x:c r="I575" s="21" t="n">
        <x:f>F575*G575*H575</x:f>
        <x:v>5409.7875</x:v>
      </x:c>
      <x:c r="J575" s="2" t="str">
        <x:v>30 columns x 12 bars incl. lap</x:v>
      </x:c>
      <x:c r="K575" s="2"/>
      <x:c r="L575" s="2"/>
      <x:c r="M575" s="2"/>
      <x:c r="N575" s="2"/>
      <x:c r="O575" s="2"/>
      <x:c r="P575" s="2"/>
      <x:c r="Q575" s="2"/>
    </x:row>
    <x:row r="576" ht="22" customHeight="1">
      <x:c r="A576" s="7" t="str">
        <x:v>T4-L04-CT</x:v>
      </x:c>
      <x:c r="B576" s="7" t="str">
        <x:v>T4</x:v>
      </x:c>
      <x:c r="C576" s="7" t="str">
        <x:v>L04</x:v>
      </x:c>
      <x:c r="D576" s="7" t="str">
        <x:v>Column ties</x:v>
      </x:c>
      <x:c r="E576" s="20" t="n">
        <x:v>10</x:v>
      </x:c>
      <x:c r="F576" s="20" t="n">
        <x:v>510</x:v>
      </x:c>
      <x:c r="G576" s="20" t="n">
        <x:v>1.96</x:v>
      </x:c>
      <x:c r="H576" s="20" t="n">
        <x:f>E576^2*'Controls'!$B$52</x:f>
        <x:v>0.6165</x:v>
      </x:c>
      <x:c r="I576" s="20" t="n">
        <x:f>F576*G576*H576</x:f>
        <x:v>616.2534</x:v>
      </x:c>
      <x:c r="J576" s="7" t="str">
        <x:v>30 columns x 17 ties, cover and hooks included</x:v>
      </x:c>
      <x:c r="K576" s="2"/>
      <x:c r="L576" s="2"/>
      <x:c r="M576" s="2"/>
      <x:c r="N576" s="2"/>
      <x:c r="O576" s="2"/>
      <x:c r="P576" s="2"/>
      <x:c r="Q576" s="2"/>
    </x:row>
    <x:row r="577" ht="22" customHeight="1">
      <x:c r="A577" s="2" t="str">
        <x:v>T4-L04-CV</x:v>
      </x:c>
      <x:c r="B577" s="2" t="str">
        <x:v>T4</x:v>
      </x:c>
      <x:c r="C577" s="2" t="str">
        <x:v>L04</x:v>
      </x:c>
      <x:c r="D577" s="2" t="str">
        <x:v>Core vertical bars</x:v>
      </x:c>
      <x:c r="E577" s="21" t="n">
        <x:v>16</x:v>
      </x:c>
      <x:c r="F577" s="21" t="n">
        <x:v>244</x:v>
      </x:c>
      <x:c r="G577" s="21" t="n">
        <x:v>3.9</x:v>
      </x:c>
      <x:c r="H577" s="21" t="n">
        <x:f>E577^2*'Controls'!$B$52</x:f>
        <x:v>1.57824</x:v>
      </x:c>
      <x:c r="I577" s="21" t="n">
        <x:f>F577*G577*H577</x:f>
        <x:v>1501.853184</x:v>
      </x:c>
      <x:c r="J577" s="2" t="str">
        <x:v>Two faces, 200 mm nominal along 24 m net length</x:v>
      </x:c>
      <x:c r="K577" s="2"/>
      <x:c r="L577" s="2"/>
      <x:c r="M577" s="2"/>
      <x:c r="N577" s="2"/>
      <x:c r="O577" s="2"/>
      <x:c r="P577" s="2"/>
      <x:c r="Q577" s="2"/>
    </x:row>
    <x:row r="578" ht="22" customHeight="1">
      <x:c r="A578" s="7" t="str">
        <x:v>T4-L04-CH</x:v>
      </x:c>
      <x:c r="B578" s="7" t="str">
        <x:v>T4</x:v>
      </x:c>
      <x:c r="C578" s="7" t="str">
        <x:v>L04</x:v>
      </x:c>
      <x:c r="D578" s="7" t="str">
        <x:v>Core horizontal bars</x:v>
      </x:c>
      <x:c r="E578" s="20" t="n">
        <x:v>12</x:v>
      </x:c>
      <x:c r="F578" s="20" t="n">
        <x:v>32</x:v>
      </x:c>
      <x:c r="G578" s="20" t="n">
        <x:v>25</x:v>
      </x:c>
      <x:c r="H578" s="20" t="n">
        <x:f>E578^2*'Controls'!$B$52</x:f>
        <x:v>0.8877600000000001</x:v>
      </x:c>
      <x:c r="I578" s="20" t="n">
        <x:f>F578*G578*H578</x:f>
        <x:v>710.2080000000001</x:v>
      </x:c>
      <x:c r="J578" s="7" t="str">
        <x:v>Two faces x 16 layers incl. lap</x:v>
      </x:c>
      <x:c r="K578" s="2"/>
      <x:c r="L578" s="2"/>
      <x:c r="M578" s="2"/>
      <x:c r="N578" s="2"/>
      <x:c r="O578" s="2"/>
      <x:c r="P578" s="2"/>
      <x:c r="Q578" s="2"/>
    </x:row>
    <x:row r="579" ht="22" customHeight="1">
      <x:c r="A579" s="2" t="str">
        <x:v>T4-L04-ST</x:v>
      </x:c>
      <x:c r="B579" s="2" t="str">
        <x:v>T4</x:v>
      </x:c>
      <x:c r="C579" s="2" t="str">
        <x:v>L04</x:v>
      </x:c>
      <x:c r="D579" s="2" t="str">
        <x:v>Stair flights and landings</x:v>
      </x:c>
      <x:c r="E579" s="21" t="n">
        <x:v>12</x:v>
      </x:c>
      <x:c r="F579" s="21" t="n">
        <x:v>80</x:v>
      </x:c>
      <x:c r="G579" s="21" t="n">
        <x:v>4.8</x:v>
      </x:c>
      <x:c r="H579" s="21" t="n">
        <x:f>E579^2*'Controls'!$B$52</x:f>
        <x:v>0.8877600000000001</x:v>
      </x:c>
      <x:c r="I579" s="21" t="n">
        <x:f>F579*G579*H579</x:f>
        <x:v>340.89984000000004</x:v>
      </x:c>
      <x:c r="J579" s="2" t="str">
        <x:v>Separate stair reinforcement allowance</x:v>
      </x:c>
      <x:c r="K579" s="2"/>
      <x:c r="L579" s="2"/>
      <x:c r="M579" s="2"/>
      <x:c r="N579" s="2"/>
      <x:c r="O579" s="2"/>
      <x:c r="P579" s="2"/>
      <x:c r="Q579" s="2"/>
    </x:row>
    <x:row r="580" ht="22" customHeight="1">
      <x:c r="A580" s="7" t="str">
        <x:v>T4-L05-S1</x:v>
      </x:c>
      <x:c r="B580" s="7" t="str">
        <x:v>T4</x:v>
      </x:c>
      <x:c r="C580" s="7" t="str">
        <x:v>L05</x:v>
      </x:c>
      <x:c r="D580" s="7" t="str">
        <x:v>Slab X through strips</x:v>
      </x:c>
      <x:c r="E580" s="20" t="n">
        <x:v>12</x:v>
      </x:c>
      <x:c r="F580" s="20" t="n">
        <x:v>182</x:v>
      </x:c>
      <x:c r="G580" s="20" t="n">
        <x:v>29.95</x:v>
      </x:c>
      <x:c r="H580" s="20" t="n">
        <x:f>E580^2*'Controls'!$B$52</x:f>
        <x:v>0.8877600000000001</x:v>
      </x:c>
      <x:c r="I580" s="20" t="n">
        <x:f>F580*G580*H580</x:f>
        <x:v>4839.090984</x:v>
      </x:c>
      <x:c r="J580" s="7" t="str">
        <x:v>2 layers x 91 bars outside central opening band</x:v>
      </x:c>
      <x:c r="K580" s="2"/>
      <x:c r="L580" s="2"/>
      <x:c r="M580" s="2"/>
      <x:c r="N580" s="2"/>
      <x:c r="O580" s="2"/>
      <x:c r="P580" s="2"/>
      <x:c r="Q580" s="2"/>
    </x:row>
    <x:row r="581" ht="22" customHeight="1">
      <x:c r="A581" s="2" t="str">
        <x:v>T4-L05-S2</x:v>
      </x:c>
      <x:c r="B581" s="2" t="str">
        <x:v>T4</x:v>
      </x:c>
      <x:c r="C581" s="2" t="str">
        <x:v>L05</x:v>
      </x:c>
      <x:c r="D581" s="2" t="str">
        <x:v>Slab X split at core</x:v>
      </x:c>
      <x:c r="E581" s="21" t="n">
        <x:v>12</x:v>
      </x:c>
      <x:c r="F581" s="21" t="n">
        <x:v>60</x:v>
      </x:c>
      <x:c r="G581" s="21" t="n">
        <x:v>25.95</x:v>
      </x:c>
      <x:c r="H581" s="21" t="n">
        <x:f>E581^2*'Controls'!$B$52</x:f>
        <x:v>0.8877600000000001</x:v>
      </x:c>
      <x:c r="I581" s="21" t="n">
        <x:f>F581*G581*H581</x:f>
        <x:v>1382.24232</x:v>
      </x:c>
      <x:c r="J581" s="2" t="str">
        <x:v>2 layers x 30 bars, split lengths combined around 4 m opening</x:v>
      </x:c>
      <x:c r="K581" s="2"/>
      <x:c r="L581" s="2"/>
      <x:c r="M581" s="2"/>
      <x:c r="N581" s="2"/>
      <x:c r="O581" s="2"/>
      <x:c r="P581" s="2"/>
      <x:c r="Q581" s="2"/>
    </x:row>
    <x:row r="582" ht="22" customHeight="1">
      <x:c r="A582" s="7" t="str">
        <x:v>T4-L05-S3</x:v>
      </x:c>
      <x:c r="B582" s="7" t="str">
        <x:v>T4</x:v>
      </x:c>
      <x:c r="C582" s="7" t="str">
        <x:v>L05</x:v>
      </x:c>
      <x:c r="D582" s="7" t="str">
        <x:v>Slab Y through strips</x:v>
      </x:c>
      <x:c r="E582" s="20" t="n">
        <x:v>12</x:v>
      </x:c>
      <x:c r="F582" s="20" t="n">
        <x:v>262</x:v>
      </x:c>
      <x:c r="G582" s="20" t="n">
        <x:v>23.95</x:v>
      </x:c>
      <x:c r="H582" s="20" t="n">
        <x:f>E582^2*'Controls'!$B$52</x:f>
        <x:v>0.8877600000000001</x:v>
      </x:c>
      <x:c r="I582" s="20" t="n">
        <x:f>F582*G582*H582</x:f>
        <x:v>5570.605224</x:v>
      </x:c>
      <x:c r="J582" s="7" t="str">
        <x:v>2 layers x 131 bars outside central opening band</x:v>
      </x:c>
      <x:c r="K582" s="2"/>
      <x:c r="L582" s="2"/>
      <x:c r="M582" s="2"/>
      <x:c r="N582" s="2"/>
      <x:c r="O582" s="2"/>
      <x:c r="P582" s="2"/>
      <x:c r="Q582" s="2"/>
    </x:row>
    <x:row r="583" ht="22" customHeight="1">
      <x:c r="A583" s="2" t="str">
        <x:v>T4-L05-S4</x:v>
      </x:c>
      <x:c r="B583" s="2" t="str">
        <x:v>T4</x:v>
      </x:c>
      <x:c r="C583" s="2" t="str">
        <x:v>L05</x:v>
      </x:c>
      <x:c r="D583" s="2" t="str">
        <x:v>Slab Y split at core</x:v>
      </x:c>
      <x:c r="E583" s="21" t="n">
        <x:v>12</x:v>
      </x:c>
      <x:c r="F583" s="21" t="n">
        <x:v>40</x:v>
      </x:c>
      <x:c r="G583" s="21" t="n">
        <x:v>17.95</x:v>
      </x:c>
      <x:c r="H583" s="21" t="n">
        <x:f>E583^2*'Controls'!$B$52</x:f>
        <x:v>0.8877600000000001</x:v>
      </x:c>
      <x:c r="I583" s="21" t="n">
        <x:f>F583*G583*H583</x:f>
        <x:v>637.41168</x:v>
      </x:c>
      <x:c r="J583" s="2" t="str">
        <x:v>2 layers x 20 bars, split around 6 m opening</x:v>
      </x:c>
      <x:c r="K583" s="2"/>
      <x:c r="L583" s="2"/>
      <x:c r="M583" s="2"/>
      <x:c r="N583" s="2"/>
      <x:c r="O583" s="2"/>
      <x:c r="P583" s="2"/>
      <x:c r="Q583" s="2"/>
    </x:row>
    <x:row r="584" ht="22" customHeight="1">
      <x:c r="A584" s="7" t="str">
        <x:v>T4-L05-S5</x:v>
      </x:c>
      <x:c r="B584" s="7" t="str">
        <x:v>T4</x:v>
      </x:c>
      <x:c r="C584" s="7" t="str">
        <x:v>L05</x:v>
      </x:c>
      <x:c r="D584" s="7" t="str">
        <x:v>Opening trim bars</x:v>
      </x:c>
      <x:c r="E584" s="20" t="n">
        <x:v>16</x:v>
      </x:c>
      <x:c r="F584" s="20" t="n">
        <x:v>16</x:v>
      </x:c>
      <x:c r="G584" s="20" t="n">
        <x:v>7.2</x:v>
      </x:c>
      <x:c r="H584" s="20" t="n">
        <x:f>E584^2*'Controls'!$B$52</x:f>
        <x:v>1.57824</x:v>
      </x:c>
      <x:c r="I584" s="20" t="n">
        <x:f>F584*G584*H584</x:f>
        <x:v>181.81324800000002</x:v>
      </x:c>
      <x:c r="J584" s="7" t="str">
        <x:v>Trim allowance, explicit scheduled lengths</x:v>
      </x:c>
      <x:c r="K584" s="2"/>
      <x:c r="L584" s="2"/>
      <x:c r="M584" s="2"/>
      <x:c r="N584" s="2"/>
      <x:c r="O584" s="2"/>
      <x:c r="P584" s="2"/>
      <x:c r="Q584" s="2"/>
    </x:row>
    <x:row r="585" ht="22" customHeight="1">
      <x:c r="A585" s="2" t="str">
        <x:v>T4-L05-BX</x:v>
      </x:c>
      <x:c r="B585" s="2" t="str">
        <x:v>T4</x:v>
      </x:c>
      <x:c r="C585" s="2" t="str">
        <x:v>L05</x:v>
      </x:c>
      <x:c r="D585" s="2" t="str">
        <x:v>X beam longitudinal</x:v>
      </x:c>
      <x:c r="E585" s="21" t="n">
        <x:v>20</x:v>
      </x:c>
      <x:c r="F585" s="21" t="n">
        <x:v>150</x:v>
      </x:c>
      <x:c r="G585" s="21" t="n">
        <x:v>6.5</x:v>
      </x:c>
      <x:c r="H585" s="21" t="n">
        <x:f>E585^2*'Controls'!$B$52</x:f>
        <x:v>2.466</x:v>
      </x:c>
      <x:c r="I585" s="21" t="n">
        <x:f>F585*G585*H585</x:f>
        <x:v>2404.3500000000004</x:v>
      </x:c>
      <x:c r="J585" s="2" t="str">
        <x:v>25 spans x 6 bars incl. 1 m lap/anchorage provision</x:v>
      </x:c>
      <x:c r="K585" s="2"/>
      <x:c r="L585" s="2"/>
      <x:c r="M585" s="2"/>
      <x:c r="N585" s="2"/>
      <x:c r="O585" s="2"/>
      <x:c r="P585" s="2"/>
      <x:c r="Q585" s="2"/>
    </x:row>
    <x:row r="586" ht="22" customHeight="1">
      <x:c r="A586" s="7" t="str">
        <x:v>T4-L05-BY</x:v>
      </x:c>
      <x:c r="B586" s="7" t="str">
        <x:v>T4</x:v>
      </x:c>
      <x:c r="C586" s="7" t="str">
        <x:v>L05</x:v>
      </x:c>
      <x:c r="D586" s="7" t="str">
        <x:v>Y beam longitudinal</x:v>
      </x:c>
      <x:c r="E586" s="20" t="n">
        <x:v>20</x:v>
      </x:c>
      <x:c r="F586" s="20" t="n">
        <x:v>144</x:v>
      </x:c>
      <x:c r="G586" s="20" t="n">
        <x:v>6.5</x:v>
      </x:c>
      <x:c r="H586" s="20" t="n">
        <x:f>E586^2*'Controls'!$B$52</x:f>
        <x:v>2.466</x:v>
      </x:c>
      <x:c r="I586" s="20" t="n">
        <x:f>F586*G586*H586</x:f>
        <x:v>2308.1760000000004</x:v>
      </x:c>
      <x:c r="J586" s="7" t="str">
        <x:v>24 spans x 6 bars</x:v>
      </x:c>
      <x:c r="K586" s="2"/>
      <x:c r="L586" s="2"/>
      <x:c r="M586" s="2"/>
      <x:c r="N586" s="2"/>
      <x:c r="O586" s="2"/>
      <x:c r="P586" s="2"/>
      <x:c r="Q586" s="2"/>
    </x:row>
    <x:row r="587" ht="22" customHeight="1">
      <x:c r="A587" s="2" t="str">
        <x:v>T4-L05-BT</x:v>
      </x:c>
      <x:c r="B587" s="2" t="str">
        <x:v>T4</x:v>
      </x:c>
      <x:c r="C587" s="2" t="str">
        <x:v>L05</x:v>
      </x:c>
      <x:c r="D587" s="2" t="str">
        <x:v>Beam closed links</x:v>
      </x:c>
      <x:c r="E587" s="21" t="n">
        <x:v>10</x:v>
      </x:c>
      <x:c r="F587" s="21" t="n">
        <x:v>1421</x:v>
      </x:c>
      <x:c r="G587" s="21" t="n">
        <x:v>1.7</x:v>
      </x:c>
      <x:c r="H587" s="21" t="n">
        <x:f>E587^2*'Controls'!$B$52</x:f>
        <x:v>0.6165</x:v>
      </x:c>
      <x:c r="I587" s="21" t="n">
        <x:f>F587*G587*H587</x:f>
        <x:v>1489.27905</x:v>
      </x:c>
      <x:c r="J587" s="2" t="str">
        <x:v>49 beams x 29 links, 200 mm nominal</x:v>
      </x:c>
      <x:c r="K587" s="2"/>
      <x:c r="L587" s="2"/>
      <x:c r="M587" s="2"/>
      <x:c r="N587" s="2"/>
      <x:c r="O587" s="2"/>
      <x:c r="P587" s="2"/>
      <x:c r="Q587" s="2"/>
    </x:row>
    <x:row r="588" ht="22" customHeight="1">
      <x:c r="A588" s="7" t="str">
        <x:v>T4-L05-CL</x:v>
      </x:c>
      <x:c r="B588" s="7" t="str">
        <x:v>T4</x:v>
      </x:c>
      <x:c r="C588" s="7" t="str">
        <x:v>L05</x:v>
      </x:c>
      <x:c r="D588" s="7" t="str">
        <x:v>Column longitudinal</x:v>
      </x:c>
      <x:c r="E588" s="20" t="n">
        <x:v>25</x:v>
      </x:c>
      <x:c r="F588" s="20" t="n">
        <x:v>360</x:v>
      </x:c>
      <x:c r="G588" s="20" t="n">
        <x:v>3.9</x:v>
      </x:c>
      <x:c r="H588" s="20" t="n">
        <x:f>E588^2*'Controls'!$B$52</x:f>
        <x:v>3.8531250000000004</x:v>
      </x:c>
      <x:c r="I588" s="20" t="n">
        <x:f>F588*G588*H588</x:f>
        <x:v>5409.7875</x:v>
      </x:c>
      <x:c r="J588" s="7" t="str">
        <x:v>30 columns x 12 bars incl. lap</x:v>
      </x:c>
      <x:c r="K588" s="2"/>
      <x:c r="L588" s="2"/>
      <x:c r="M588" s="2"/>
      <x:c r="N588" s="2"/>
      <x:c r="O588" s="2"/>
      <x:c r="P588" s="2"/>
      <x:c r="Q588" s="2"/>
    </x:row>
    <x:row r="589" ht="22" customHeight="1">
      <x:c r="A589" s="2" t="str">
        <x:v>T4-L05-CT</x:v>
      </x:c>
      <x:c r="B589" s="2" t="str">
        <x:v>T4</x:v>
      </x:c>
      <x:c r="C589" s="2" t="str">
        <x:v>L05</x:v>
      </x:c>
      <x:c r="D589" s="2" t="str">
        <x:v>Column ties</x:v>
      </x:c>
      <x:c r="E589" s="21" t="n">
        <x:v>10</x:v>
      </x:c>
      <x:c r="F589" s="21" t="n">
        <x:v>510</x:v>
      </x:c>
      <x:c r="G589" s="21" t="n">
        <x:v>1.96</x:v>
      </x:c>
      <x:c r="H589" s="21" t="n">
        <x:f>E589^2*'Controls'!$B$52</x:f>
        <x:v>0.6165</x:v>
      </x:c>
      <x:c r="I589" s="21" t="n">
        <x:f>F589*G589*H589</x:f>
        <x:v>616.2534</x:v>
      </x:c>
      <x:c r="J589" s="2" t="str">
        <x:v>30 columns x 17 ties, cover and hooks included</x:v>
      </x:c>
      <x:c r="K589" s="2"/>
      <x:c r="L589" s="2"/>
      <x:c r="M589" s="2"/>
      <x:c r="N589" s="2"/>
      <x:c r="O589" s="2"/>
      <x:c r="P589" s="2"/>
      <x:c r="Q589" s="2"/>
    </x:row>
    <x:row r="590" ht="22" customHeight="1">
      <x:c r="A590" s="7" t="str">
        <x:v>T4-L05-CV</x:v>
      </x:c>
      <x:c r="B590" s="7" t="str">
        <x:v>T4</x:v>
      </x:c>
      <x:c r="C590" s="7" t="str">
        <x:v>L05</x:v>
      </x:c>
      <x:c r="D590" s="7" t="str">
        <x:v>Core vertical bars</x:v>
      </x:c>
      <x:c r="E590" s="20" t="n">
        <x:v>16</x:v>
      </x:c>
      <x:c r="F590" s="20" t="n">
        <x:v>244</x:v>
      </x:c>
      <x:c r="G590" s="20" t="n">
        <x:v>3.9</x:v>
      </x:c>
      <x:c r="H590" s="20" t="n">
        <x:f>E590^2*'Controls'!$B$52</x:f>
        <x:v>1.57824</x:v>
      </x:c>
      <x:c r="I590" s="20" t="n">
        <x:f>F590*G590*H590</x:f>
        <x:v>1501.853184</x:v>
      </x:c>
      <x:c r="J590" s="7" t="str">
        <x:v>Two faces, 200 mm nominal along 24 m net length</x:v>
      </x:c>
      <x:c r="K590" s="2"/>
      <x:c r="L590" s="2"/>
      <x:c r="M590" s="2"/>
      <x:c r="N590" s="2"/>
      <x:c r="O590" s="2"/>
      <x:c r="P590" s="2"/>
      <x:c r="Q590" s="2"/>
    </x:row>
    <x:row r="591" ht="22" customHeight="1">
      <x:c r="A591" s="2" t="str">
        <x:v>T4-L05-CH</x:v>
      </x:c>
      <x:c r="B591" s="2" t="str">
        <x:v>T4</x:v>
      </x:c>
      <x:c r="C591" s="2" t="str">
        <x:v>L05</x:v>
      </x:c>
      <x:c r="D591" s="2" t="str">
        <x:v>Core horizontal bars</x:v>
      </x:c>
      <x:c r="E591" s="21" t="n">
        <x:v>12</x:v>
      </x:c>
      <x:c r="F591" s="21" t="n">
        <x:v>32</x:v>
      </x:c>
      <x:c r="G591" s="21" t="n">
        <x:v>25</x:v>
      </x:c>
      <x:c r="H591" s="21" t="n">
        <x:f>E591^2*'Controls'!$B$52</x:f>
        <x:v>0.8877600000000001</x:v>
      </x:c>
      <x:c r="I591" s="21" t="n">
        <x:f>F591*G591*H591</x:f>
        <x:v>710.2080000000001</x:v>
      </x:c>
      <x:c r="J591" s="2" t="str">
        <x:v>Two faces x 16 layers incl. lap</x:v>
      </x:c>
      <x:c r="K591" s="2"/>
      <x:c r="L591" s="2"/>
      <x:c r="M591" s="2"/>
      <x:c r="N591" s="2"/>
      <x:c r="O591" s="2"/>
      <x:c r="P591" s="2"/>
      <x:c r="Q591" s="2"/>
    </x:row>
    <x:row r="592" ht="22" customHeight="1">
      <x:c r="A592" s="7" t="str">
        <x:v>T4-L05-ST</x:v>
      </x:c>
      <x:c r="B592" s="7" t="str">
        <x:v>T4</x:v>
      </x:c>
      <x:c r="C592" s="7" t="str">
        <x:v>L05</x:v>
      </x:c>
      <x:c r="D592" s="7" t="str">
        <x:v>Stair flights and landings</x:v>
      </x:c>
      <x:c r="E592" s="20" t="n">
        <x:v>12</x:v>
      </x:c>
      <x:c r="F592" s="20" t="n">
        <x:v>80</x:v>
      </x:c>
      <x:c r="G592" s="20" t="n">
        <x:v>4.8</x:v>
      </x:c>
      <x:c r="H592" s="20" t="n">
        <x:f>E592^2*'Controls'!$B$52</x:f>
        <x:v>0.8877600000000001</x:v>
      </x:c>
      <x:c r="I592" s="20" t="n">
        <x:f>F592*G592*H592</x:f>
        <x:v>340.89984000000004</x:v>
      </x:c>
      <x:c r="J592" s="7" t="str">
        <x:v>Separate stair reinforcement allowance</x:v>
      </x:c>
      <x:c r="K592" s="2"/>
      <x:c r="L592" s="2"/>
      <x:c r="M592" s="2"/>
      <x:c r="N592" s="2"/>
      <x:c r="O592" s="2"/>
      <x:c r="P592" s="2"/>
      <x:c r="Q592" s="2"/>
    </x:row>
    <x:row r="593" ht="22" customHeight="1">
      <x:c r="A593" s="2" t="str">
        <x:v>T4-L06-S1</x:v>
      </x:c>
      <x:c r="B593" s="2" t="str">
        <x:v>T4</x:v>
      </x:c>
      <x:c r="C593" s="2" t="str">
        <x:v>L06</x:v>
      </x:c>
      <x:c r="D593" s="2" t="str">
        <x:v>Slab X through strips</x:v>
      </x:c>
      <x:c r="E593" s="21" t="n">
        <x:v>12</x:v>
      </x:c>
      <x:c r="F593" s="21" t="n">
        <x:v>182</x:v>
      </x:c>
      <x:c r="G593" s="21" t="n">
        <x:v>29.95</x:v>
      </x:c>
      <x:c r="H593" s="21" t="n">
        <x:f>E593^2*'Controls'!$B$52</x:f>
        <x:v>0.8877600000000001</x:v>
      </x:c>
      <x:c r="I593" s="21" t="n">
        <x:f>F593*G593*H593</x:f>
        <x:v>4839.090984</x:v>
      </x:c>
      <x:c r="J593" s="2" t="str">
        <x:v>2 layers x 91 bars outside central opening band</x:v>
      </x:c>
      <x:c r="K593" s="2"/>
      <x:c r="L593" s="2"/>
      <x:c r="M593" s="2"/>
      <x:c r="N593" s="2"/>
      <x:c r="O593" s="2"/>
      <x:c r="P593" s="2"/>
      <x:c r="Q593" s="2"/>
    </x:row>
    <x:row r="594" ht="22" customHeight="1">
      <x:c r="A594" s="7" t="str">
        <x:v>T4-L06-S2</x:v>
      </x:c>
      <x:c r="B594" s="7" t="str">
        <x:v>T4</x:v>
      </x:c>
      <x:c r="C594" s="7" t="str">
        <x:v>L06</x:v>
      </x:c>
      <x:c r="D594" s="7" t="str">
        <x:v>Slab X split at core</x:v>
      </x:c>
      <x:c r="E594" s="20" t="n">
        <x:v>12</x:v>
      </x:c>
      <x:c r="F594" s="20" t="n">
        <x:v>60</x:v>
      </x:c>
      <x:c r="G594" s="20" t="n">
        <x:v>25.95</x:v>
      </x:c>
      <x:c r="H594" s="20" t="n">
        <x:f>E594^2*'Controls'!$B$52</x:f>
        <x:v>0.8877600000000001</x:v>
      </x:c>
      <x:c r="I594" s="20" t="n">
        <x:f>F594*G594*H594</x:f>
        <x:v>1382.24232</x:v>
      </x:c>
      <x:c r="J594" s="7" t="str">
        <x:v>2 layers x 30 bars, split lengths combined around 4 m opening</x:v>
      </x:c>
      <x:c r="K594" s="2"/>
      <x:c r="L594" s="2"/>
      <x:c r="M594" s="2"/>
      <x:c r="N594" s="2"/>
      <x:c r="O594" s="2"/>
      <x:c r="P594" s="2"/>
      <x:c r="Q594" s="2"/>
    </x:row>
    <x:row r="595" ht="22" customHeight="1">
      <x:c r="A595" s="2" t="str">
        <x:v>T4-L06-S3</x:v>
      </x:c>
      <x:c r="B595" s="2" t="str">
        <x:v>T4</x:v>
      </x:c>
      <x:c r="C595" s="2" t="str">
        <x:v>L06</x:v>
      </x:c>
      <x:c r="D595" s="2" t="str">
        <x:v>Slab Y through strips</x:v>
      </x:c>
      <x:c r="E595" s="21" t="n">
        <x:v>12</x:v>
      </x:c>
      <x:c r="F595" s="21" t="n">
        <x:v>262</x:v>
      </x:c>
      <x:c r="G595" s="21" t="n">
        <x:v>23.95</x:v>
      </x:c>
      <x:c r="H595" s="21" t="n">
        <x:f>E595^2*'Controls'!$B$52</x:f>
        <x:v>0.8877600000000001</x:v>
      </x:c>
      <x:c r="I595" s="21" t="n">
        <x:f>F595*G595*H595</x:f>
        <x:v>5570.605224</x:v>
      </x:c>
      <x:c r="J595" s="2" t="str">
        <x:v>2 layers x 131 bars outside central opening band</x:v>
      </x:c>
      <x:c r="K595" s="2"/>
      <x:c r="L595" s="2"/>
      <x:c r="M595" s="2"/>
      <x:c r="N595" s="2"/>
      <x:c r="O595" s="2"/>
      <x:c r="P595" s="2"/>
      <x:c r="Q595" s="2"/>
    </x:row>
    <x:row r="596" ht="22" customHeight="1">
      <x:c r="A596" s="7" t="str">
        <x:v>T4-L06-S4</x:v>
      </x:c>
      <x:c r="B596" s="7" t="str">
        <x:v>T4</x:v>
      </x:c>
      <x:c r="C596" s="7" t="str">
        <x:v>L06</x:v>
      </x:c>
      <x:c r="D596" s="7" t="str">
        <x:v>Slab Y split at core</x:v>
      </x:c>
      <x:c r="E596" s="20" t="n">
        <x:v>12</x:v>
      </x:c>
      <x:c r="F596" s="20" t="n">
        <x:v>40</x:v>
      </x:c>
      <x:c r="G596" s="20" t="n">
        <x:v>17.95</x:v>
      </x:c>
      <x:c r="H596" s="20" t="n">
        <x:f>E596^2*'Controls'!$B$52</x:f>
        <x:v>0.8877600000000001</x:v>
      </x:c>
      <x:c r="I596" s="20" t="n">
        <x:f>F596*G596*H596</x:f>
        <x:v>637.41168</x:v>
      </x:c>
      <x:c r="J596" s="7" t="str">
        <x:v>2 layers x 20 bars, split around 6 m opening</x:v>
      </x:c>
      <x:c r="K596" s="2"/>
      <x:c r="L596" s="2"/>
      <x:c r="M596" s="2"/>
      <x:c r="N596" s="2"/>
      <x:c r="O596" s="2"/>
      <x:c r="P596" s="2"/>
      <x:c r="Q596" s="2"/>
    </x:row>
    <x:row r="597" ht="22" customHeight="1">
      <x:c r="A597" s="2" t="str">
        <x:v>T4-L06-S5</x:v>
      </x:c>
      <x:c r="B597" s="2" t="str">
        <x:v>T4</x:v>
      </x:c>
      <x:c r="C597" s="2" t="str">
        <x:v>L06</x:v>
      </x:c>
      <x:c r="D597" s="2" t="str">
        <x:v>Opening trim bars</x:v>
      </x:c>
      <x:c r="E597" s="21" t="n">
        <x:v>16</x:v>
      </x:c>
      <x:c r="F597" s="21" t="n">
        <x:v>16</x:v>
      </x:c>
      <x:c r="G597" s="21" t="n">
        <x:v>7.2</x:v>
      </x:c>
      <x:c r="H597" s="21" t="n">
        <x:f>E597^2*'Controls'!$B$52</x:f>
        <x:v>1.57824</x:v>
      </x:c>
      <x:c r="I597" s="21" t="n">
        <x:f>F597*G597*H597</x:f>
        <x:v>181.81324800000002</x:v>
      </x:c>
      <x:c r="J597" s="2" t="str">
        <x:v>Trim allowance, explicit scheduled lengths</x:v>
      </x:c>
      <x:c r="K597" s="2"/>
      <x:c r="L597" s="2"/>
      <x:c r="M597" s="2"/>
      <x:c r="N597" s="2"/>
      <x:c r="O597" s="2"/>
      <x:c r="P597" s="2"/>
      <x:c r="Q597" s="2"/>
    </x:row>
    <x:row r="598" ht="22" customHeight="1">
      <x:c r="A598" s="7" t="str">
        <x:v>T4-L06-BX</x:v>
      </x:c>
      <x:c r="B598" s="7" t="str">
        <x:v>T4</x:v>
      </x:c>
      <x:c r="C598" s="7" t="str">
        <x:v>L06</x:v>
      </x:c>
      <x:c r="D598" s="7" t="str">
        <x:v>X beam longitudinal</x:v>
      </x:c>
      <x:c r="E598" s="20" t="n">
        <x:v>20</x:v>
      </x:c>
      <x:c r="F598" s="20" t="n">
        <x:v>150</x:v>
      </x:c>
      <x:c r="G598" s="20" t="n">
        <x:v>6.5</x:v>
      </x:c>
      <x:c r="H598" s="20" t="n">
        <x:f>E598^2*'Controls'!$B$52</x:f>
        <x:v>2.466</x:v>
      </x:c>
      <x:c r="I598" s="20" t="n">
        <x:f>F598*G598*H598</x:f>
        <x:v>2404.3500000000004</x:v>
      </x:c>
      <x:c r="J598" s="7" t="str">
        <x:v>25 spans x 6 bars incl. 1 m lap/anchorage provision</x:v>
      </x:c>
      <x:c r="K598" s="2"/>
      <x:c r="L598" s="2"/>
      <x:c r="M598" s="2"/>
      <x:c r="N598" s="2"/>
      <x:c r="O598" s="2"/>
      <x:c r="P598" s="2"/>
      <x:c r="Q598" s="2"/>
    </x:row>
    <x:row r="599" ht="22" customHeight="1">
      <x:c r="A599" s="2" t="str">
        <x:v>T4-L06-BY</x:v>
      </x:c>
      <x:c r="B599" s="2" t="str">
        <x:v>T4</x:v>
      </x:c>
      <x:c r="C599" s="2" t="str">
        <x:v>L06</x:v>
      </x:c>
      <x:c r="D599" s="2" t="str">
        <x:v>Y beam longitudinal</x:v>
      </x:c>
      <x:c r="E599" s="21" t="n">
        <x:v>20</x:v>
      </x:c>
      <x:c r="F599" s="21" t="n">
        <x:v>144</x:v>
      </x:c>
      <x:c r="G599" s="21" t="n">
        <x:v>6.5</x:v>
      </x:c>
      <x:c r="H599" s="21" t="n">
        <x:f>E599^2*'Controls'!$B$52</x:f>
        <x:v>2.466</x:v>
      </x:c>
      <x:c r="I599" s="21" t="n">
        <x:f>F599*G599*H599</x:f>
        <x:v>2308.1760000000004</x:v>
      </x:c>
      <x:c r="J599" s="2" t="str">
        <x:v>24 spans x 6 bars</x:v>
      </x:c>
      <x:c r="K599" s="2"/>
      <x:c r="L599" s="2"/>
      <x:c r="M599" s="2"/>
      <x:c r="N599" s="2"/>
      <x:c r="O599" s="2"/>
      <x:c r="P599" s="2"/>
      <x:c r="Q599" s="2"/>
    </x:row>
    <x:row r="600" ht="22" customHeight="1">
      <x:c r="A600" s="7" t="str">
        <x:v>T4-L06-BT</x:v>
      </x:c>
      <x:c r="B600" s="7" t="str">
        <x:v>T4</x:v>
      </x:c>
      <x:c r="C600" s="7" t="str">
        <x:v>L06</x:v>
      </x:c>
      <x:c r="D600" s="7" t="str">
        <x:v>Beam closed links</x:v>
      </x:c>
      <x:c r="E600" s="20" t="n">
        <x:v>10</x:v>
      </x:c>
      <x:c r="F600" s="20" t="n">
        <x:v>1421</x:v>
      </x:c>
      <x:c r="G600" s="20" t="n">
        <x:v>1.7</x:v>
      </x:c>
      <x:c r="H600" s="20" t="n">
        <x:f>E600^2*'Controls'!$B$52</x:f>
        <x:v>0.6165</x:v>
      </x:c>
      <x:c r="I600" s="20" t="n">
        <x:f>F600*G600*H600</x:f>
        <x:v>1489.27905</x:v>
      </x:c>
      <x:c r="J600" s="7" t="str">
        <x:v>49 beams x 29 links, 200 mm nominal</x:v>
      </x:c>
      <x:c r="K600" s="2"/>
      <x:c r="L600" s="2"/>
      <x:c r="M600" s="2"/>
      <x:c r="N600" s="2"/>
      <x:c r="O600" s="2"/>
      <x:c r="P600" s="2"/>
      <x:c r="Q600" s="2"/>
    </x:row>
    <x:row r="601" ht="22" customHeight="1">
      <x:c r="A601" s="2" t="str">
        <x:v>T4-L06-CL</x:v>
      </x:c>
      <x:c r="B601" s="2" t="str">
        <x:v>T4</x:v>
      </x:c>
      <x:c r="C601" s="2" t="str">
        <x:v>L06</x:v>
      </x:c>
      <x:c r="D601" s="2" t="str">
        <x:v>Column longitudinal</x:v>
      </x:c>
      <x:c r="E601" s="21" t="n">
        <x:v>25</x:v>
      </x:c>
      <x:c r="F601" s="21" t="n">
        <x:v>360</x:v>
      </x:c>
      <x:c r="G601" s="21" t="n">
        <x:v>3.9</x:v>
      </x:c>
      <x:c r="H601" s="21" t="n">
        <x:f>E601^2*'Controls'!$B$52</x:f>
        <x:v>3.8531250000000004</x:v>
      </x:c>
      <x:c r="I601" s="21" t="n">
        <x:f>F601*G601*H601</x:f>
        <x:v>5409.7875</x:v>
      </x:c>
      <x:c r="J601" s="2" t="str">
        <x:v>30 columns x 12 bars incl. lap</x:v>
      </x:c>
      <x:c r="K601" s="2"/>
      <x:c r="L601" s="2"/>
      <x:c r="M601" s="2"/>
      <x:c r="N601" s="2"/>
      <x:c r="O601" s="2"/>
      <x:c r="P601" s="2"/>
      <x:c r="Q601" s="2"/>
    </x:row>
    <x:row r="602" ht="22" customHeight="1">
      <x:c r="A602" s="7" t="str">
        <x:v>T4-L06-CT</x:v>
      </x:c>
      <x:c r="B602" s="7" t="str">
        <x:v>T4</x:v>
      </x:c>
      <x:c r="C602" s="7" t="str">
        <x:v>L06</x:v>
      </x:c>
      <x:c r="D602" s="7" t="str">
        <x:v>Column ties</x:v>
      </x:c>
      <x:c r="E602" s="20" t="n">
        <x:v>10</x:v>
      </x:c>
      <x:c r="F602" s="20" t="n">
        <x:v>510</x:v>
      </x:c>
      <x:c r="G602" s="20" t="n">
        <x:v>1.96</x:v>
      </x:c>
      <x:c r="H602" s="20" t="n">
        <x:f>E602^2*'Controls'!$B$52</x:f>
        <x:v>0.6165</x:v>
      </x:c>
      <x:c r="I602" s="20" t="n">
        <x:f>F602*G602*H602</x:f>
        <x:v>616.2534</x:v>
      </x:c>
      <x:c r="J602" s="7" t="str">
        <x:v>30 columns x 17 ties, cover and hooks included</x:v>
      </x:c>
      <x:c r="K602" s="2"/>
      <x:c r="L602" s="2"/>
      <x:c r="M602" s="2"/>
      <x:c r="N602" s="2"/>
      <x:c r="O602" s="2"/>
      <x:c r="P602" s="2"/>
      <x:c r="Q602" s="2"/>
    </x:row>
    <x:row r="603" ht="22" customHeight="1">
      <x:c r="A603" s="2" t="str">
        <x:v>T4-L06-CV</x:v>
      </x:c>
      <x:c r="B603" s="2" t="str">
        <x:v>T4</x:v>
      </x:c>
      <x:c r="C603" s="2" t="str">
        <x:v>L06</x:v>
      </x:c>
      <x:c r="D603" s="2" t="str">
        <x:v>Core vertical bars</x:v>
      </x:c>
      <x:c r="E603" s="21" t="n">
        <x:v>16</x:v>
      </x:c>
      <x:c r="F603" s="21" t="n">
        <x:v>244</x:v>
      </x:c>
      <x:c r="G603" s="21" t="n">
        <x:v>3.9</x:v>
      </x:c>
      <x:c r="H603" s="21" t="n">
        <x:f>E603^2*'Controls'!$B$52</x:f>
        <x:v>1.57824</x:v>
      </x:c>
      <x:c r="I603" s="21" t="n">
        <x:f>F603*G603*H603</x:f>
        <x:v>1501.853184</x:v>
      </x:c>
      <x:c r="J603" s="2" t="str">
        <x:v>Two faces, 200 mm nominal along 24 m net length</x:v>
      </x:c>
      <x:c r="K603" s="2"/>
      <x:c r="L603" s="2"/>
      <x:c r="M603" s="2"/>
      <x:c r="N603" s="2"/>
      <x:c r="O603" s="2"/>
      <x:c r="P603" s="2"/>
      <x:c r="Q603" s="2"/>
    </x:row>
    <x:row r="604" ht="22" customHeight="1">
      <x:c r="A604" s="7" t="str">
        <x:v>T4-L06-CH</x:v>
      </x:c>
      <x:c r="B604" s="7" t="str">
        <x:v>T4</x:v>
      </x:c>
      <x:c r="C604" s="7" t="str">
        <x:v>L06</x:v>
      </x:c>
      <x:c r="D604" s="7" t="str">
        <x:v>Core horizontal bars</x:v>
      </x:c>
      <x:c r="E604" s="20" t="n">
        <x:v>12</x:v>
      </x:c>
      <x:c r="F604" s="20" t="n">
        <x:v>32</x:v>
      </x:c>
      <x:c r="G604" s="20" t="n">
        <x:v>25</x:v>
      </x:c>
      <x:c r="H604" s="20" t="n">
        <x:f>E604^2*'Controls'!$B$52</x:f>
        <x:v>0.8877600000000001</x:v>
      </x:c>
      <x:c r="I604" s="20" t="n">
        <x:f>F604*G604*H604</x:f>
        <x:v>710.2080000000001</x:v>
      </x:c>
      <x:c r="J604" s="7" t="str">
        <x:v>Two faces x 16 layers incl. lap</x:v>
      </x:c>
      <x:c r="K604" s="2"/>
      <x:c r="L604" s="2"/>
      <x:c r="M604" s="2"/>
      <x:c r="N604" s="2"/>
      <x:c r="O604" s="2"/>
      <x:c r="P604" s="2"/>
      <x:c r="Q604" s="2"/>
    </x:row>
    <x:row r="605" ht="22" customHeight="1">
      <x:c r="A605" s="2" t="str">
        <x:v>T4-L06-ST</x:v>
      </x:c>
      <x:c r="B605" s="2" t="str">
        <x:v>T4</x:v>
      </x:c>
      <x:c r="C605" s="2" t="str">
        <x:v>L06</x:v>
      </x:c>
      <x:c r="D605" s="2" t="str">
        <x:v>Stair flights and landings</x:v>
      </x:c>
      <x:c r="E605" s="21" t="n">
        <x:v>12</x:v>
      </x:c>
      <x:c r="F605" s="21" t="n">
        <x:v>80</x:v>
      </x:c>
      <x:c r="G605" s="21" t="n">
        <x:v>4.8</x:v>
      </x:c>
      <x:c r="H605" s="21" t="n">
        <x:f>E605^2*'Controls'!$B$52</x:f>
        <x:v>0.8877600000000001</x:v>
      </x:c>
      <x:c r="I605" s="21" t="n">
        <x:f>F605*G605*H605</x:f>
        <x:v>340.89984000000004</x:v>
      </x:c>
      <x:c r="J605" s="2" t="str">
        <x:v>Separate stair reinforcement allowance</x:v>
      </x:c>
      <x:c r="K605" s="2"/>
      <x:c r="L605" s="2"/>
      <x:c r="M605" s="2"/>
      <x:c r="N605" s="2"/>
      <x:c r="O605" s="2"/>
      <x:c r="P605" s="2"/>
      <x:c r="Q605" s="2"/>
    </x:row>
    <x:row r="606" ht="22" customHeight="1">
      <x:c r="A606" s="7" t="str">
        <x:v>T4-L07-S1</x:v>
      </x:c>
      <x:c r="B606" s="7" t="str">
        <x:v>T4</x:v>
      </x:c>
      <x:c r="C606" s="7" t="str">
        <x:v>L07</x:v>
      </x:c>
      <x:c r="D606" s="7" t="str">
        <x:v>Slab X through strips</x:v>
      </x:c>
      <x:c r="E606" s="20" t="n">
        <x:v>12</x:v>
      </x:c>
      <x:c r="F606" s="20" t="n">
        <x:v>182</x:v>
      </x:c>
      <x:c r="G606" s="20" t="n">
        <x:v>29.95</x:v>
      </x:c>
      <x:c r="H606" s="20" t="n">
        <x:f>E606^2*'Controls'!$B$52</x:f>
        <x:v>0.8877600000000001</x:v>
      </x:c>
      <x:c r="I606" s="20" t="n">
        <x:f>F606*G606*H606</x:f>
        <x:v>4839.090984</x:v>
      </x:c>
      <x:c r="J606" s="7" t="str">
        <x:v>2 layers x 91 bars outside central opening band</x:v>
      </x:c>
      <x:c r="K606" s="2"/>
      <x:c r="L606" s="2"/>
      <x:c r="M606" s="2"/>
      <x:c r="N606" s="2"/>
      <x:c r="O606" s="2"/>
      <x:c r="P606" s="2"/>
      <x:c r="Q606" s="2"/>
    </x:row>
    <x:row r="607" ht="22" customHeight="1">
      <x:c r="A607" s="2" t="str">
        <x:v>T4-L07-S2</x:v>
      </x:c>
      <x:c r="B607" s="2" t="str">
        <x:v>T4</x:v>
      </x:c>
      <x:c r="C607" s="2" t="str">
        <x:v>L07</x:v>
      </x:c>
      <x:c r="D607" s="2" t="str">
        <x:v>Slab X split at core</x:v>
      </x:c>
      <x:c r="E607" s="21" t="n">
        <x:v>12</x:v>
      </x:c>
      <x:c r="F607" s="21" t="n">
        <x:v>60</x:v>
      </x:c>
      <x:c r="G607" s="21" t="n">
        <x:v>25.95</x:v>
      </x:c>
      <x:c r="H607" s="21" t="n">
        <x:f>E607^2*'Controls'!$B$52</x:f>
        <x:v>0.8877600000000001</x:v>
      </x:c>
      <x:c r="I607" s="21" t="n">
        <x:f>F607*G607*H607</x:f>
        <x:v>1382.24232</x:v>
      </x:c>
      <x:c r="J607" s="2" t="str">
        <x:v>2 layers x 30 bars, split lengths combined around 4 m opening</x:v>
      </x:c>
      <x:c r="K607" s="2"/>
      <x:c r="L607" s="2"/>
      <x:c r="M607" s="2"/>
      <x:c r="N607" s="2"/>
      <x:c r="O607" s="2"/>
      <x:c r="P607" s="2"/>
      <x:c r="Q607" s="2"/>
    </x:row>
    <x:row r="608" ht="22" customHeight="1">
      <x:c r="A608" s="7" t="str">
        <x:v>T4-L07-S3</x:v>
      </x:c>
      <x:c r="B608" s="7" t="str">
        <x:v>T4</x:v>
      </x:c>
      <x:c r="C608" s="7" t="str">
        <x:v>L07</x:v>
      </x:c>
      <x:c r="D608" s="7" t="str">
        <x:v>Slab Y through strips</x:v>
      </x:c>
      <x:c r="E608" s="20" t="n">
        <x:v>12</x:v>
      </x:c>
      <x:c r="F608" s="20" t="n">
        <x:v>262</x:v>
      </x:c>
      <x:c r="G608" s="20" t="n">
        <x:v>23.95</x:v>
      </x:c>
      <x:c r="H608" s="20" t="n">
        <x:f>E608^2*'Controls'!$B$52</x:f>
        <x:v>0.8877600000000001</x:v>
      </x:c>
      <x:c r="I608" s="20" t="n">
        <x:f>F608*G608*H608</x:f>
        <x:v>5570.605224</x:v>
      </x:c>
      <x:c r="J608" s="7" t="str">
        <x:v>2 layers x 131 bars outside central opening band</x:v>
      </x:c>
      <x:c r="K608" s="2"/>
      <x:c r="L608" s="2"/>
      <x:c r="M608" s="2"/>
      <x:c r="N608" s="2"/>
      <x:c r="O608" s="2"/>
      <x:c r="P608" s="2"/>
      <x:c r="Q608" s="2"/>
    </x:row>
    <x:row r="609" ht="22" customHeight="1">
      <x:c r="A609" s="2" t="str">
        <x:v>T4-L07-S4</x:v>
      </x:c>
      <x:c r="B609" s="2" t="str">
        <x:v>T4</x:v>
      </x:c>
      <x:c r="C609" s="2" t="str">
        <x:v>L07</x:v>
      </x:c>
      <x:c r="D609" s="2" t="str">
        <x:v>Slab Y split at core</x:v>
      </x:c>
      <x:c r="E609" s="21" t="n">
        <x:v>12</x:v>
      </x:c>
      <x:c r="F609" s="21" t="n">
        <x:v>40</x:v>
      </x:c>
      <x:c r="G609" s="21" t="n">
        <x:v>17.95</x:v>
      </x:c>
      <x:c r="H609" s="21" t="n">
        <x:f>E609^2*'Controls'!$B$52</x:f>
        <x:v>0.8877600000000001</x:v>
      </x:c>
      <x:c r="I609" s="21" t="n">
        <x:f>F609*G609*H609</x:f>
        <x:v>637.41168</x:v>
      </x:c>
      <x:c r="J609" s="2" t="str">
        <x:v>2 layers x 20 bars, split around 6 m opening</x:v>
      </x:c>
      <x:c r="K609" s="2"/>
      <x:c r="L609" s="2"/>
      <x:c r="M609" s="2"/>
      <x:c r="N609" s="2"/>
      <x:c r="O609" s="2"/>
      <x:c r="P609" s="2"/>
      <x:c r="Q609" s="2"/>
    </x:row>
    <x:row r="610" ht="22" customHeight="1">
      <x:c r="A610" s="7" t="str">
        <x:v>T4-L07-S5</x:v>
      </x:c>
      <x:c r="B610" s="7" t="str">
        <x:v>T4</x:v>
      </x:c>
      <x:c r="C610" s="7" t="str">
        <x:v>L07</x:v>
      </x:c>
      <x:c r="D610" s="7" t="str">
        <x:v>Opening trim bars</x:v>
      </x:c>
      <x:c r="E610" s="20" t="n">
        <x:v>16</x:v>
      </x:c>
      <x:c r="F610" s="20" t="n">
        <x:v>16</x:v>
      </x:c>
      <x:c r="G610" s="20" t="n">
        <x:v>7.2</x:v>
      </x:c>
      <x:c r="H610" s="20" t="n">
        <x:f>E610^2*'Controls'!$B$52</x:f>
        <x:v>1.57824</x:v>
      </x:c>
      <x:c r="I610" s="20" t="n">
        <x:f>F610*G610*H610</x:f>
        <x:v>181.81324800000002</x:v>
      </x:c>
      <x:c r="J610" s="7" t="str">
        <x:v>Trim allowance, explicit scheduled lengths</x:v>
      </x:c>
      <x:c r="K610" s="2"/>
      <x:c r="L610" s="2"/>
      <x:c r="M610" s="2"/>
      <x:c r="N610" s="2"/>
      <x:c r="O610" s="2"/>
      <x:c r="P610" s="2"/>
      <x:c r="Q610" s="2"/>
    </x:row>
    <x:row r="611" ht="22" customHeight="1">
      <x:c r="A611" s="2" t="str">
        <x:v>T4-L07-BX</x:v>
      </x:c>
      <x:c r="B611" s="2" t="str">
        <x:v>T4</x:v>
      </x:c>
      <x:c r="C611" s="2" t="str">
        <x:v>L07</x:v>
      </x:c>
      <x:c r="D611" s="2" t="str">
        <x:v>X beam longitudinal</x:v>
      </x:c>
      <x:c r="E611" s="21" t="n">
        <x:v>20</x:v>
      </x:c>
      <x:c r="F611" s="21" t="n">
        <x:v>150</x:v>
      </x:c>
      <x:c r="G611" s="21" t="n">
        <x:v>6.5</x:v>
      </x:c>
      <x:c r="H611" s="21" t="n">
        <x:f>E611^2*'Controls'!$B$52</x:f>
        <x:v>2.466</x:v>
      </x:c>
      <x:c r="I611" s="21" t="n">
        <x:f>F611*G611*H611</x:f>
        <x:v>2404.3500000000004</x:v>
      </x:c>
      <x:c r="J611" s="2" t="str">
        <x:v>25 spans x 6 bars incl. 1 m lap/anchorage provision</x:v>
      </x:c>
      <x:c r="K611" s="2"/>
      <x:c r="L611" s="2"/>
      <x:c r="M611" s="2"/>
      <x:c r="N611" s="2"/>
      <x:c r="O611" s="2"/>
      <x:c r="P611" s="2"/>
      <x:c r="Q611" s="2"/>
    </x:row>
    <x:row r="612" ht="22" customHeight="1">
      <x:c r="A612" s="7" t="str">
        <x:v>T4-L07-BY</x:v>
      </x:c>
      <x:c r="B612" s="7" t="str">
        <x:v>T4</x:v>
      </x:c>
      <x:c r="C612" s="7" t="str">
        <x:v>L07</x:v>
      </x:c>
      <x:c r="D612" s="7" t="str">
        <x:v>Y beam longitudinal</x:v>
      </x:c>
      <x:c r="E612" s="20" t="n">
        <x:v>20</x:v>
      </x:c>
      <x:c r="F612" s="20" t="n">
        <x:v>144</x:v>
      </x:c>
      <x:c r="G612" s="20" t="n">
        <x:v>6.5</x:v>
      </x:c>
      <x:c r="H612" s="20" t="n">
        <x:f>E612^2*'Controls'!$B$52</x:f>
        <x:v>2.466</x:v>
      </x:c>
      <x:c r="I612" s="20" t="n">
        <x:f>F612*G612*H612</x:f>
        <x:v>2308.1760000000004</x:v>
      </x:c>
      <x:c r="J612" s="7" t="str">
        <x:v>24 spans x 6 bars</x:v>
      </x:c>
      <x:c r="K612" s="2"/>
      <x:c r="L612" s="2"/>
      <x:c r="M612" s="2"/>
      <x:c r="N612" s="2"/>
      <x:c r="O612" s="2"/>
      <x:c r="P612" s="2"/>
      <x:c r="Q612" s="2"/>
    </x:row>
    <x:row r="613" ht="22" customHeight="1">
      <x:c r="A613" s="2" t="str">
        <x:v>T4-L07-BT</x:v>
      </x:c>
      <x:c r="B613" s="2" t="str">
        <x:v>T4</x:v>
      </x:c>
      <x:c r="C613" s="2" t="str">
        <x:v>L07</x:v>
      </x:c>
      <x:c r="D613" s="2" t="str">
        <x:v>Beam closed links</x:v>
      </x:c>
      <x:c r="E613" s="21" t="n">
        <x:v>10</x:v>
      </x:c>
      <x:c r="F613" s="21" t="n">
        <x:v>1421</x:v>
      </x:c>
      <x:c r="G613" s="21" t="n">
        <x:v>1.7</x:v>
      </x:c>
      <x:c r="H613" s="21" t="n">
        <x:f>E613^2*'Controls'!$B$52</x:f>
        <x:v>0.6165</x:v>
      </x:c>
      <x:c r="I613" s="21" t="n">
        <x:f>F613*G613*H613</x:f>
        <x:v>1489.27905</x:v>
      </x:c>
      <x:c r="J613" s="2" t="str">
        <x:v>49 beams x 29 links, 200 mm nominal</x:v>
      </x:c>
      <x:c r="K613" s="2"/>
      <x:c r="L613" s="2"/>
      <x:c r="M613" s="2"/>
      <x:c r="N613" s="2"/>
      <x:c r="O613" s="2"/>
      <x:c r="P613" s="2"/>
      <x:c r="Q613" s="2"/>
    </x:row>
    <x:row r="614" ht="22" customHeight="1">
      <x:c r="A614" s="7" t="str">
        <x:v>T4-L07-CL</x:v>
      </x:c>
      <x:c r="B614" s="7" t="str">
        <x:v>T4</x:v>
      </x:c>
      <x:c r="C614" s="7" t="str">
        <x:v>L07</x:v>
      </x:c>
      <x:c r="D614" s="7" t="str">
        <x:v>Column longitudinal</x:v>
      </x:c>
      <x:c r="E614" s="20" t="n">
        <x:v>25</x:v>
      </x:c>
      <x:c r="F614" s="20" t="n">
        <x:v>360</x:v>
      </x:c>
      <x:c r="G614" s="20" t="n">
        <x:v>3.9</x:v>
      </x:c>
      <x:c r="H614" s="20" t="n">
        <x:f>E614^2*'Controls'!$B$52</x:f>
        <x:v>3.8531250000000004</x:v>
      </x:c>
      <x:c r="I614" s="20" t="n">
        <x:f>F614*G614*H614</x:f>
        <x:v>5409.7875</x:v>
      </x:c>
      <x:c r="J614" s="7" t="str">
        <x:v>30 columns x 12 bars incl. lap</x:v>
      </x:c>
      <x:c r="K614" s="2"/>
      <x:c r="L614" s="2"/>
      <x:c r="M614" s="2"/>
      <x:c r="N614" s="2"/>
      <x:c r="O614" s="2"/>
      <x:c r="P614" s="2"/>
      <x:c r="Q614" s="2"/>
    </x:row>
    <x:row r="615" ht="22" customHeight="1">
      <x:c r="A615" s="2" t="str">
        <x:v>T4-L07-CT</x:v>
      </x:c>
      <x:c r="B615" s="2" t="str">
        <x:v>T4</x:v>
      </x:c>
      <x:c r="C615" s="2" t="str">
        <x:v>L07</x:v>
      </x:c>
      <x:c r="D615" s="2" t="str">
        <x:v>Column ties</x:v>
      </x:c>
      <x:c r="E615" s="21" t="n">
        <x:v>10</x:v>
      </x:c>
      <x:c r="F615" s="21" t="n">
        <x:v>510</x:v>
      </x:c>
      <x:c r="G615" s="21" t="n">
        <x:v>1.96</x:v>
      </x:c>
      <x:c r="H615" s="21" t="n">
        <x:f>E615^2*'Controls'!$B$52</x:f>
        <x:v>0.6165</x:v>
      </x:c>
      <x:c r="I615" s="21" t="n">
        <x:f>F615*G615*H615</x:f>
        <x:v>616.2534</x:v>
      </x:c>
      <x:c r="J615" s="2" t="str">
        <x:v>30 columns x 17 ties, cover and hooks included</x:v>
      </x:c>
      <x:c r="K615" s="2"/>
      <x:c r="L615" s="2"/>
      <x:c r="M615" s="2"/>
      <x:c r="N615" s="2"/>
      <x:c r="O615" s="2"/>
      <x:c r="P615" s="2"/>
      <x:c r="Q615" s="2"/>
    </x:row>
    <x:row r="616" ht="22" customHeight="1">
      <x:c r="A616" s="7" t="str">
        <x:v>T4-L07-CV</x:v>
      </x:c>
      <x:c r="B616" s="7" t="str">
        <x:v>T4</x:v>
      </x:c>
      <x:c r="C616" s="7" t="str">
        <x:v>L07</x:v>
      </x:c>
      <x:c r="D616" s="7" t="str">
        <x:v>Core vertical bars</x:v>
      </x:c>
      <x:c r="E616" s="20" t="n">
        <x:v>16</x:v>
      </x:c>
      <x:c r="F616" s="20" t="n">
        <x:v>244</x:v>
      </x:c>
      <x:c r="G616" s="20" t="n">
        <x:v>3.9</x:v>
      </x:c>
      <x:c r="H616" s="20" t="n">
        <x:f>E616^2*'Controls'!$B$52</x:f>
        <x:v>1.57824</x:v>
      </x:c>
      <x:c r="I616" s="20" t="n">
        <x:f>F616*G616*H616</x:f>
        <x:v>1501.853184</x:v>
      </x:c>
      <x:c r="J616" s="7" t="str">
        <x:v>Two faces, 200 mm nominal along 24 m net length</x:v>
      </x:c>
      <x:c r="K616" s="2"/>
      <x:c r="L616" s="2"/>
      <x:c r="M616" s="2"/>
      <x:c r="N616" s="2"/>
      <x:c r="O616" s="2"/>
      <x:c r="P616" s="2"/>
      <x:c r="Q616" s="2"/>
    </x:row>
    <x:row r="617" ht="22" customHeight="1">
      <x:c r="A617" s="2" t="str">
        <x:v>T4-L07-CH</x:v>
      </x:c>
      <x:c r="B617" s="2" t="str">
        <x:v>T4</x:v>
      </x:c>
      <x:c r="C617" s="2" t="str">
        <x:v>L07</x:v>
      </x:c>
      <x:c r="D617" s="2" t="str">
        <x:v>Core horizontal bars</x:v>
      </x:c>
      <x:c r="E617" s="21" t="n">
        <x:v>12</x:v>
      </x:c>
      <x:c r="F617" s="21" t="n">
        <x:v>32</x:v>
      </x:c>
      <x:c r="G617" s="21" t="n">
        <x:v>25</x:v>
      </x:c>
      <x:c r="H617" s="21" t="n">
        <x:f>E617^2*'Controls'!$B$52</x:f>
        <x:v>0.8877600000000001</x:v>
      </x:c>
      <x:c r="I617" s="21" t="n">
        <x:f>F617*G617*H617</x:f>
        <x:v>710.2080000000001</x:v>
      </x:c>
      <x:c r="J617" s="2" t="str">
        <x:v>Two faces x 16 layers incl. lap</x:v>
      </x:c>
      <x:c r="K617" s="2"/>
      <x:c r="L617" s="2"/>
      <x:c r="M617" s="2"/>
      <x:c r="N617" s="2"/>
      <x:c r="O617" s="2"/>
      <x:c r="P617" s="2"/>
      <x:c r="Q617" s="2"/>
    </x:row>
    <x:row r="618" ht="22" customHeight="1">
      <x:c r="A618" s="7" t="str">
        <x:v>T4-L07-ST</x:v>
      </x:c>
      <x:c r="B618" s="7" t="str">
        <x:v>T4</x:v>
      </x:c>
      <x:c r="C618" s="7" t="str">
        <x:v>L07</x:v>
      </x:c>
      <x:c r="D618" s="7" t="str">
        <x:v>Stair flights and landings</x:v>
      </x:c>
      <x:c r="E618" s="20" t="n">
        <x:v>12</x:v>
      </x:c>
      <x:c r="F618" s="20" t="n">
        <x:v>80</x:v>
      </x:c>
      <x:c r="G618" s="20" t="n">
        <x:v>4.8</x:v>
      </x:c>
      <x:c r="H618" s="20" t="n">
        <x:f>E618^2*'Controls'!$B$52</x:f>
        <x:v>0.8877600000000001</x:v>
      </x:c>
      <x:c r="I618" s="20" t="n">
        <x:f>F618*G618*H618</x:f>
        <x:v>340.89984000000004</x:v>
      </x:c>
      <x:c r="J618" s="7" t="str">
        <x:v>Separate stair reinforcement allowance</x:v>
      </x:c>
      <x:c r="K618" s="2"/>
      <x:c r="L618" s="2"/>
      <x:c r="M618" s="2"/>
      <x:c r="N618" s="2"/>
      <x:c r="O618" s="2"/>
      <x:c r="P618" s="2"/>
      <x:c r="Q618" s="2"/>
    </x:row>
    <x:row r="619" ht="22" customHeight="1">
      <x:c r="A619" s="2" t="str">
        <x:v>T4-L08-S1</x:v>
      </x:c>
      <x:c r="B619" s="2" t="str">
        <x:v>T4</x:v>
      </x:c>
      <x:c r="C619" s="2" t="str">
        <x:v>L08</x:v>
      </x:c>
      <x:c r="D619" s="2" t="str">
        <x:v>Slab X through strips</x:v>
      </x:c>
      <x:c r="E619" s="21" t="n">
        <x:v>12</x:v>
      </x:c>
      <x:c r="F619" s="21" t="n">
        <x:v>182</x:v>
      </x:c>
      <x:c r="G619" s="21" t="n">
        <x:v>29.95</x:v>
      </x:c>
      <x:c r="H619" s="21" t="n">
        <x:f>E619^2*'Controls'!$B$52</x:f>
        <x:v>0.8877600000000001</x:v>
      </x:c>
      <x:c r="I619" s="21" t="n">
        <x:f>F619*G619*H619</x:f>
        <x:v>4839.090984</x:v>
      </x:c>
      <x:c r="J619" s="2" t="str">
        <x:v>2 layers x 91 bars outside central opening band</x:v>
      </x:c>
      <x:c r="K619" s="2"/>
      <x:c r="L619" s="2"/>
      <x:c r="M619" s="2"/>
      <x:c r="N619" s="2"/>
      <x:c r="O619" s="2"/>
      <x:c r="P619" s="2"/>
      <x:c r="Q619" s="2"/>
    </x:row>
    <x:row r="620" ht="22" customHeight="1">
      <x:c r="A620" s="7" t="str">
        <x:v>T4-L08-S2</x:v>
      </x:c>
      <x:c r="B620" s="7" t="str">
        <x:v>T4</x:v>
      </x:c>
      <x:c r="C620" s="7" t="str">
        <x:v>L08</x:v>
      </x:c>
      <x:c r="D620" s="7" t="str">
        <x:v>Slab X split at core</x:v>
      </x:c>
      <x:c r="E620" s="20" t="n">
        <x:v>12</x:v>
      </x:c>
      <x:c r="F620" s="20" t="n">
        <x:v>60</x:v>
      </x:c>
      <x:c r="G620" s="20" t="n">
        <x:v>25.95</x:v>
      </x:c>
      <x:c r="H620" s="20" t="n">
        <x:f>E620^2*'Controls'!$B$52</x:f>
        <x:v>0.8877600000000001</x:v>
      </x:c>
      <x:c r="I620" s="20" t="n">
        <x:f>F620*G620*H620</x:f>
        <x:v>1382.24232</x:v>
      </x:c>
      <x:c r="J620" s="7" t="str">
        <x:v>2 layers x 30 bars, split lengths combined around 4 m opening</x:v>
      </x:c>
      <x:c r="K620" s="2"/>
      <x:c r="L620" s="2"/>
      <x:c r="M620" s="2"/>
      <x:c r="N620" s="2"/>
      <x:c r="O620" s="2"/>
      <x:c r="P620" s="2"/>
      <x:c r="Q620" s="2"/>
    </x:row>
    <x:row r="621" ht="22" customHeight="1">
      <x:c r="A621" s="2" t="str">
        <x:v>T4-L08-S3</x:v>
      </x:c>
      <x:c r="B621" s="2" t="str">
        <x:v>T4</x:v>
      </x:c>
      <x:c r="C621" s="2" t="str">
        <x:v>L08</x:v>
      </x:c>
      <x:c r="D621" s="2" t="str">
        <x:v>Slab Y through strips</x:v>
      </x:c>
      <x:c r="E621" s="21" t="n">
        <x:v>12</x:v>
      </x:c>
      <x:c r="F621" s="21" t="n">
        <x:v>262</x:v>
      </x:c>
      <x:c r="G621" s="21" t="n">
        <x:v>23.95</x:v>
      </x:c>
      <x:c r="H621" s="21" t="n">
        <x:f>E621^2*'Controls'!$B$52</x:f>
        <x:v>0.8877600000000001</x:v>
      </x:c>
      <x:c r="I621" s="21" t="n">
        <x:f>F621*G621*H621</x:f>
        <x:v>5570.605224</x:v>
      </x:c>
      <x:c r="J621" s="2" t="str">
        <x:v>2 layers x 131 bars outside central opening band</x:v>
      </x:c>
      <x:c r="K621" s="2"/>
      <x:c r="L621" s="2"/>
      <x:c r="M621" s="2"/>
      <x:c r="N621" s="2"/>
      <x:c r="O621" s="2"/>
      <x:c r="P621" s="2"/>
      <x:c r="Q621" s="2"/>
    </x:row>
    <x:row r="622" ht="22" customHeight="1">
      <x:c r="A622" s="7" t="str">
        <x:v>T4-L08-S4</x:v>
      </x:c>
      <x:c r="B622" s="7" t="str">
        <x:v>T4</x:v>
      </x:c>
      <x:c r="C622" s="7" t="str">
        <x:v>L08</x:v>
      </x:c>
      <x:c r="D622" s="7" t="str">
        <x:v>Slab Y split at core</x:v>
      </x:c>
      <x:c r="E622" s="20" t="n">
        <x:v>12</x:v>
      </x:c>
      <x:c r="F622" s="20" t="n">
        <x:v>40</x:v>
      </x:c>
      <x:c r="G622" s="20" t="n">
        <x:v>17.95</x:v>
      </x:c>
      <x:c r="H622" s="20" t="n">
        <x:f>E622^2*'Controls'!$B$52</x:f>
        <x:v>0.8877600000000001</x:v>
      </x:c>
      <x:c r="I622" s="20" t="n">
        <x:f>F622*G622*H622</x:f>
        <x:v>637.41168</x:v>
      </x:c>
      <x:c r="J622" s="7" t="str">
        <x:v>2 layers x 20 bars, split around 6 m opening</x:v>
      </x:c>
      <x:c r="K622" s="2"/>
      <x:c r="L622" s="2"/>
      <x:c r="M622" s="2"/>
      <x:c r="N622" s="2"/>
      <x:c r="O622" s="2"/>
      <x:c r="P622" s="2"/>
      <x:c r="Q622" s="2"/>
    </x:row>
    <x:row r="623" ht="22" customHeight="1">
      <x:c r="A623" s="2" t="str">
        <x:v>T4-L08-S5</x:v>
      </x:c>
      <x:c r="B623" s="2" t="str">
        <x:v>T4</x:v>
      </x:c>
      <x:c r="C623" s="2" t="str">
        <x:v>L08</x:v>
      </x:c>
      <x:c r="D623" s="2" t="str">
        <x:v>Opening trim bars</x:v>
      </x:c>
      <x:c r="E623" s="21" t="n">
        <x:v>16</x:v>
      </x:c>
      <x:c r="F623" s="21" t="n">
        <x:v>16</x:v>
      </x:c>
      <x:c r="G623" s="21" t="n">
        <x:v>7.2</x:v>
      </x:c>
      <x:c r="H623" s="21" t="n">
        <x:f>E623^2*'Controls'!$B$52</x:f>
        <x:v>1.57824</x:v>
      </x:c>
      <x:c r="I623" s="21" t="n">
        <x:f>F623*G623*H623</x:f>
        <x:v>181.81324800000002</x:v>
      </x:c>
      <x:c r="J623" s="2" t="str">
        <x:v>Trim allowance, explicit scheduled lengths</x:v>
      </x:c>
      <x:c r="K623" s="2"/>
      <x:c r="L623" s="2"/>
      <x:c r="M623" s="2"/>
      <x:c r="N623" s="2"/>
      <x:c r="O623" s="2"/>
      <x:c r="P623" s="2"/>
      <x:c r="Q623" s="2"/>
    </x:row>
    <x:row r="624" ht="22" customHeight="1">
      <x:c r="A624" s="7" t="str">
        <x:v>T4-L08-BX</x:v>
      </x:c>
      <x:c r="B624" s="7" t="str">
        <x:v>T4</x:v>
      </x:c>
      <x:c r="C624" s="7" t="str">
        <x:v>L08</x:v>
      </x:c>
      <x:c r="D624" s="7" t="str">
        <x:v>X beam longitudinal</x:v>
      </x:c>
      <x:c r="E624" s="20" t="n">
        <x:v>20</x:v>
      </x:c>
      <x:c r="F624" s="20" t="n">
        <x:v>150</x:v>
      </x:c>
      <x:c r="G624" s="20" t="n">
        <x:v>6.5</x:v>
      </x:c>
      <x:c r="H624" s="20" t="n">
        <x:f>E624^2*'Controls'!$B$52</x:f>
        <x:v>2.466</x:v>
      </x:c>
      <x:c r="I624" s="20" t="n">
        <x:f>F624*G624*H624</x:f>
        <x:v>2404.3500000000004</x:v>
      </x:c>
      <x:c r="J624" s="7" t="str">
        <x:v>25 spans x 6 bars incl. 1 m lap/anchorage provision</x:v>
      </x:c>
      <x:c r="K624" s="2"/>
      <x:c r="L624" s="2"/>
      <x:c r="M624" s="2"/>
      <x:c r="N624" s="2"/>
      <x:c r="O624" s="2"/>
      <x:c r="P624" s="2"/>
      <x:c r="Q624" s="2"/>
    </x:row>
    <x:row r="625" ht="22" customHeight="1">
      <x:c r="A625" s="2" t="str">
        <x:v>T4-L08-BY</x:v>
      </x:c>
      <x:c r="B625" s="2" t="str">
        <x:v>T4</x:v>
      </x:c>
      <x:c r="C625" s="2" t="str">
        <x:v>L08</x:v>
      </x:c>
      <x:c r="D625" s="2" t="str">
        <x:v>Y beam longitudinal</x:v>
      </x:c>
      <x:c r="E625" s="21" t="n">
        <x:v>20</x:v>
      </x:c>
      <x:c r="F625" s="21" t="n">
        <x:v>144</x:v>
      </x:c>
      <x:c r="G625" s="21" t="n">
        <x:v>6.5</x:v>
      </x:c>
      <x:c r="H625" s="21" t="n">
        <x:f>E625^2*'Controls'!$B$52</x:f>
        <x:v>2.466</x:v>
      </x:c>
      <x:c r="I625" s="21" t="n">
        <x:f>F625*G625*H625</x:f>
        <x:v>2308.1760000000004</x:v>
      </x:c>
      <x:c r="J625" s="2" t="str">
        <x:v>24 spans x 6 bars</x:v>
      </x:c>
      <x:c r="K625" s="2"/>
      <x:c r="L625" s="2"/>
      <x:c r="M625" s="2"/>
      <x:c r="N625" s="2"/>
      <x:c r="O625" s="2"/>
      <x:c r="P625" s="2"/>
      <x:c r="Q625" s="2"/>
    </x:row>
    <x:row r="626" ht="22" customHeight="1">
      <x:c r="A626" s="7" t="str">
        <x:v>T4-L08-BT</x:v>
      </x:c>
      <x:c r="B626" s="7" t="str">
        <x:v>T4</x:v>
      </x:c>
      <x:c r="C626" s="7" t="str">
        <x:v>L08</x:v>
      </x:c>
      <x:c r="D626" s="7" t="str">
        <x:v>Beam closed links</x:v>
      </x:c>
      <x:c r="E626" s="20" t="n">
        <x:v>10</x:v>
      </x:c>
      <x:c r="F626" s="20" t="n">
        <x:v>1421</x:v>
      </x:c>
      <x:c r="G626" s="20" t="n">
        <x:v>1.7</x:v>
      </x:c>
      <x:c r="H626" s="20" t="n">
        <x:f>E626^2*'Controls'!$B$52</x:f>
        <x:v>0.6165</x:v>
      </x:c>
      <x:c r="I626" s="20" t="n">
        <x:f>F626*G626*H626</x:f>
        <x:v>1489.27905</x:v>
      </x:c>
      <x:c r="J626" s="7" t="str">
        <x:v>49 beams x 29 links, 200 mm nominal</x:v>
      </x:c>
      <x:c r="K626" s="2"/>
      <x:c r="L626" s="2"/>
      <x:c r="M626" s="2"/>
      <x:c r="N626" s="2"/>
      <x:c r="O626" s="2"/>
      <x:c r="P626" s="2"/>
      <x:c r="Q626" s="2"/>
    </x:row>
    <x:row r="627" ht="22" customHeight="1">
      <x:c r="A627" s="2" t="str">
        <x:v>T4-L08-CL</x:v>
      </x:c>
      <x:c r="B627" s="2" t="str">
        <x:v>T4</x:v>
      </x:c>
      <x:c r="C627" s="2" t="str">
        <x:v>L08</x:v>
      </x:c>
      <x:c r="D627" s="2" t="str">
        <x:v>Column longitudinal</x:v>
      </x:c>
      <x:c r="E627" s="21" t="n">
        <x:v>25</x:v>
      </x:c>
      <x:c r="F627" s="21" t="n">
        <x:v>360</x:v>
      </x:c>
      <x:c r="G627" s="21" t="n">
        <x:v>3.9</x:v>
      </x:c>
      <x:c r="H627" s="21" t="n">
        <x:f>E627^2*'Controls'!$B$52</x:f>
        <x:v>3.8531250000000004</x:v>
      </x:c>
      <x:c r="I627" s="21" t="n">
        <x:f>F627*G627*H627</x:f>
        <x:v>5409.7875</x:v>
      </x:c>
      <x:c r="J627" s="2" t="str">
        <x:v>30 columns x 12 bars incl. lap</x:v>
      </x:c>
      <x:c r="K627" s="2"/>
      <x:c r="L627" s="2"/>
      <x:c r="M627" s="2"/>
      <x:c r="N627" s="2"/>
      <x:c r="O627" s="2"/>
      <x:c r="P627" s="2"/>
      <x:c r="Q627" s="2"/>
    </x:row>
    <x:row r="628" ht="22" customHeight="1">
      <x:c r="A628" s="7" t="str">
        <x:v>T4-L08-CT</x:v>
      </x:c>
      <x:c r="B628" s="7" t="str">
        <x:v>T4</x:v>
      </x:c>
      <x:c r="C628" s="7" t="str">
        <x:v>L08</x:v>
      </x:c>
      <x:c r="D628" s="7" t="str">
        <x:v>Column ties</x:v>
      </x:c>
      <x:c r="E628" s="20" t="n">
        <x:v>10</x:v>
      </x:c>
      <x:c r="F628" s="20" t="n">
        <x:v>510</x:v>
      </x:c>
      <x:c r="G628" s="20" t="n">
        <x:v>1.96</x:v>
      </x:c>
      <x:c r="H628" s="20" t="n">
        <x:f>E628^2*'Controls'!$B$52</x:f>
        <x:v>0.6165</x:v>
      </x:c>
      <x:c r="I628" s="20" t="n">
        <x:f>F628*G628*H628</x:f>
        <x:v>616.2534</x:v>
      </x:c>
      <x:c r="J628" s="7" t="str">
        <x:v>30 columns x 17 ties, cover and hooks included</x:v>
      </x:c>
      <x:c r="K628" s="2"/>
      <x:c r="L628" s="2"/>
      <x:c r="M628" s="2"/>
      <x:c r="N628" s="2"/>
      <x:c r="O628" s="2"/>
      <x:c r="P628" s="2"/>
      <x:c r="Q628" s="2"/>
    </x:row>
    <x:row r="629" ht="22" customHeight="1">
      <x:c r="A629" s="2" t="str">
        <x:v>T4-L08-CV</x:v>
      </x:c>
      <x:c r="B629" s="2" t="str">
        <x:v>T4</x:v>
      </x:c>
      <x:c r="C629" s="2" t="str">
        <x:v>L08</x:v>
      </x:c>
      <x:c r="D629" s="2" t="str">
        <x:v>Core vertical bars</x:v>
      </x:c>
      <x:c r="E629" s="21" t="n">
        <x:v>16</x:v>
      </x:c>
      <x:c r="F629" s="21" t="n">
        <x:v>244</x:v>
      </x:c>
      <x:c r="G629" s="21" t="n">
        <x:v>3.9</x:v>
      </x:c>
      <x:c r="H629" s="21" t="n">
        <x:f>E629^2*'Controls'!$B$52</x:f>
        <x:v>1.57824</x:v>
      </x:c>
      <x:c r="I629" s="21" t="n">
        <x:f>F629*G629*H629</x:f>
        <x:v>1501.853184</x:v>
      </x:c>
      <x:c r="J629" s="2" t="str">
        <x:v>Two faces, 200 mm nominal along 24 m net length</x:v>
      </x:c>
      <x:c r="K629" s="2"/>
      <x:c r="L629" s="2"/>
      <x:c r="M629" s="2"/>
      <x:c r="N629" s="2"/>
      <x:c r="O629" s="2"/>
      <x:c r="P629" s="2"/>
      <x:c r="Q629" s="2"/>
    </x:row>
    <x:row r="630" ht="22" customHeight="1">
      <x:c r="A630" s="7" t="str">
        <x:v>T4-L08-CH</x:v>
      </x:c>
      <x:c r="B630" s="7" t="str">
        <x:v>T4</x:v>
      </x:c>
      <x:c r="C630" s="7" t="str">
        <x:v>L08</x:v>
      </x:c>
      <x:c r="D630" s="7" t="str">
        <x:v>Core horizontal bars</x:v>
      </x:c>
      <x:c r="E630" s="20" t="n">
        <x:v>12</x:v>
      </x:c>
      <x:c r="F630" s="20" t="n">
        <x:v>32</x:v>
      </x:c>
      <x:c r="G630" s="20" t="n">
        <x:v>25</x:v>
      </x:c>
      <x:c r="H630" s="20" t="n">
        <x:f>E630^2*'Controls'!$B$52</x:f>
        <x:v>0.8877600000000001</x:v>
      </x:c>
      <x:c r="I630" s="20" t="n">
        <x:f>F630*G630*H630</x:f>
        <x:v>710.2080000000001</x:v>
      </x:c>
      <x:c r="J630" s="7" t="str">
        <x:v>Two faces x 16 layers incl. lap</x:v>
      </x:c>
      <x:c r="K630" s="2"/>
      <x:c r="L630" s="2"/>
      <x:c r="M630" s="2"/>
      <x:c r="N630" s="2"/>
      <x:c r="O630" s="2"/>
      <x:c r="P630" s="2"/>
      <x:c r="Q630" s="2"/>
    </x:row>
    <x:row r="631" ht="22" customHeight="1">
      <x:c r="A631" s="2" t="str">
        <x:v>T4-L08-ST</x:v>
      </x:c>
      <x:c r="B631" s="2" t="str">
        <x:v>T4</x:v>
      </x:c>
      <x:c r="C631" s="2" t="str">
        <x:v>L08</x:v>
      </x:c>
      <x:c r="D631" s="2" t="str">
        <x:v>Stair flights and landings</x:v>
      </x:c>
      <x:c r="E631" s="21" t="n">
        <x:v>12</x:v>
      </x:c>
      <x:c r="F631" s="21" t="n">
        <x:v>80</x:v>
      </x:c>
      <x:c r="G631" s="21" t="n">
        <x:v>4.8</x:v>
      </x:c>
      <x:c r="H631" s="21" t="n">
        <x:f>E631^2*'Controls'!$B$52</x:f>
        <x:v>0.8877600000000001</x:v>
      </x:c>
      <x:c r="I631" s="21" t="n">
        <x:f>F631*G631*H631</x:f>
        <x:v>340.89984000000004</x:v>
      </x:c>
      <x:c r="J631" s="2" t="str">
        <x:v>Separate stair reinforcement allowance</x:v>
      </x:c>
      <x:c r="K631" s="2"/>
      <x:c r="L631" s="2"/>
      <x:c r="M631" s="2"/>
      <x:c r="N631" s="2"/>
      <x:c r="O631" s="2"/>
      <x:c r="P631" s="2"/>
      <x:c r="Q631" s="2"/>
    </x:row>
    <x:row r="632" ht="22" customHeight="1">
      <x:c r="A632" s="7" t="str">
        <x:v>T4-L09-S1</x:v>
      </x:c>
      <x:c r="B632" s="7" t="str">
        <x:v>T4</x:v>
      </x:c>
      <x:c r="C632" s="7" t="str">
        <x:v>L09</x:v>
      </x:c>
      <x:c r="D632" s="7" t="str">
        <x:v>Slab X through strips</x:v>
      </x:c>
      <x:c r="E632" s="20" t="n">
        <x:v>12</x:v>
      </x:c>
      <x:c r="F632" s="20" t="n">
        <x:v>182</x:v>
      </x:c>
      <x:c r="G632" s="20" t="n">
        <x:v>29.95</x:v>
      </x:c>
      <x:c r="H632" s="20" t="n">
        <x:f>E632^2*'Controls'!$B$52</x:f>
        <x:v>0.8877600000000001</x:v>
      </x:c>
      <x:c r="I632" s="20" t="n">
        <x:f>F632*G632*H632</x:f>
        <x:v>4839.090984</x:v>
      </x:c>
      <x:c r="J632" s="7" t="str">
        <x:v>2 layers x 91 bars outside central opening band</x:v>
      </x:c>
      <x:c r="K632" s="2"/>
      <x:c r="L632" s="2"/>
      <x:c r="M632" s="2"/>
      <x:c r="N632" s="2"/>
      <x:c r="O632" s="2"/>
      <x:c r="P632" s="2"/>
      <x:c r="Q632" s="2"/>
    </x:row>
    <x:row r="633" ht="22" customHeight="1">
      <x:c r="A633" s="2" t="str">
        <x:v>T4-L09-S2</x:v>
      </x:c>
      <x:c r="B633" s="2" t="str">
        <x:v>T4</x:v>
      </x:c>
      <x:c r="C633" s="2" t="str">
        <x:v>L09</x:v>
      </x:c>
      <x:c r="D633" s="2" t="str">
        <x:v>Slab X split at core</x:v>
      </x:c>
      <x:c r="E633" s="21" t="n">
        <x:v>12</x:v>
      </x:c>
      <x:c r="F633" s="21" t="n">
        <x:v>60</x:v>
      </x:c>
      <x:c r="G633" s="21" t="n">
        <x:v>25.95</x:v>
      </x:c>
      <x:c r="H633" s="21" t="n">
        <x:f>E633^2*'Controls'!$B$52</x:f>
        <x:v>0.8877600000000001</x:v>
      </x:c>
      <x:c r="I633" s="21" t="n">
        <x:f>F633*G633*H633</x:f>
        <x:v>1382.24232</x:v>
      </x:c>
      <x:c r="J633" s="2" t="str">
        <x:v>2 layers x 30 bars, split lengths combined around 4 m opening</x:v>
      </x:c>
      <x:c r="K633" s="2"/>
      <x:c r="L633" s="2"/>
      <x:c r="M633" s="2"/>
      <x:c r="N633" s="2"/>
      <x:c r="O633" s="2"/>
      <x:c r="P633" s="2"/>
      <x:c r="Q633" s="2"/>
    </x:row>
    <x:row r="634" ht="22" customHeight="1">
      <x:c r="A634" s="7" t="str">
        <x:v>T4-L09-S3</x:v>
      </x:c>
      <x:c r="B634" s="7" t="str">
        <x:v>T4</x:v>
      </x:c>
      <x:c r="C634" s="7" t="str">
        <x:v>L09</x:v>
      </x:c>
      <x:c r="D634" s="7" t="str">
        <x:v>Slab Y through strips</x:v>
      </x:c>
      <x:c r="E634" s="20" t="n">
        <x:v>12</x:v>
      </x:c>
      <x:c r="F634" s="20" t="n">
        <x:v>262</x:v>
      </x:c>
      <x:c r="G634" s="20" t="n">
        <x:v>23.95</x:v>
      </x:c>
      <x:c r="H634" s="20" t="n">
        <x:f>E634^2*'Controls'!$B$52</x:f>
        <x:v>0.8877600000000001</x:v>
      </x:c>
      <x:c r="I634" s="20" t="n">
        <x:f>F634*G634*H634</x:f>
        <x:v>5570.605224</x:v>
      </x:c>
      <x:c r="J634" s="7" t="str">
        <x:v>2 layers x 131 bars outside central opening band</x:v>
      </x:c>
      <x:c r="K634" s="2"/>
      <x:c r="L634" s="2"/>
      <x:c r="M634" s="2"/>
      <x:c r="N634" s="2"/>
      <x:c r="O634" s="2"/>
      <x:c r="P634" s="2"/>
      <x:c r="Q634" s="2"/>
    </x:row>
    <x:row r="635" ht="22" customHeight="1">
      <x:c r="A635" s="2" t="str">
        <x:v>T4-L09-S4</x:v>
      </x:c>
      <x:c r="B635" s="2" t="str">
        <x:v>T4</x:v>
      </x:c>
      <x:c r="C635" s="2" t="str">
        <x:v>L09</x:v>
      </x:c>
      <x:c r="D635" s="2" t="str">
        <x:v>Slab Y split at core</x:v>
      </x:c>
      <x:c r="E635" s="21" t="n">
        <x:v>12</x:v>
      </x:c>
      <x:c r="F635" s="21" t="n">
        <x:v>40</x:v>
      </x:c>
      <x:c r="G635" s="21" t="n">
        <x:v>17.95</x:v>
      </x:c>
      <x:c r="H635" s="21" t="n">
        <x:f>E635^2*'Controls'!$B$52</x:f>
        <x:v>0.8877600000000001</x:v>
      </x:c>
      <x:c r="I635" s="21" t="n">
        <x:f>F635*G635*H635</x:f>
        <x:v>637.41168</x:v>
      </x:c>
      <x:c r="J635" s="2" t="str">
        <x:v>2 layers x 20 bars, split around 6 m opening</x:v>
      </x:c>
      <x:c r="K635" s="2"/>
      <x:c r="L635" s="2"/>
      <x:c r="M635" s="2"/>
      <x:c r="N635" s="2"/>
      <x:c r="O635" s="2"/>
      <x:c r="P635" s="2"/>
      <x:c r="Q635" s="2"/>
    </x:row>
    <x:row r="636" ht="22" customHeight="1">
      <x:c r="A636" s="7" t="str">
        <x:v>T4-L09-S5</x:v>
      </x:c>
      <x:c r="B636" s="7" t="str">
        <x:v>T4</x:v>
      </x:c>
      <x:c r="C636" s="7" t="str">
        <x:v>L09</x:v>
      </x:c>
      <x:c r="D636" s="7" t="str">
        <x:v>Opening trim bars</x:v>
      </x:c>
      <x:c r="E636" s="20" t="n">
        <x:v>16</x:v>
      </x:c>
      <x:c r="F636" s="20" t="n">
        <x:v>16</x:v>
      </x:c>
      <x:c r="G636" s="20" t="n">
        <x:v>7.2</x:v>
      </x:c>
      <x:c r="H636" s="20" t="n">
        <x:f>E636^2*'Controls'!$B$52</x:f>
        <x:v>1.57824</x:v>
      </x:c>
      <x:c r="I636" s="20" t="n">
        <x:f>F636*G636*H636</x:f>
        <x:v>181.81324800000002</x:v>
      </x:c>
      <x:c r="J636" s="7" t="str">
        <x:v>Trim allowance, explicit scheduled lengths</x:v>
      </x:c>
      <x:c r="K636" s="2"/>
      <x:c r="L636" s="2"/>
      <x:c r="M636" s="2"/>
      <x:c r="N636" s="2"/>
      <x:c r="O636" s="2"/>
      <x:c r="P636" s="2"/>
      <x:c r="Q636" s="2"/>
    </x:row>
    <x:row r="637" ht="22" customHeight="1">
      <x:c r="A637" s="2" t="str">
        <x:v>T4-L09-BX</x:v>
      </x:c>
      <x:c r="B637" s="2" t="str">
        <x:v>T4</x:v>
      </x:c>
      <x:c r="C637" s="2" t="str">
        <x:v>L09</x:v>
      </x:c>
      <x:c r="D637" s="2" t="str">
        <x:v>X beam longitudinal</x:v>
      </x:c>
      <x:c r="E637" s="21" t="n">
        <x:v>20</x:v>
      </x:c>
      <x:c r="F637" s="21" t="n">
        <x:v>150</x:v>
      </x:c>
      <x:c r="G637" s="21" t="n">
        <x:v>6.5</x:v>
      </x:c>
      <x:c r="H637" s="21" t="n">
        <x:f>E637^2*'Controls'!$B$52</x:f>
        <x:v>2.466</x:v>
      </x:c>
      <x:c r="I637" s="21" t="n">
        <x:f>F637*G637*H637</x:f>
        <x:v>2404.3500000000004</x:v>
      </x:c>
      <x:c r="J637" s="2" t="str">
        <x:v>25 spans x 6 bars incl. 1 m lap/anchorage provision</x:v>
      </x:c>
      <x:c r="K637" s="2"/>
      <x:c r="L637" s="2"/>
      <x:c r="M637" s="2"/>
      <x:c r="N637" s="2"/>
      <x:c r="O637" s="2"/>
      <x:c r="P637" s="2"/>
      <x:c r="Q637" s="2"/>
    </x:row>
    <x:row r="638" ht="22" customHeight="1">
      <x:c r="A638" s="7" t="str">
        <x:v>T4-L09-BY</x:v>
      </x:c>
      <x:c r="B638" s="7" t="str">
        <x:v>T4</x:v>
      </x:c>
      <x:c r="C638" s="7" t="str">
        <x:v>L09</x:v>
      </x:c>
      <x:c r="D638" s="7" t="str">
        <x:v>Y beam longitudinal</x:v>
      </x:c>
      <x:c r="E638" s="20" t="n">
        <x:v>20</x:v>
      </x:c>
      <x:c r="F638" s="20" t="n">
        <x:v>144</x:v>
      </x:c>
      <x:c r="G638" s="20" t="n">
        <x:v>6.5</x:v>
      </x:c>
      <x:c r="H638" s="20" t="n">
        <x:f>E638^2*'Controls'!$B$52</x:f>
        <x:v>2.466</x:v>
      </x:c>
      <x:c r="I638" s="20" t="n">
        <x:f>F638*G638*H638</x:f>
        <x:v>2308.1760000000004</x:v>
      </x:c>
      <x:c r="J638" s="7" t="str">
        <x:v>24 spans x 6 bars</x:v>
      </x:c>
      <x:c r="K638" s="2"/>
      <x:c r="L638" s="2"/>
      <x:c r="M638" s="2"/>
      <x:c r="N638" s="2"/>
      <x:c r="O638" s="2"/>
      <x:c r="P638" s="2"/>
      <x:c r="Q638" s="2"/>
    </x:row>
    <x:row r="639" ht="22" customHeight="1">
      <x:c r="A639" s="2" t="str">
        <x:v>T4-L09-BT</x:v>
      </x:c>
      <x:c r="B639" s="2" t="str">
        <x:v>T4</x:v>
      </x:c>
      <x:c r="C639" s="2" t="str">
        <x:v>L09</x:v>
      </x:c>
      <x:c r="D639" s="2" t="str">
        <x:v>Beam closed links</x:v>
      </x:c>
      <x:c r="E639" s="21" t="n">
        <x:v>10</x:v>
      </x:c>
      <x:c r="F639" s="21" t="n">
        <x:v>1421</x:v>
      </x:c>
      <x:c r="G639" s="21" t="n">
        <x:v>1.7</x:v>
      </x:c>
      <x:c r="H639" s="21" t="n">
        <x:f>E639^2*'Controls'!$B$52</x:f>
        <x:v>0.6165</x:v>
      </x:c>
      <x:c r="I639" s="21" t="n">
        <x:f>F639*G639*H639</x:f>
        <x:v>1489.27905</x:v>
      </x:c>
      <x:c r="J639" s="2" t="str">
        <x:v>49 beams x 29 links, 200 mm nominal</x:v>
      </x:c>
      <x:c r="K639" s="2"/>
      <x:c r="L639" s="2"/>
      <x:c r="M639" s="2"/>
      <x:c r="N639" s="2"/>
      <x:c r="O639" s="2"/>
      <x:c r="P639" s="2"/>
      <x:c r="Q639" s="2"/>
    </x:row>
    <x:row r="640" ht="22" customHeight="1">
      <x:c r="A640" s="7" t="str">
        <x:v>T4-L09-CL</x:v>
      </x:c>
      <x:c r="B640" s="7" t="str">
        <x:v>T4</x:v>
      </x:c>
      <x:c r="C640" s="7" t="str">
        <x:v>L09</x:v>
      </x:c>
      <x:c r="D640" s="7" t="str">
        <x:v>Column longitudinal</x:v>
      </x:c>
      <x:c r="E640" s="20" t="n">
        <x:v>25</x:v>
      </x:c>
      <x:c r="F640" s="20" t="n">
        <x:v>360</x:v>
      </x:c>
      <x:c r="G640" s="20" t="n">
        <x:v>3.9</x:v>
      </x:c>
      <x:c r="H640" s="20" t="n">
        <x:f>E640^2*'Controls'!$B$52</x:f>
        <x:v>3.8531250000000004</x:v>
      </x:c>
      <x:c r="I640" s="20" t="n">
        <x:f>F640*G640*H640</x:f>
        <x:v>5409.7875</x:v>
      </x:c>
      <x:c r="J640" s="7" t="str">
        <x:v>30 columns x 12 bars incl. lap</x:v>
      </x:c>
      <x:c r="K640" s="2"/>
      <x:c r="L640" s="2"/>
      <x:c r="M640" s="2"/>
      <x:c r="N640" s="2"/>
      <x:c r="O640" s="2"/>
      <x:c r="P640" s="2"/>
      <x:c r="Q640" s="2"/>
    </x:row>
    <x:row r="641" ht="22" customHeight="1">
      <x:c r="A641" s="2" t="str">
        <x:v>T4-L09-CT</x:v>
      </x:c>
      <x:c r="B641" s="2" t="str">
        <x:v>T4</x:v>
      </x:c>
      <x:c r="C641" s="2" t="str">
        <x:v>L09</x:v>
      </x:c>
      <x:c r="D641" s="2" t="str">
        <x:v>Column ties</x:v>
      </x:c>
      <x:c r="E641" s="21" t="n">
        <x:v>10</x:v>
      </x:c>
      <x:c r="F641" s="21" t="n">
        <x:v>510</x:v>
      </x:c>
      <x:c r="G641" s="21" t="n">
        <x:v>1.96</x:v>
      </x:c>
      <x:c r="H641" s="21" t="n">
        <x:f>E641^2*'Controls'!$B$52</x:f>
        <x:v>0.6165</x:v>
      </x:c>
      <x:c r="I641" s="21" t="n">
        <x:f>F641*G641*H641</x:f>
        <x:v>616.2534</x:v>
      </x:c>
      <x:c r="J641" s="2" t="str">
        <x:v>30 columns x 17 ties, cover and hooks included</x:v>
      </x:c>
      <x:c r="K641" s="2"/>
      <x:c r="L641" s="2"/>
      <x:c r="M641" s="2"/>
      <x:c r="N641" s="2"/>
      <x:c r="O641" s="2"/>
      <x:c r="P641" s="2"/>
      <x:c r="Q641" s="2"/>
    </x:row>
    <x:row r="642" ht="22" customHeight="1">
      <x:c r="A642" s="7" t="str">
        <x:v>T4-L09-CV</x:v>
      </x:c>
      <x:c r="B642" s="7" t="str">
        <x:v>T4</x:v>
      </x:c>
      <x:c r="C642" s="7" t="str">
        <x:v>L09</x:v>
      </x:c>
      <x:c r="D642" s="7" t="str">
        <x:v>Core vertical bars</x:v>
      </x:c>
      <x:c r="E642" s="20" t="n">
        <x:v>16</x:v>
      </x:c>
      <x:c r="F642" s="20" t="n">
        <x:v>244</x:v>
      </x:c>
      <x:c r="G642" s="20" t="n">
        <x:v>3.9</x:v>
      </x:c>
      <x:c r="H642" s="20" t="n">
        <x:f>E642^2*'Controls'!$B$52</x:f>
        <x:v>1.57824</x:v>
      </x:c>
      <x:c r="I642" s="20" t="n">
        <x:f>F642*G642*H642</x:f>
        <x:v>1501.853184</x:v>
      </x:c>
      <x:c r="J642" s="7" t="str">
        <x:v>Two faces, 200 mm nominal along 24 m net length</x:v>
      </x:c>
      <x:c r="K642" s="2"/>
      <x:c r="L642" s="2"/>
      <x:c r="M642" s="2"/>
      <x:c r="N642" s="2"/>
      <x:c r="O642" s="2"/>
      <x:c r="P642" s="2"/>
      <x:c r="Q642" s="2"/>
    </x:row>
    <x:row r="643" ht="22" customHeight="1">
      <x:c r="A643" s="2" t="str">
        <x:v>T4-L09-CH</x:v>
      </x:c>
      <x:c r="B643" s="2" t="str">
        <x:v>T4</x:v>
      </x:c>
      <x:c r="C643" s="2" t="str">
        <x:v>L09</x:v>
      </x:c>
      <x:c r="D643" s="2" t="str">
        <x:v>Core horizontal bars</x:v>
      </x:c>
      <x:c r="E643" s="21" t="n">
        <x:v>12</x:v>
      </x:c>
      <x:c r="F643" s="21" t="n">
        <x:v>32</x:v>
      </x:c>
      <x:c r="G643" s="21" t="n">
        <x:v>25</x:v>
      </x:c>
      <x:c r="H643" s="21" t="n">
        <x:f>E643^2*'Controls'!$B$52</x:f>
        <x:v>0.8877600000000001</x:v>
      </x:c>
      <x:c r="I643" s="21" t="n">
        <x:f>F643*G643*H643</x:f>
        <x:v>710.2080000000001</x:v>
      </x:c>
      <x:c r="J643" s="2" t="str">
        <x:v>Two faces x 16 layers incl. lap</x:v>
      </x:c>
      <x:c r="K643" s="2"/>
      <x:c r="L643" s="2"/>
      <x:c r="M643" s="2"/>
      <x:c r="N643" s="2"/>
      <x:c r="O643" s="2"/>
      <x:c r="P643" s="2"/>
      <x:c r="Q643" s="2"/>
    </x:row>
    <x:row r="644" ht="22" customHeight="1">
      <x:c r="A644" s="7" t="str">
        <x:v>T4-L09-ST</x:v>
      </x:c>
      <x:c r="B644" s="7" t="str">
        <x:v>T4</x:v>
      </x:c>
      <x:c r="C644" s="7" t="str">
        <x:v>L09</x:v>
      </x:c>
      <x:c r="D644" s="7" t="str">
        <x:v>Stair flights and landings</x:v>
      </x:c>
      <x:c r="E644" s="20" t="n">
        <x:v>12</x:v>
      </x:c>
      <x:c r="F644" s="20" t="n">
        <x:v>80</x:v>
      </x:c>
      <x:c r="G644" s="20" t="n">
        <x:v>4.8</x:v>
      </x:c>
      <x:c r="H644" s="20" t="n">
        <x:f>E644^2*'Controls'!$B$52</x:f>
        <x:v>0.8877600000000001</x:v>
      </x:c>
      <x:c r="I644" s="20" t="n">
        <x:f>F644*G644*H644</x:f>
        <x:v>340.89984000000004</x:v>
      </x:c>
      <x:c r="J644" s="7" t="str">
        <x:v>Separate stair reinforcement allowance</x:v>
      </x:c>
      <x:c r="K644" s="2"/>
      <x:c r="L644" s="2"/>
      <x:c r="M644" s="2"/>
      <x:c r="N644" s="2"/>
      <x:c r="O644" s="2"/>
      <x:c r="P644" s="2"/>
      <x:c r="Q644" s="2"/>
    </x:row>
    <x:row r="645" ht="22" customHeight="1">
      <x:c r="A645" s="2" t="str">
        <x:v>T4-L10-S1</x:v>
      </x:c>
      <x:c r="B645" s="2" t="str">
        <x:v>T4</x:v>
      </x:c>
      <x:c r="C645" s="2" t="str">
        <x:v>L10</x:v>
      </x:c>
      <x:c r="D645" s="2" t="str">
        <x:v>Slab X through strips</x:v>
      </x:c>
      <x:c r="E645" s="21" t="n">
        <x:v>12</x:v>
      </x:c>
      <x:c r="F645" s="21" t="n">
        <x:v>182</x:v>
      </x:c>
      <x:c r="G645" s="21" t="n">
        <x:v>29.95</x:v>
      </x:c>
      <x:c r="H645" s="21" t="n">
        <x:f>E645^2*'Controls'!$B$52</x:f>
        <x:v>0.8877600000000001</x:v>
      </x:c>
      <x:c r="I645" s="21" t="n">
        <x:f>F645*G645*H645</x:f>
        <x:v>4839.090984</x:v>
      </x:c>
      <x:c r="J645" s="2" t="str">
        <x:v>2 layers x 91 bars outside central opening band</x:v>
      </x:c>
      <x:c r="K645" s="2"/>
      <x:c r="L645" s="2"/>
      <x:c r="M645" s="2"/>
      <x:c r="N645" s="2"/>
      <x:c r="O645" s="2"/>
      <x:c r="P645" s="2"/>
      <x:c r="Q645" s="2"/>
    </x:row>
    <x:row r="646" ht="22" customHeight="1">
      <x:c r="A646" s="7" t="str">
        <x:v>T4-L10-S2</x:v>
      </x:c>
      <x:c r="B646" s="7" t="str">
        <x:v>T4</x:v>
      </x:c>
      <x:c r="C646" s="7" t="str">
        <x:v>L10</x:v>
      </x:c>
      <x:c r="D646" s="7" t="str">
        <x:v>Slab X split at core</x:v>
      </x:c>
      <x:c r="E646" s="20" t="n">
        <x:v>12</x:v>
      </x:c>
      <x:c r="F646" s="20" t="n">
        <x:v>60</x:v>
      </x:c>
      <x:c r="G646" s="20" t="n">
        <x:v>25.95</x:v>
      </x:c>
      <x:c r="H646" s="20" t="n">
        <x:f>E646^2*'Controls'!$B$52</x:f>
        <x:v>0.8877600000000001</x:v>
      </x:c>
      <x:c r="I646" s="20" t="n">
        <x:f>F646*G646*H646</x:f>
        <x:v>1382.24232</x:v>
      </x:c>
      <x:c r="J646" s="7" t="str">
        <x:v>2 layers x 30 bars, split lengths combined around 4 m opening</x:v>
      </x:c>
      <x:c r="K646" s="2"/>
      <x:c r="L646" s="2"/>
      <x:c r="M646" s="2"/>
      <x:c r="N646" s="2"/>
      <x:c r="O646" s="2"/>
      <x:c r="P646" s="2"/>
      <x:c r="Q646" s="2"/>
    </x:row>
    <x:row r="647" ht="22" customHeight="1">
      <x:c r="A647" s="2" t="str">
        <x:v>T4-L10-S3</x:v>
      </x:c>
      <x:c r="B647" s="2" t="str">
        <x:v>T4</x:v>
      </x:c>
      <x:c r="C647" s="2" t="str">
        <x:v>L10</x:v>
      </x:c>
      <x:c r="D647" s="2" t="str">
        <x:v>Slab Y through strips</x:v>
      </x:c>
      <x:c r="E647" s="21" t="n">
        <x:v>12</x:v>
      </x:c>
      <x:c r="F647" s="21" t="n">
        <x:v>262</x:v>
      </x:c>
      <x:c r="G647" s="21" t="n">
        <x:v>23.95</x:v>
      </x:c>
      <x:c r="H647" s="21" t="n">
        <x:f>E647^2*'Controls'!$B$52</x:f>
        <x:v>0.8877600000000001</x:v>
      </x:c>
      <x:c r="I647" s="21" t="n">
        <x:f>F647*G647*H647</x:f>
        <x:v>5570.605224</x:v>
      </x:c>
      <x:c r="J647" s="2" t="str">
        <x:v>2 layers x 131 bars outside central opening band</x:v>
      </x:c>
      <x:c r="K647" s="2"/>
      <x:c r="L647" s="2"/>
      <x:c r="M647" s="2"/>
      <x:c r="N647" s="2"/>
      <x:c r="O647" s="2"/>
      <x:c r="P647" s="2"/>
      <x:c r="Q647" s="2"/>
    </x:row>
    <x:row r="648" ht="22" customHeight="1">
      <x:c r="A648" s="7" t="str">
        <x:v>T4-L10-S4</x:v>
      </x:c>
      <x:c r="B648" s="7" t="str">
        <x:v>T4</x:v>
      </x:c>
      <x:c r="C648" s="7" t="str">
        <x:v>L10</x:v>
      </x:c>
      <x:c r="D648" s="7" t="str">
        <x:v>Slab Y split at core</x:v>
      </x:c>
      <x:c r="E648" s="20" t="n">
        <x:v>12</x:v>
      </x:c>
      <x:c r="F648" s="20" t="n">
        <x:v>40</x:v>
      </x:c>
      <x:c r="G648" s="20" t="n">
        <x:v>17.95</x:v>
      </x:c>
      <x:c r="H648" s="20" t="n">
        <x:f>E648^2*'Controls'!$B$52</x:f>
        <x:v>0.8877600000000001</x:v>
      </x:c>
      <x:c r="I648" s="20" t="n">
        <x:f>F648*G648*H648</x:f>
        <x:v>637.41168</x:v>
      </x:c>
      <x:c r="J648" s="7" t="str">
        <x:v>2 layers x 20 bars, split around 6 m opening</x:v>
      </x:c>
      <x:c r="K648" s="2"/>
      <x:c r="L648" s="2"/>
      <x:c r="M648" s="2"/>
      <x:c r="N648" s="2"/>
      <x:c r="O648" s="2"/>
      <x:c r="P648" s="2"/>
      <x:c r="Q648" s="2"/>
    </x:row>
    <x:row r="649" ht="22" customHeight="1">
      <x:c r="A649" s="2" t="str">
        <x:v>T4-L10-S5</x:v>
      </x:c>
      <x:c r="B649" s="2" t="str">
        <x:v>T4</x:v>
      </x:c>
      <x:c r="C649" s="2" t="str">
        <x:v>L10</x:v>
      </x:c>
      <x:c r="D649" s="2" t="str">
        <x:v>Opening trim bars</x:v>
      </x:c>
      <x:c r="E649" s="21" t="n">
        <x:v>16</x:v>
      </x:c>
      <x:c r="F649" s="21" t="n">
        <x:v>16</x:v>
      </x:c>
      <x:c r="G649" s="21" t="n">
        <x:v>7.2</x:v>
      </x:c>
      <x:c r="H649" s="21" t="n">
        <x:f>E649^2*'Controls'!$B$52</x:f>
        <x:v>1.57824</x:v>
      </x:c>
      <x:c r="I649" s="21" t="n">
        <x:f>F649*G649*H649</x:f>
        <x:v>181.81324800000002</x:v>
      </x:c>
      <x:c r="J649" s="2" t="str">
        <x:v>Trim allowance, explicit scheduled lengths</x:v>
      </x:c>
      <x:c r="K649" s="2"/>
      <x:c r="L649" s="2"/>
      <x:c r="M649" s="2"/>
      <x:c r="N649" s="2"/>
      <x:c r="O649" s="2"/>
      <x:c r="P649" s="2"/>
      <x:c r="Q649" s="2"/>
    </x:row>
    <x:row r="650" ht="22" customHeight="1">
      <x:c r="A650" s="7" t="str">
        <x:v>T4-L10-BX</x:v>
      </x:c>
      <x:c r="B650" s="7" t="str">
        <x:v>T4</x:v>
      </x:c>
      <x:c r="C650" s="7" t="str">
        <x:v>L10</x:v>
      </x:c>
      <x:c r="D650" s="7" t="str">
        <x:v>X beam longitudinal</x:v>
      </x:c>
      <x:c r="E650" s="20" t="n">
        <x:v>20</x:v>
      </x:c>
      <x:c r="F650" s="20" t="n">
        <x:v>150</x:v>
      </x:c>
      <x:c r="G650" s="20" t="n">
        <x:v>6.5</x:v>
      </x:c>
      <x:c r="H650" s="20" t="n">
        <x:f>E650^2*'Controls'!$B$52</x:f>
        <x:v>2.466</x:v>
      </x:c>
      <x:c r="I650" s="20" t="n">
        <x:f>F650*G650*H650</x:f>
        <x:v>2404.3500000000004</x:v>
      </x:c>
      <x:c r="J650" s="7" t="str">
        <x:v>25 spans x 6 bars incl. 1 m lap/anchorage provision</x:v>
      </x:c>
      <x:c r="K650" s="2"/>
      <x:c r="L650" s="2"/>
      <x:c r="M650" s="2"/>
      <x:c r="N650" s="2"/>
      <x:c r="O650" s="2"/>
      <x:c r="P650" s="2"/>
      <x:c r="Q650" s="2"/>
    </x:row>
    <x:row r="651" ht="22" customHeight="1">
      <x:c r="A651" s="2" t="str">
        <x:v>T4-L10-BY</x:v>
      </x:c>
      <x:c r="B651" s="2" t="str">
        <x:v>T4</x:v>
      </x:c>
      <x:c r="C651" s="2" t="str">
        <x:v>L10</x:v>
      </x:c>
      <x:c r="D651" s="2" t="str">
        <x:v>Y beam longitudinal</x:v>
      </x:c>
      <x:c r="E651" s="21" t="n">
        <x:v>20</x:v>
      </x:c>
      <x:c r="F651" s="21" t="n">
        <x:v>144</x:v>
      </x:c>
      <x:c r="G651" s="21" t="n">
        <x:v>6.5</x:v>
      </x:c>
      <x:c r="H651" s="21" t="n">
        <x:f>E651^2*'Controls'!$B$52</x:f>
        <x:v>2.466</x:v>
      </x:c>
      <x:c r="I651" s="21" t="n">
        <x:f>F651*G651*H651</x:f>
        <x:v>2308.1760000000004</x:v>
      </x:c>
      <x:c r="J651" s="2" t="str">
        <x:v>24 spans x 6 bars</x:v>
      </x:c>
      <x:c r="K651" s="2"/>
      <x:c r="L651" s="2"/>
      <x:c r="M651" s="2"/>
      <x:c r="N651" s="2"/>
      <x:c r="O651" s="2"/>
      <x:c r="P651" s="2"/>
      <x:c r="Q651" s="2"/>
    </x:row>
    <x:row r="652" ht="22" customHeight="1">
      <x:c r="A652" s="7" t="str">
        <x:v>T4-L10-BT</x:v>
      </x:c>
      <x:c r="B652" s="7" t="str">
        <x:v>T4</x:v>
      </x:c>
      <x:c r="C652" s="7" t="str">
        <x:v>L10</x:v>
      </x:c>
      <x:c r="D652" s="7" t="str">
        <x:v>Beam closed links</x:v>
      </x:c>
      <x:c r="E652" s="20" t="n">
        <x:v>10</x:v>
      </x:c>
      <x:c r="F652" s="20" t="n">
        <x:v>1421</x:v>
      </x:c>
      <x:c r="G652" s="20" t="n">
        <x:v>1.7</x:v>
      </x:c>
      <x:c r="H652" s="20" t="n">
        <x:f>E652^2*'Controls'!$B$52</x:f>
        <x:v>0.6165</x:v>
      </x:c>
      <x:c r="I652" s="20" t="n">
        <x:f>F652*G652*H652</x:f>
        <x:v>1489.27905</x:v>
      </x:c>
      <x:c r="J652" s="7" t="str">
        <x:v>49 beams x 29 links, 200 mm nominal</x:v>
      </x:c>
      <x:c r="K652" s="2"/>
      <x:c r="L652" s="2"/>
      <x:c r="M652" s="2"/>
      <x:c r="N652" s="2"/>
      <x:c r="O652" s="2"/>
      <x:c r="P652" s="2"/>
      <x:c r="Q652" s="2"/>
    </x:row>
    <x:row r="653" ht="22" customHeight="1">
      <x:c r="A653" s="2" t="str">
        <x:v>T4-L10-CL</x:v>
      </x:c>
      <x:c r="B653" s="2" t="str">
        <x:v>T4</x:v>
      </x:c>
      <x:c r="C653" s="2" t="str">
        <x:v>L10</x:v>
      </x:c>
      <x:c r="D653" s="2" t="str">
        <x:v>Column longitudinal</x:v>
      </x:c>
      <x:c r="E653" s="21" t="n">
        <x:v>25</x:v>
      </x:c>
      <x:c r="F653" s="21" t="n">
        <x:v>360</x:v>
      </x:c>
      <x:c r="G653" s="21" t="n">
        <x:v>3.9</x:v>
      </x:c>
      <x:c r="H653" s="21" t="n">
        <x:f>E653^2*'Controls'!$B$52</x:f>
        <x:v>3.8531250000000004</x:v>
      </x:c>
      <x:c r="I653" s="21" t="n">
        <x:f>F653*G653*H653</x:f>
        <x:v>5409.7875</x:v>
      </x:c>
      <x:c r="J653" s="2" t="str">
        <x:v>30 columns x 12 bars incl. lap</x:v>
      </x:c>
      <x:c r="K653" s="2"/>
      <x:c r="L653" s="2"/>
      <x:c r="M653" s="2"/>
      <x:c r="N653" s="2"/>
      <x:c r="O653" s="2"/>
      <x:c r="P653" s="2"/>
      <x:c r="Q653" s="2"/>
    </x:row>
    <x:row r="654" ht="22" customHeight="1">
      <x:c r="A654" s="7" t="str">
        <x:v>T4-L10-CT</x:v>
      </x:c>
      <x:c r="B654" s="7" t="str">
        <x:v>T4</x:v>
      </x:c>
      <x:c r="C654" s="7" t="str">
        <x:v>L10</x:v>
      </x:c>
      <x:c r="D654" s="7" t="str">
        <x:v>Column ties</x:v>
      </x:c>
      <x:c r="E654" s="20" t="n">
        <x:v>10</x:v>
      </x:c>
      <x:c r="F654" s="20" t="n">
        <x:v>510</x:v>
      </x:c>
      <x:c r="G654" s="20" t="n">
        <x:v>1.96</x:v>
      </x:c>
      <x:c r="H654" s="20" t="n">
        <x:f>E654^2*'Controls'!$B$52</x:f>
        <x:v>0.6165</x:v>
      </x:c>
      <x:c r="I654" s="20" t="n">
        <x:f>F654*G654*H654</x:f>
        <x:v>616.2534</x:v>
      </x:c>
      <x:c r="J654" s="7" t="str">
        <x:v>30 columns x 17 ties, cover and hooks included</x:v>
      </x:c>
      <x:c r="K654" s="2"/>
      <x:c r="L654" s="2"/>
      <x:c r="M654" s="2"/>
      <x:c r="N654" s="2"/>
      <x:c r="O654" s="2"/>
      <x:c r="P654" s="2"/>
      <x:c r="Q654" s="2"/>
    </x:row>
    <x:row r="655" ht="22" customHeight="1">
      <x:c r="A655" s="2" t="str">
        <x:v>T4-L10-CV</x:v>
      </x:c>
      <x:c r="B655" s="2" t="str">
        <x:v>T4</x:v>
      </x:c>
      <x:c r="C655" s="2" t="str">
        <x:v>L10</x:v>
      </x:c>
      <x:c r="D655" s="2" t="str">
        <x:v>Core vertical bars</x:v>
      </x:c>
      <x:c r="E655" s="21" t="n">
        <x:v>16</x:v>
      </x:c>
      <x:c r="F655" s="21" t="n">
        <x:v>244</x:v>
      </x:c>
      <x:c r="G655" s="21" t="n">
        <x:v>3.9</x:v>
      </x:c>
      <x:c r="H655" s="21" t="n">
        <x:f>E655^2*'Controls'!$B$52</x:f>
        <x:v>1.57824</x:v>
      </x:c>
      <x:c r="I655" s="21" t="n">
        <x:f>F655*G655*H655</x:f>
        <x:v>1501.853184</x:v>
      </x:c>
      <x:c r="J655" s="2" t="str">
        <x:v>Two faces, 200 mm nominal along 24 m net length</x:v>
      </x:c>
      <x:c r="K655" s="2"/>
      <x:c r="L655" s="2"/>
      <x:c r="M655" s="2"/>
      <x:c r="N655" s="2"/>
      <x:c r="O655" s="2"/>
      <x:c r="P655" s="2"/>
      <x:c r="Q655" s="2"/>
    </x:row>
    <x:row r="656" ht="22" customHeight="1">
      <x:c r="A656" s="7" t="str">
        <x:v>T4-L10-CH</x:v>
      </x:c>
      <x:c r="B656" s="7" t="str">
        <x:v>T4</x:v>
      </x:c>
      <x:c r="C656" s="7" t="str">
        <x:v>L10</x:v>
      </x:c>
      <x:c r="D656" s="7" t="str">
        <x:v>Core horizontal bars</x:v>
      </x:c>
      <x:c r="E656" s="20" t="n">
        <x:v>12</x:v>
      </x:c>
      <x:c r="F656" s="20" t="n">
        <x:v>32</x:v>
      </x:c>
      <x:c r="G656" s="20" t="n">
        <x:v>25</x:v>
      </x:c>
      <x:c r="H656" s="20" t="n">
        <x:f>E656^2*'Controls'!$B$52</x:f>
        <x:v>0.8877600000000001</x:v>
      </x:c>
      <x:c r="I656" s="20" t="n">
        <x:f>F656*G656*H656</x:f>
        <x:v>710.2080000000001</x:v>
      </x:c>
      <x:c r="J656" s="7" t="str">
        <x:v>Two faces x 16 layers incl. lap</x:v>
      </x:c>
      <x:c r="K656" s="2"/>
      <x:c r="L656" s="2"/>
      <x:c r="M656" s="2"/>
      <x:c r="N656" s="2"/>
      <x:c r="O656" s="2"/>
      <x:c r="P656" s="2"/>
      <x:c r="Q656" s="2"/>
    </x:row>
    <x:row r="657" ht="22" customHeight="1">
      <x:c r="A657" s="2" t="str">
        <x:v>T4-L10-ST</x:v>
      </x:c>
      <x:c r="B657" s="2" t="str">
        <x:v>T4</x:v>
      </x:c>
      <x:c r="C657" s="2" t="str">
        <x:v>L10</x:v>
      </x:c>
      <x:c r="D657" s="2" t="str">
        <x:v>Stair flights and landings</x:v>
      </x:c>
      <x:c r="E657" s="21" t="n">
        <x:v>12</x:v>
      </x:c>
      <x:c r="F657" s="21" t="n">
        <x:v>80</x:v>
      </x:c>
      <x:c r="G657" s="21" t="n">
        <x:v>4.8</x:v>
      </x:c>
      <x:c r="H657" s="21" t="n">
        <x:f>E657^2*'Controls'!$B$52</x:f>
        <x:v>0.8877600000000001</x:v>
      </x:c>
      <x:c r="I657" s="21" t="n">
        <x:f>F657*G657*H657</x:f>
        <x:v>340.89984000000004</x:v>
      </x:c>
      <x:c r="J657" s="2" t="str">
        <x:v>Separate stair reinforcement allowance</x:v>
      </x:c>
      <x:c r="K657" s="2"/>
      <x:c r="L657" s="2"/>
      <x:c r="M657" s="2"/>
      <x:c r="N657" s="2"/>
      <x:c r="O657" s="2"/>
      <x:c r="P657" s="2"/>
      <x:c r="Q657" s="2"/>
    </x:row>
    <x:row r="658" ht="22" customHeight="1">
      <x:c r="A658" s="7" t="str">
        <x:v>T4-L11-S1</x:v>
      </x:c>
      <x:c r="B658" s="7" t="str">
        <x:v>T4</x:v>
      </x:c>
      <x:c r="C658" s="7" t="str">
        <x:v>L11</x:v>
      </x:c>
      <x:c r="D658" s="7" t="str">
        <x:v>Slab X through strips</x:v>
      </x:c>
      <x:c r="E658" s="20" t="n">
        <x:v>12</x:v>
      </x:c>
      <x:c r="F658" s="20" t="n">
        <x:v>182</x:v>
      </x:c>
      <x:c r="G658" s="20" t="n">
        <x:v>29.95</x:v>
      </x:c>
      <x:c r="H658" s="20" t="n">
        <x:f>E658^2*'Controls'!$B$52</x:f>
        <x:v>0.8877600000000001</x:v>
      </x:c>
      <x:c r="I658" s="20" t="n">
        <x:f>F658*G658*H658</x:f>
        <x:v>4839.090984</x:v>
      </x:c>
      <x:c r="J658" s="7" t="str">
        <x:v>2 layers x 91 bars outside central opening band</x:v>
      </x:c>
      <x:c r="K658" s="2"/>
      <x:c r="L658" s="2"/>
      <x:c r="M658" s="2"/>
      <x:c r="N658" s="2"/>
      <x:c r="O658" s="2"/>
      <x:c r="P658" s="2"/>
      <x:c r="Q658" s="2"/>
    </x:row>
    <x:row r="659" ht="22" customHeight="1">
      <x:c r="A659" s="2" t="str">
        <x:v>T4-L11-S2</x:v>
      </x:c>
      <x:c r="B659" s="2" t="str">
        <x:v>T4</x:v>
      </x:c>
      <x:c r="C659" s="2" t="str">
        <x:v>L11</x:v>
      </x:c>
      <x:c r="D659" s="2" t="str">
        <x:v>Slab X split at core</x:v>
      </x:c>
      <x:c r="E659" s="21" t="n">
        <x:v>12</x:v>
      </x:c>
      <x:c r="F659" s="21" t="n">
        <x:v>60</x:v>
      </x:c>
      <x:c r="G659" s="21" t="n">
        <x:v>25.95</x:v>
      </x:c>
      <x:c r="H659" s="21" t="n">
        <x:f>E659^2*'Controls'!$B$52</x:f>
        <x:v>0.8877600000000001</x:v>
      </x:c>
      <x:c r="I659" s="21" t="n">
        <x:f>F659*G659*H659</x:f>
        <x:v>1382.24232</x:v>
      </x:c>
      <x:c r="J659" s="2" t="str">
        <x:v>2 layers x 30 bars, split lengths combined around 4 m opening</x:v>
      </x:c>
      <x:c r="K659" s="2"/>
      <x:c r="L659" s="2"/>
      <x:c r="M659" s="2"/>
      <x:c r="N659" s="2"/>
      <x:c r="O659" s="2"/>
      <x:c r="P659" s="2"/>
      <x:c r="Q659" s="2"/>
    </x:row>
    <x:row r="660" ht="22" customHeight="1">
      <x:c r="A660" s="7" t="str">
        <x:v>T4-L11-S3</x:v>
      </x:c>
      <x:c r="B660" s="7" t="str">
        <x:v>T4</x:v>
      </x:c>
      <x:c r="C660" s="7" t="str">
        <x:v>L11</x:v>
      </x:c>
      <x:c r="D660" s="7" t="str">
        <x:v>Slab Y through strips</x:v>
      </x:c>
      <x:c r="E660" s="20" t="n">
        <x:v>12</x:v>
      </x:c>
      <x:c r="F660" s="20" t="n">
        <x:v>262</x:v>
      </x:c>
      <x:c r="G660" s="20" t="n">
        <x:v>23.95</x:v>
      </x:c>
      <x:c r="H660" s="20" t="n">
        <x:f>E660^2*'Controls'!$B$52</x:f>
        <x:v>0.8877600000000001</x:v>
      </x:c>
      <x:c r="I660" s="20" t="n">
        <x:f>F660*G660*H660</x:f>
        <x:v>5570.605224</x:v>
      </x:c>
      <x:c r="J660" s="7" t="str">
        <x:v>2 layers x 131 bars outside central opening band</x:v>
      </x:c>
      <x:c r="K660" s="2"/>
      <x:c r="L660" s="2"/>
      <x:c r="M660" s="2"/>
      <x:c r="N660" s="2"/>
      <x:c r="O660" s="2"/>
      <x:c r="P660" s="2"/>
      <x:c r="Q660" s="2"/>
    </x:row>
    <x:row r="661" ht="22" customHeight="1">
      <x:c r="A661" s="2" t="str">
        <x:v>T4-L11-S4</x:v>
      </x:c>
      <x:c r="B661" s="2" t="str">
        <x:v>T4</x:v>
      </x:c>
      <x:c r="C661" s="2" t="str">
        <x:v>L11</x:v>
      </x:c>
      <x:c r="D661" s="2" t="str">
        <x:v>Slab Y split at core</x:v>
      </x:c>
      <x:c r="E661" s="21" t="n">
        <x:v>12</x:v>
      </x:c>
      <x:c r="F661" s="21" t="n">
        <x:v>40</x:v>
      </x:c>
      <x:c r="G661" s="21" t="n">
        <x:v>17.95</x:v>
      </x:c>
      <x:c r="H661" s="21" t="n">
        <x:f>E661^2*'Controls'!$B$52</x:f>
        <x:v>0.8877600000000001</x:v>
      </x:c>
      <x:c r="I661" s="21" t="n">
        <x:f>F661*G661*H661</x:f>
        <x:v>637.41168</x:v>
      </x:c>
      <x:c r="J661" s="2" t="str">
        <x:v>2 layers x 20 bars, split around 6 m opening</x:v>
      </x:c>
      <x:c r="K661" s="2"/>
      <x:c r="L661" s="2"/>
      <x:c r="M661" s="2"/>
      <x:c r="N661" s="2"/>
      <x:c r="O661" s="2"/>
      <x:c r="P661" s="2"/>
      <x:c r="Q661" s="2"/>
    </x:row>
    <x:row r="662" ht="22" customHeight="1">
      <x:c r="A662" s="7" t="str">
        <x:v>T4-L11-S5</x:v>
      </x:c>
      <x:c r="B662" s="7" t="str">
        <x:v>T4</x:v>
      </x:c>
      <x:c r="C662" s="7" t="str">
        <x:v>L11</x:v>
      </x:c>
      <x:c r="D662" s="7" t="str">
        <x:v>Opening trim bars</x:v>
      </x:c>
      <x:c r="E662" s="20" t="n">
        <x:v>16</x:v>
      </x:c>
      <x:c r="F662" s="20" t="n">
        <x:v>16</x:v>
      </x:c>
      <x:c r="G662" s="20" t="n">
        <x:v>7.2</x:v>
      </x:c>
      <x:c r="H662" s="20" t="n">
        <x:f>E662^2*'Controls'!$B$52</x:f>
        <x:v>1.57824</x:v>
      </x:c>
      <x:c r="I662" s="20" t="n">
        <x:f>F662*G662*H662</x:f>
        <x:v>181.81324800000002</x:v>
      </x:c>
      <x:c r="J662" s="7" t="str">
        <x:v>Trim allowance, explicit scheduled lengths</x:v>
      </x:c>
      <x:c r="K662" s="2"/>
      <x:c r="L662" s="2"/>
      <x:c r="M662" s="2"/>
      <x:c r="N662" s="2"/>
      <x:c r="O662" s="2"/>
      <x:c r="P662" s="2"/>
      <x:c r="Q662" s="2"/>
    </x:row>
    <x:row r="663" ht="22" customHeight="1">
      <x:c r="A663" s="2" t="str">
        <x:v>T4-L11-BX</x:v>
      </x:c>
      <x:c r="B663" s="2" t="str">
        <x:v>T4</x:v>
      </x:c>
      <x:c r="C663" s="2" t="str">
        <x:v>L11</x:v>
      </x:c>
      <x:c r="D663" s="2" t="str">
        <x:v>X beam longitudinal</x:v>
      </x:c>
      <x:c r="E663" s="21" t="n">
        <x:v>20</x:v>
      </x:c>
      <x:c r="F663" s="21" t="n">
        <x:v>150</x:v>
      </x:c>
      <x:c r="G663" s="21" t="n">
        <x:v>6.5</x:v>
      </x:c>
      <x:c r="H663" s="21" t="n">
        <x:f>E663^2*'Controls'!$B$52</x:f>
        <x:v>2.466</x:v>
      </x:c>
      <x:c r="I663" s="21" t="n">
        <x:f>F663*G663*H663</x:f>
        <x:v>2404.3500000000004</x:v>
      </x:c>
      <x:c r="J663" s="2" t="str">
        <x:v>25 spans x 6 bars incl. 1 m lap/anchorage provision</x:v>
      </x:c>
      <x:c r="K663" s="2"/>
      <x:c r="L663" s="2"/>
      <x:c r="M663" s="2"/>
      <x:c r="N663" s="2"/>
      <x:c r="O663" s="2"/>
      <x:c r="P663" s="2"/>
      <x:c r="Q663" s="2"/>
    </x:row>
    <x:row r="664" ht="22" customHeight="1">
      <x:c r="A664" s="7" t="str">
        <x:v>T4-L11-BY</x:v>
      </x:c>
      <x:c r="B664" s="7" t="str">
        <x:v>T4</x:v>
      </x:c>
      <x:c r="C664" s="7" t="str">
        <x:v>L11</x:v>
      </x:c>
      <x:c r="D664" s="7" t="str">
        <x:v>Y beam longitudinal</x:v>
      </x:c>
      <x:c r="E664" s="20" t="n">
        <x:v>20</x:v>
      </x:c>
      <x:c r="F664" s="20" t="n">
        <x:v>144</x:v>
      </x:c>
      <x:c r="G664" s="20" t="n">
        <x:v>6.5</x:v>
      </x:c>
      <x:c r="H664" s="20" t="n">
        <x:f>E664^2*'Controls'!$B$52</x:f>
        <x:v>2.466</x:v>
      </x:c>
      <x:c r="I664" s="20" t="n">
        <x:f>F664*G664*H664</x:f>
        <x:v>2308.1760000000004</x:v>
      </x:c>
      <x:c r="J664" s="7" t="str">
        <x:v>24 spans x 6 bars</x:v>
      </x:c>
      <x:c r="K664" s="2"/>
      <x:c r="L664" s="2"/>
      <x:c r="M664" s="2"/>
      <x:c r="N664" s="2"/>
      <x:c r="O664" s="2"/>
      <x:c r="P664" s="2"/>
      <x:c r="Q664" s="2"/>
    </x:row>
    <x:row r="665" ht="22" customHeight="1">
      <x:c r="A665" s="2" t="str">
        <x:v>T4-L11-BT</x:v>
      </x:c>
      <x:c r="B665" s="2" t="str">
        <x:v>T4</x:v>
      </x:c>
      <x:c r="C665" s="2" t="str">
        <x:v>L11</x:v>
      </x:c>
      <x:c r="D665" s="2" t="str">
        <x:v>Beam closed links</x:v>
      </x:c>
      <x:c r="E665" s="21" t="n">
        <x:v>10</x:v>
      </x:c>
      <x:c r="F665" s="21" t="n">
        <x:v>1421</x:v>
      </x:c>
      <x:c r="G665" s="21" t="n">
        <x:v>1.7</x:v>
      </x:c>
      <x:c r="H665" s="21" t="n">
        <x:f>E665^2*'Controls'!$B$52</x:f>
        <x:v>0.6165</x:v>
      </x:c>
      <x:c r="I665" s="21" t="n">
        <x:f>F665*G665*H665</x:f>
        <x:v>1489.27905</x:v>
      </x:c>
      <x:c r="J665" s="2" t="str">
        <x:v>49 beams x 29 links, 200 mm nominal</x:v>
      </x:c>
      <x:c r="K665" s="2"/>
      <x:c r="L665" s="2"/>
      <x:c r="M665" s="2"/>
      <x:c r="N665" s="2"/>
      <x:c r="O665" s="2"/>
      <x:c r="P665" s="2"/>
      <x:c r="Q665" s="2"/>
    </x:row>
    <x:row r="666" ht="22" customHeight="1">
      <x:c r="A666" s="7" t="str">
        <x:v>T4-L11-CL</x:v>
      </x:c>
      <x:c r="B666" s="7" t="str">
        <x:v>T4</x:v>
      </x:c>
      <x:c r="C666" s="7" t="str">
        <x:v>L11</x:v>
      </x:c>
      <x:c r="D666" s="7" t="str">
        <x:v>Column longitudinal</x:v>
      </x:c>
      <x:c r="E666" s="20" t="n">
        <x:v>25</x:v>
      </x:c>
      <x:c r="F666" s="20" t="n">
        <x:v>360</x:v>
      </x:c>
      <x:c r="G666" s="20" t="n">
        <x:v>3.9</x:v>
      </x:c>
      <x:c r="H666" s="20" t="n">
        <x:f>E666^2*'Controls'!$B$52</x:f>
        <x:v>3.8531250000000004</x:v>
      </x:c>
      <x:c r="I666" s="20" t="n">
        <x:f>F666*G666*H666</x:f>
        <x:v>5409.7875</x:v>
      </x:c>
      <x:c r="J666" s="7" t="str">
        <x:v>30 columns x 12 bars incl. lap</x:v>
      </x:c>
      <x:c r="K666" s="2"/>
      <x:c r="L666" s="2"/>
      <x:c r="M666" s="2"/>
      <x:c r="N666" s="2"/>
      <x:c r="O666" s="2"/>
      <x:c r="P666" s="2"/>
      <x:c r="Q666" s="2"/>
    </x:row>
    <x:row r="667" ht="22" customHeight="1">
      <x:c r="A667" s="2" t="str">
        <x:v>T4-L11-CT</x:v>
      </x:c>
      <x:c r="B667" s="2" t="str">
        <x:v>T4</x:v>
      </x:c>
      <x:c r="C667" s="2" t="str">
        <x:v>L11</x:v>
      </x:c>
      <x:c r="D667" s="2" t="str">
        <x:v>Column ties</x:v>
      </x:c>
      <x:c r="E667" s="21" t="n">
        <x:v>10</x:v>
      </x:c>
      <x:c r="F667" s="21" t="n">
        <x:v>510</x:v>
      </x:c>
      <x:c r="G667" s="21" t="n">
        <x:v>1.96</x:v>
      </x:c>
      <x:c r="H667" s="21" t="n">
        <x:f>E667^2*'Controls'!$B$52</x:f>
        <x:v>0.6165</x:v>
      </x:c>
      <x:c r="I667" s="21" t="n">
        <x:f>F667*G667*H667</x:f>
        <x:v>616.2534</x:v>
      </x:c>
      <x:c r="J667" s="2" t="str">
        <x:v>30 columns x 17 ties, cover and hooks included</x:v>
      </x:c>
      <x:c r="K667" s="2"/>
      <x:c r="L667" s="2"/>
      <x:c r="M667" s="2"/>
      <x:c r="N667" s="2"/>
      <x:c r="O667" s="2"/>
      <x:c r="P667" s="2"/>
      <x:c r="Q667" s="2"/>
    </x:row>
    <x:row r="668" ht="22" customHeight="1">
      <x:c r="A668" s="7" t="str">
        <x:v>T4-L11-CV</x:v>
      </x:c>
      <x:c r="B668" s="7" t="str">
        <x:v>T4</x:v>
      </x:c>
      <x:c r="C668" s="7" t="str">
        <x:v>L11</x:v>
      </x:c>
      <x:c r="D668" s="7" t="str">
        <x:v>Core vertical bars</x:v>
      </x:c>
      <x:c r="E668" s="20" t="n">
        <x:v>16</x:v>
      </x:c>
      <x:c r="F668" s="20" t="n">
        <x:v>244</x:v>
      </x:c>
      <x:c r="G668" s="20" t="n">
        <x:v>3.9</x:v>
      </x:c>
      <x:c r="H668" s="20" t="n">
        <x:f>E668^2*'Controls'!$B$52</x:f>
        <x:v>1.57824</x:v>
      </x:c>
      <x:c r="I668" s="20" t="n">
        <x:f>F668*G668*H668</x:f>
        <x:v>1501.853184</x:v>
      </x:c>
      <x:c r="J668" s="7" t="str">
        <x:v>Two faces, 200 mm nominal along 24 m net length</x:v>
      </x:c>
      <x:c r="K668" s="2"/>
      <x:c r="L668" s="2"/>
      <x:c r="M668" s="2"/>
      <x:c r="N668" s="2"/>
      <x:c r="O668" s="2"/>
      <x:c r="P668" s="2"/>
      <x:c r="Q668" s="2"/>
    </x:row>
    <x:row r="669" ht="22" customHeight="1">
      <x:c r="A669" s="2" t="str">
        <x:v>T4-L11-CH</x:v>
      </x:c>
      <x:c r="B669" s="2" t="str">
        <x:v>T4</x:v>
      </x:c>
      <x:c r="C669" s="2" t="str">
        <x:v>L11</x:v>
      </x:c>
      <x:c r="D669" s="2" t="str">
        <x:v>Core horizontal bars</x:v>
      </x:c>
      <x:c r="E669" s="21" t="n">
        <x:v>12</x:v>
      </x:c>
      <x:c r="F669" s="21" t="n">
        <x:v>32</x:v>
      </x:c>
      <x:c r="G669" s="21" t="n">
        <x:v>25</x:v>
      </x:c>
      <x:c r="H669" s="21" t="n">
        <x:f>E669^2*'Controls'!$B$52</x:f>
        <x:v>0.8877600000000001</x:v>
      </x:c>
      <x:c r="I669" s="21" t="n">
        <x:f>F669*G669*H669</x:f>
        <x:v>710.2080000000001</x:v>
      </x:c>
      <x:c r="J669" s="2" t="str">
        <x:v>Two faces x 16 layers incl. lap</x:v>
      </x:c>
      <x:c r="K669" s="2"/>
      <x:c r="L669" s="2"/>
      <x:c r="M669" s="2"/>
      <x:c r="N669" s="2"/>
      <x:c r="O669" s="2"/>
      <x:c r="P669" s="2"/>
      <x:c r="Q669" s="2"/>
    </x:row>
    <x:row r="670" ht="22" customHeight="1">
      <x:c r="A670" s="7" t="str">
        <x:v>T4-L11-ST</x:v>
      </x:c>
      <x:c r="B670" s="7" t="str">
        <x:v>T4</x:v>
      </x:c>
      <x:c r="C670" s="7" t="str">
        <x:v>L11</x:v>
      </x:c>
      <x:c r="D670" s="7" t="str">
        <x:v>Stair flights and landings</x:v>
      </x:c>
      <x:c r="E670" s="20" t="n">
        <x:v>12</x:v>
      </x:c>
      <x:c r="F670" s="20" t="n">
        <x:v>80</x:v>
      </x:c>
      <x:c r="G670" s="20" t="n">
        <x:v>4.8</x:v>
      </x:c>
      <x:c r="H670" s="20" t="n">
        <x:f>E670^2*'Controls'!$B$52</x:f>
        <x:v>0.8877600000000001</x:v>
      </x:c>
      <x:c r="I670" s="20" t="n">
        <x:f>F670*G670*H670</x:f>
        <x:v>340.89984000000004</x:v>
      </x:c>
      <x:c r="J670" s="7" t="str">
        <x:v>Separate stair reinforcement allowance</x:v>
      </x:c>
      <x:c r="K670" s="2"/>
      <x:c r="L670" s="2"/>
      <x:c r="M670" s="2"/>
      <x:c r="N670" s="2"/>
      <x:c r="O670" s="2"/>
      <x:c r="P670" s="2"/>
      <x:c r="Q670" s="2"/>
    </x:row>
    <x:row r="671" ht="22" customHeight="1">
      <x:c r="A671" s="2" t="str">
        <x:v>T4-L12-S1</x:v>
      </x:c>
      <x:c r="B671" s="2" t="str">
        <x:v>T4</x:v>
      </x:c>
      <x:c r="C671" s="2" t="str">
        <x:v>L12</x:v>
      </x:c>
      <x:c r="D671" s="2" t="str">
        <x:v>Slab X through strips</x:v>
      </x:c>
      <x:c r="E671" s="21" t="n">
        <x:v>12</x:v>
      </x:c>
      <x:c r="F671" s="21" t="n">
        <x:v>182</x:v>
      </x:c>
      <x:c r="G671" s="21" t="n">
        <x:v>29.95</x:v>
      </x:c>
      <x:c r="H671" s="21" t="n">
        <x:f>E671^2*'Controls'!$B$52</x:f>
        <x:v>0.8877600000000001</x:v>
      </x:c>
      <x:c r="I671" s="21" t="n">
        <x:f>F671*G671*H671</x:f>
        <x:v>4839.090984</x:v>
      </x:c>
      <x:c r="J671" s="2" t="str">
        <x:v>2 layers x 91 bars outside central opening band</x:v>
      </x:c>
      <x:c r="K671" s="2"/>
      <x:c r="L671" s="2"/>
      <x:c r="M671" s="2"/>
      <x:c r="N671" s="2"/>
      <x:c r="O671" s="2"/>
      <x:c r="P671" s="2"/>
      <x:c r="Q671" s="2"/>
    </x:row>
    <x:row r="672" ht="22" customHeight="1">
      <x:c r="A672" s="7" t="str">
        <x:v>T4-L12-S2</x:v>
      </x:c>
      <x:c r="B672" s="7" t="str">
        <x:v>T4</x:v>
      </x:c>
      <x:c r="C672" s="7" t="str">
        <x:v>L12</x:v>
      </x:c>
      <x:c r="D672" s="7" t="str">
        <x:v>Slab X split at core</x:v>
      </x:c>
      <x:c r="E672" s="20" t="n">
        <x:v>12</x:v>
      </x:c>
      <x:c r="F672" s="20" t="n">
        <x:v>60</x:v>
      </x:c>
      <x:c r="G672" s="20" t="n">
        <x:v>25.95</x:v>
      </x:c>
      <x:c r="H672" s="20" t="n">
        <x:f>E672^2*'Controls'!$B$52</x:f>
        <x:v>0.8877600000000001</x:v>
      </x:c>
      <x:c r="I672" s="20" t="n">
        <x:f>F672*G672*H672</x:f>
        <x:v>1382.24232</x:v>
      </x:c>
      <x:c r="J672" s="7" t="str">
        <x:v>2 layers x 30 bars, split lengths combined around 4 m opening</x:v>
      </x:c>
      <x:c r="K672" s="2"/>
      <x:c r="L672" s="2"/>
      <x:c r="M672" s="2"/>
      <x:c r="N672" s="2"/>
      <x:c r="O672" s="2"/>
      <x:c r="P672" s="2"/>
      <x:c r="Q672" s="2"/>
    </x:row>
    <x:row r="673" ht="22" customHeight="1">
      <x:c r="A673" s="2" t="str">
        <x:v>T4-L12-S3</x:v>
      </x:c>
      <x:c r="B673" s="2" t="str">
        <x:v>T4</x:v>
      </x:c>
      <x:c r="C673" s="2" t="str">
        <x:v>L12</x:v>
      </x:c>
      <x:c r="D673" s="2" t="str">
        <x:v>Slab Y through strips</x:v>
      </x:c>
      <x:c r="E673" s="21" t="n">
        <x:v>12</x:v>
      </x:c>
      <x:c r="F673" s="21" t="n">
        <x:v>262</x:v>
      </x:c>
      <x:c r="G673" s="21" t="n">
        <x:v>23.95</x:v>
      </x:c>
      <x:c r="H673" s="21" t="n">
        <x:f>E673^2*'Controls'!$B$52</x:f>
        <x:v>0.8877600000000001</x:v>
      </x:c>
      <x:c r="I673" s="21" t="n">
        <x:f>F673*G673*H673</x:f>
        <x:v>5570.605224</x:v>
      </x:c>
      <x:c r="J673" s="2" t="str">
        <x:v>2 layers x 131 bars outside central opening band</x:v>
      </x:c>
      <x:c r="K673" s="2"/>
      <x:c r="L673" s="2"/>
      <x:c r="M673" s="2"/>
      <x:c r="N673" s="2"/>
      <x:c r="O673" s="2"/>
      <x:c r="P673" s="2"/>
      <x:c r="Q673" s="2"/>
    </x:row>
    <x:row r="674" ht="22" customHeight="1">
      <x:c r="A674" s="7" t="str">
        <x:v>T4-L12-S4</x:v>
      </x:c>
      <x:c r="B674" s="7" t="str">
        <x:v>T4</x:v>
      </x:c>
      <x:c r="C674" s="7" t="str">
        <x:v>L12</x:v>
      </x:c>
      <x:c r="D674" s="7" t="str">
        <x:v>Slab Y split at core</x:v>
      </x:c>
      <x:c r="E674" s="20" t="n">
        <x:v>12</x:v>
      </x:c>
      <x:c r="F674" s="20" t="n">
        <x:v>40</x:v>
      </x:c>
      <x:c r="G674" s="20" t="n">
        <x:v>17.95</x:v>
      </x:c>
      <x:c r="H674" s="20" t="n">
        <x:f>E674^2*'Controls'!$B$52</x:f>
        <x:v>0.8877600000000001</x:v>
      </x:c>
      <x:c r="I674" s="20" t="n">
        <x:f>F674*G674*H674</x:f>
        <x:v>637.41168</x:v>
      </x:c>
      <x:c r="J674" s="7" t="str">
        <x:v>2 layers x 20 bars, split around 6 m opening</x:v>
      </x:c>
      <x:c r="K674" s="2"/>
      <x:c r="L674" s="2"/>
      <x:c r="M674" s="2"/>
      <x:c r="N674" s="2"/>
      <x:c r="O674" s="2"/>
      <x:c r="P674" s="2"/>
      <x:c r="Q674" s="2"/>
    </x:row>
    <x:row r="675" ht="22" customHeight="1">
      <x:c r="A675" s="2" t="str">
        <x:v>T4-L12-S5</x:v>
      </x:c>
      <x:c r="B675" s="2" t="str">
        <x:v>T4</x:v>
      </x:c>
      <x:c r="C675" s="2" t="str">
        <x:v>L12</x:v>
      </x:c>
      <x:c r="D675" s="2" t="str">
        <x:v>Opening trim bars</x:v>
      </x:c>
      <x:c r="E675" s="21" t="n">
        <x:v>16</x:v>
      </x:c>
      <x:c r="F675" s="21" t="n">
        <x:v>16</x:v>
      </x:c>
      <x:c r="G675" s="21" t="n">
        <x:v>7.2</x:v>
      </x:c>
      <x:c r="H675" s="21" t="n">
        <x:f>E675^2*'Controls'!$B$52</x:f>
        <x:v>1.57824</x:v>
      </x:c>
      <x:c r="I675" s="21" t="n">
        <x:f>F675*G675*H675</x:f>
        <x:v>181.81324800000002</x:v>
      </x:c>
      <x:c r="J675" s="2" t="str">
        <x:v>Trim allowance, explicit scheduled lengths</x:v>
      </x:c>
      <x:c r="K675" s="2"/>
      <x:c r="L675" s="2"/>
      <x:c r="M675" s="2"/>
      <x:c r="N675" s="2"/>
      <x:c r="O675" s="2"/>
      <x:c r="P675" s="2"/>
      <x:c r="Q675" s="2"/>
    </x:row>
    <x:row r="676" ht="22" customHeight="1">
      <x:c r="A676" s="7" t="str">
        <x:v>T4-L12-BX</x:v>
      </x:c>
      <x:c r="B676" s="7" t="str">
        <x:v>T4</x:v>
      </x:c>
      <x:c r="C676" s="7" t="str">
        <x:v>L12</x:v>
      </x:c>
      <x:c r="D676" s="7" t="str">
        <x:v>X beam longitudinal</x:v>
      </x:c>
      <x:c r="E676" s="20" t="n">
        <x:v>20</x:v>
      </x:c>
      <x:c r="F676" s="20" t="n">
        <x:v>150</x:v>
      </x:c>
      <x:c r="G676" s="20" t="n">
        <x:v>6.5</x:v>
      </x:c>
      <x:c r="H676" s="20" t="n">
        <x:f>E676^2*'Controls'!$B$52</x:f>
        <x:v>2.466</x:v>
      </x:c>
      <x:c r="I676" s="20" t="n">
        <x:f>F676*G676*H676</x:f>
        <x:v>2404.3500000000004</x:v>
      </x:c>
      <x:c r="J676" s="7" t="str">
        <x:v>25 spans x 6 bars incl. 1 m lap/anchorage provision</x:v>
      </x:c>
      <x:c r="K676" s="2"/>
      <x:c r="L676" s="2"/>
      <x:c r="M676" s="2"/>
      <x:c r="N676" s="2"/>
      <x:c r="O676" s="2"/>
      <x:c r="P676" s="2"/>
      <x:c r="Q676" s="2"/>
    </x:row>
    <x:row r="677" ht="22" customHeight="1">
      <x:c r="A677" s="2" t="str">
        <x:v>T4-L12-BY</x:v>
      </x:c>
      <x:c r="B677" s="2" t="str">
        <x:v>T4</x:v>
      </x:c>
      <x:c r="C677" s="2" t="str">
        <x:v>L12</x:v>
      </x:c>
      <x:c r="D677" s="2" t="str">
        <x:v>Y beam longitudinal</x:v>
      </x:c>
      <x:c r="E677" s="21" t="n">
        <x:v>20</x:v>
      </x:c>
      <x:c r="F677" s="21" t="n">
        <x:v>144</x:v>
      </x:c>
      <x:c r="G677" s="21" t="n">
        <x:v>6.5</x:v>
      </x:c>
      <x:c r="H677" s="21" t="n">
        <x:f>E677^2*'Controls'!$B$52</x:f>
        <x:v>2.466</x:v>
      </x:c>
      <x:c r="I677" s="21" t="n">
        <x:f>F677*G677*H677</x:f>
        <x:v>2308.1760000000004</x:v>
      </x:c>
      <x:c r="J677" s="2" t="str">
        <x:v>24 spans x 6 bars</x:v>
      </x:c>
      <x:c r="K677" s="2"/>
      <x:c r="L677" s="2"/>
      <x:c r="M677" s="2"/>
      <x:c r="N677" s="2"/>
      <x:c r="O677" s="2"/>
      <x:c r="P677" s="2"/>
      <x:c r="Q677" s="2"/>
    </x:row>
    <x:row r="678" ht="22" customHeight="1">
      <x:c r="A678" s="7" t="str">
        <x:v>T4-L12-BT</x:v>
      </x:c>
      <x:c r="B678" s="7" t="str">
        <x:v>T4</x:v>
      </x:c>
      <x:c r="C678" s="7" t="str">
        <x:v>L12</x:v>
      </x:c>
      <x:c r="D678" s="7" t="str">
        <x:v>Beam closed links</x:v>
      </x:c>
      <x:c r="E678" s="20" t="n">
        <x:v>10</x:v>
      </x:c>
      <x:c r="F678" s="20" t="n">
        <x:v>1421</x:v>
      </x:c>
      <x:c r="G678" s="20" t="n">
        <x:v>1.7</x:v>
      </x:c>
      <x:c r="H678" s="20" t="n">
        <x:f>E678^2*'Controls'!$B$52</x:f>
        <x:v>0.6165</x:v>
      </x:c>
      <x:c r="I678" s="20" t="n">
        <x:f>F678*G678*H678</x:f>
        <x:v>1489.27905</x:v>
      </x:c>
      <x:c r="J678" s="7" t="str">
        <x:v>49 beams x 29 links, 200 mm nominal</x:v>
      </x:c>
      <x:c r="K678" s="2"/>
      <x:c r="L678" s="2"/>
      <x:c r="M678" s="2"/>
      <x:c r="N678" s="2"/>
      <x:c r="O678" s="2"/>
      <x:c r="P678" s="2"/>
      <x:c r="Q678" s="2"/>
    </x:row>
    <x:row r="679" ht="22" customHeight="1">
      <x:c r="A679" s="2" t="str">
        <x:v>T4-L12-CL</x:v>
      </x:c>
      <x:c r="B679" s="2" t="str">
        <x:v>T4</x:v>
      </x:c>
      <x:c r="C679" s="2" t="str">
        <x:v>L12</x:v>
      </x:c>
      <x:c r="D679" s="2" t="str">
        <x:v>Column longitudinal</x:v>
      </x:c>
      <x:c r="E679" s="21" t="n">
        <x:v>25</x:v>
      </x:c>
      <x:c r="F679" s="21" t="n">
        <x:v>360</x:v>
      </x:c>
      <x:c r="G679" s="21" t="n">
        <x:v>3.9</x:v>
      </x:c>
      <x:c r="H679" s="21" t="n">
        <x:f>E679^2*'Controls'!$B$52</x:f>
        <x:v>3.8531250000000004</x:v>
      </x:c>
      <x:c r="I679" s="21" t="n">
        <x:f>F679*G679*H679</x:f>
        <x:v>5409.7875</x:v>
      </x:c>
      <x:c r="J679" s="2" t="str">
        <x:v>30 columns x 12 bars incl. lap</x:v>
      </x:c>
      <x:c r="K679" s="2"/>
      <x:c r="L679" s="2"/>
      <x:c r="M679" s="2"/>
      <x:c r="N679" s="2"/>
      <x:c r="O679" s="2"/>
      <x:c r="P679" s="2"/>
      <x:c r="Q679" s="2"/>
    </x:row>
    <x:row r="680" ht="22" customHeight="1">
      <x:c r="A680" s="7" t="str">
        <x:v>T4-L12-CT</x:v>
      </x:c>
      <x:c r="B680" s="7" t="str">
        <x:v>T4</x:v>
      </x:c>
      <x:c r="C680" s="7" t="str">
        <x:v>L12</x:v>
      </x:c>
      <x:c r="D680" s="7" t="str">
        <x:v>Column ties</x:v>
      </x:c>
      <x:c r="E680" s="20" t="n">
        <x:v>10</x:v>
      </x:c>
      <x:c r="F680" s="20" t="n">
        <x:v>510</x:v>
      </x:c>
      <x:c r="G680" s="20" t="n">
        <x:v>1.96</x:v>
      </x:c>
      <x:c r="H680" s="20" t="n">
        <x:f>E680^2*'Controls'!$B$52</x:f>
        <x:v>0.6165</x:v>
      </x:c>
      <x:c r="I680" s="20" t="n">
        <x:f>F680*G680*H680</x:f>
        <x:v>616.2534</x:v>
      </x:c>
      <x:c r="J680" s="7" t="str">
        <x:v>30 columns x 17 ties, cover and hooks included</x:v>
      </x:c>
      <x:c r="K680" s="2"/>
      <x:c r="L680" s="2"/>
      <x:c r="M680" s="2"/>
      <x:c r="N680" s="2"/>
      <x:c r="O680" s="2"/>
      <x:c r="P680" s="2"/>
      <x:c r="Q680" s="2"/>
    </x:row>
    <x:row r="681" ht="22" customHeight="1">
      <x:c r="A681" s="2" t="str">
        <x:v>T4-L12-CV</x:v>
      </x:c>
      <x:c r="B681" s="2" t="str">
        <x:v>T4</x:v>
      </x:c>
      <x:c r="C681" s="2" t="str">
        <x:v>L12</x:v>
      </x:c>
      <x:c r="D681" s="2" t="str">
        <x:v>Core vertical bars</x:v>
      </x:c>
      <x:c r="E681" s="21" t="n">
        <x:v>16</x:v>
      </x:c>
      <x:c r="F681" s="21" t="n">
        <x:v>244</x:v>
      </x:c>
      <x:c r="G681" s="21" t="n">
        <x:v>3.9</x:v>
      </x:c>
      <x:c r="H681" s="21" t="n">
        <x:f>E681^2*'Controls'!$B$52</x:f>
        <x:v>1.57824</x:v>
      </x:c>
      <x:c r="I681" s="21" t="n">
        <x:f>F681*G681*H681</x:f>
        <x:v>1501.853184</x:v>
      </x:c>
      <x:c r="J681" s="2" t="str">
        <x:v>Two faces, 200 mm nominal along 24 m net length</x:v>
      </x:c>
      <x:c r="K681" s="2"/>
      <x:c r="L681" s="2"/>
      <x:c r="M681" s="2"/>
      <x:c r="N681" s="2"/>
      <x:c r="O681" s="2"/>
      <x:c r="P681" s="2"/>
      <x:c r="Q681" s="2"/>
    </x:row>
    <x:row r="682" ht="22" customHeight="1">
      <x:c r="A682" s="7" t="str">
        <x:v>T4-L12-CH</x:v>
      </x:c>
      <x:c r="B682" s="7" t="str">
        <x:v>T4</x:v>
      </x:c>
      <x:c r="C682" s="7" t="str">
        <x:v>L12</x:v>
      </x:c>
      <x:c r="D682" s="7" t="str">
        <x:v>Core horizontal bars</x:v>
      </x:c>
      <x:c r="E682" s="20" t="n">
        <x:v>12</x:v>
      </x:c>
      <x:c r="F682" s="20" t="n">
        <x:v>32</x:v>
      </x:c>
      <x:c r="G682" s="20" t="n">
        <x:v>25</x:v>
      </x:c>
      <x:c r="H682" s="20" t="n">
        <x:f>E682^2*'Controls'!$B$52</x:f>
        <x:v>0.8877600000000001</x:v>
      </x:c>
      <x:c r="I682" s="20" t="n">
        <x:f>F682*G682*H682</x:f>
        <x:v>710.2080000000001</x:v>
      </x:c>
      <x:c r="J682" s="7" t="str">
        <x:v>Two faces x 16 layers incl. lap</x:v>
      </x:c>
      <x:c r="K682" s="2"/>
      <x:c r="L682" s="2"/>
      <x:c r="M682" s="2"/>
      <x:c r="N682" s="2"/>
      <x:c r="O682" s="2"/>
      <x:c r="P682" s="2"/>
      <x:c r="Q682" s="2"/>
    </x:row>
    <x:row r="683" ht="22" customHeight="1">
      <x:c r="A683" s="2" t="str">
        <x:v>T4-L12-ST</x:v>
      </x:c>
      <x:c r="B683" s="2" t="str">
        <x:v>T4</x:v>
      </x:c>
      <x:c r="C683" s="2" t="str">
        <x:v>L12</x:v>
      </x:c>
      <x:c r="D683" s="2" t="str">
        <x:v>Stair flights and landings</x:v>
      </x:c>
      <x:c r="E683" s="21" t="n">
        <x:v>12</x:v>
      </x:c>
      <x:c r="F683" s="21" t="n">
        <x:v>80</x:v>
      </x:c>
      <x:c r="G683" s="21" t="n">
        <x:v>4.8</x:v>
      </x:c>
      <x:c r="H683" s="21" t="n">
        <x:f>E683^2*'Controls'!$B$52</x:f>
        <x:v>0.8877600000000001</x:v>
      </x:c>
      <x:c r="I683" s="21" t="n">
        <x:f>F683*G683*H683</x:f>
        <x:v>340.89984000000004</x:v>
      </x:c>
      <x:c r="J683" s="2" t="str">
        <x:v>Separate stair reinforcement allowance</x:v>
      </x:c>
      <x:c r="K683" s="2"/>
      <x:c r="L683" s="2"/>
      <x:c r="M683" s="2"/>
      <x:c r="N683" s="2"/>
      <x:c r="O683" s="2"/>
      <x:c r="P683" s="2"/>
      <x:c r="Q683" s="2"/>
    </x:row>
    <x:row r="684" ht="22" customHeight="1">
      <x:c r="A684" s="7" t="str">
        <x:v>T5-L00-S1</x:v>
      </x:c>
      <x:c r="B684" s="7" t="str">
        <x:v>T5</x:v>
      </x:c>
      <x:c r="C684" s="7" t="str">
        <x:v>L00</x:v>
      </x:c>
      <x:c r="D684" s="7" t="str">
        <x:v>Slab X through strips</x:v>
      </x:c>
      <x:c r="E684" s="20" t="n">
        <x:v>12</x:v>
      </x:c>
      <x:c r="F684" s="20" t="n">
        <x:v>182</x:v>
      </x:c>
      <x:c r="G684" s="20" t="n">
        <x:v>29.95</x:v>
      </x:c>
      <x:c r="H684" s="20" t="n">
        <x:f>E684^2*'Controls'!$B$52</x:f>
        <x:v>0.8877600000000001</x:v>
      </x:c>
      <x:c r="I684" s="20" t="n">
        <x:f>F684*G684*H684</x:f>
        <x:v>4839.090984</x:v>
      </x:c>
      <x:c r="J684" s="7" t="str">
        <x:v>2 layers x 91 bars outside central opening band</x:v>
      </x:c>
      <x:c r="K684" s="2"/>
      <x:c r="L684" s="2"/>
      <x:c r="M684" s="2"/>
      <x:c r="N684" s="2"/>
      <x:c r="O684" s="2"/>
      <x:c r="P684" s="2"/>
      <x:c r="Q684" s="2"/>
    </x:row>
    <x:row r="685" ht="22" customHeight="1">
      <x:c r="A685" s="2" t="str">
        <x:v>T5-L00-S2</x:v>
      </x:c>
      <x:c r="B685" s="2" t="str">
        <x:v>T5</x:v>
      </x:c>
      <x:c r="C685" s="2" t="str">
        <x:v>L00</x:v>
      </x:c>
      <x:c r="D685" s="2" t="str">
        <x:v>Slab X split at core</x:v>
      </x:c>
      <x:c r="E685" s="21" t="n">
        <x:v>12</x:v>
      </x:c>
      <x:c r="F685" s="21" t="n">
        <x:v>60</x:v>
      </x:c>
      <x:c r="G685" s="21" t="n">
        <x:v>25.95</x:v>
      </x:c>
      <x:c r="H685" s="21" t="n">
        <x:f>E685^2*'Controls'!$B$52</x:f>
        <x:v>0.8877600000000001</x:v>
      </x:c>
      <x:c r="I685" s="21" t="n">
        <x:f>F685*G685*H685</x:f>
        <x:v>1382.24232</x:v>
      </x:c>
      <x:c r="J685" s="2" t="str">
        <x:v>2 layers x 30 bars, split lengths combined around 4 m opening</x:v>
      </x:c>
      <x:c r="K685" s="2"/>
      <x:c r="L685" s="2"/>
      <x:c r="M685" s="2"/>
      <x:c r="N685" s="2"/>
      <x:c r="O685" s="2"/>
      <x:c r="P685" s="2"/>
      <x:c r="Q685" s="2"/>
    </x:row>
    <x:row r="686" ht="22" customHeight="1">
      <x:c r="A686" s="7" t="str">
        <x:v>T5-L00-S3</x:v>
      </x:c>
      <x:c r="B686" s="7" t="str">
        <x:v>T5</x:v>
      </x:c>
      <x:c r="C686" s="7" t="str">
        <x:v>L00</x:v>
      </x:c>
      <x:c r="D686" s="7" t="str">
        <x:v>Slab Y through strips</x:v>
      </x:c>
      <x:c r="E686" s="20" t="n">
        <x:v>12</x:v>
      </x:c>
      <x:c r="F686" s="20" t="n">
        <x:v>262</x:v>
      </x:c>
      <x:c r="G686" s="20" t="n">
        <x:v>23.95</x:v>
      </x:c>
      <x:c r="H686" s="20" t="n">
        <x:f>E686^2*'Controls'!$B$52</x:f>
        <x:v>0.8877600000000001</x:v>
      </x:c>
      <x:c r="I686" s="20" t="n">
        <x:f>F686*G686*H686</x:f>
        <x:v>5570.605224</x:v>
      </x:c>
      <x:c r="J686" s="7" t="str">
        <x:v>2 layers x 131 bars outside central opening band</x:v>
      </x:c>
      <x:c r="K686" s="2"/>
      <x:c r="L686" s="2"/>
      <x:c r="M686" s="2"/>
      <x:c r="N686" s="2"/>
      <x:c r="O686" s="2"/>
      <x:c r="P686" s="2"/>
      <x:c r="Q686" s="2"/>
    </x:row>
    <x:row r="687" ht="22" customHeight="1">
      <x:c r="A687" s="2" t="str">
        <x:v>T5-L00-S4</x:v>
      </x:c>
      <x:c r="B687" s="2" t="str">
        <x:v>T5</x:v>
      </x:c>
      <x:c r="C687" s="2" t="str">
        <x:v>L00</x:v>
      </x:c>
      <x:c r="D687" s="2" t="str">
        <x:v>Slab Y split at core</x:v>
      </x:c>
      <x:c r="E687" s="21" t="n">
        <x:v>12</x:v>
      </x:c>
      <x:c r="F687" s="21" t="n">
        <x:v>40</x:v>
      </x:c>
      <x:c r="G687" s="21" t="n">
        <x:v>17.95</x:v>
      </x:c>
      <x:c r="H687" s="21" t="n">
        <x:f>E687^2*'Controls'!$B$52</x:f>
        <x:v>0.8877600000000001</x:v>
      </x:c>
      <x:c r="I687" s="21" t="n">
        <x:f>F687*G687*H687</x:f>
        <x:v>637.41168</x:v>
      </x:c>
      <x:c r="J687" s="2" t="str">
        <x:v>2 layers x 20 bars, split around 6 m opening</x:v>
      </x:c>
      <x:c r="K687" s="2"/>
      <x:c r="L687" s="2"/>
      <x:c r="M687" s="2"/>
      <x:c r="N687" s="2"/>
      <x:c r="O687" s="2"/>
      <x:c r="P687" s="2"/>
      <x:c r="Q687" s="2"/>
    </x:row>
    <x:row r="688" ht="22" customHeight="1">
      <x:c r="A688" s="7" t="str">
        <x:v>T5-L00-S5</x:v>
      </x:c>
      <x:c r="B688" s="7" t="str">
        <x:v>T5</x:v>
      </x:c>
      <x:c r="C688" s="7" t="str">
        <x:v>L00</x:v>
      </x:c>
      <x:c r="D688" s="7" t="str">
        <x:v>Opening trim bars</x:v>
      </x:c>
      <x:c r="E688" s="20" t="n">
        <x:v>16</x:v>
      </x:c>
      <x:c r="F688" s="20" t="n">
        <x:v>16</x:v>
      </x:c>
      <x:c r="G688" s="20" t="n">
        <x:v>7.2</x:v>
      </x:c>
      <x:c r="H688" s="20" t="n">
        <x:f>E688^2*'Controls'!$B$52</x:f>
        <x:v>1.57824</x:v>
      </x:c>
      <x:c r="I688" s="20" t="n">
        <x:f>F688*G688*H688</x:f>
        <x:v>181.81324800000002</x:v>
      </x:c>
      <x:c r="J688" s="7" t="str">
        <x:v>Trim allowance, explicit scheduled lengths</x:v>
      </x:c>
      <x:c r="K688" s="2"/>
      <x:c r="L688" s="2"/>
      <x:c r="M688" s="2"/>
      <x:c r="N688" s="2"/>
      <x:c r="O688" s="2"/>
      <x:c r="P688" s="2"/>
      <x:c r="Q688" s="2"/>
    </x:row>
    <x:row r="689" ht="22" customHeight="1">
      <x:c r="A689" s="2" t="str">
        <x:v>T5-L00-BX</x:v>
      </x:c>
      <x:c r="B689" s="2" t="str">
        <x:v>T5</x:v>
      </x:c>
      <x:c r="C689" s="2" t="str">
        <x:v>L00</x:v>
      </x:c>
      <x:c r="D689" s="2" t="str">
        <x:v>X beam longitudinal</x:v>
      </x:c>
      <x:c r="E689" s="21" t="n">
        <x:v>20</x:v>
      </x:c>
      <x:c r="F689" s="21" t="n">
        <x:v>150</x:v>
      </x:c>
      <x:c r="G689" s="21" t="n">
        <x:v>6.5</x:v>
      </x:c>
      <x:c r="H689" s="21" t="n">
        <x:f>E689^2*'Controls'!$B$52</x:f>
        <x:v>2.466</x:v>
      </x:c>
      <x:c r="I689" s="21" t="n">
        <x:f>F689*G689*H689</x:f>
        <x:v>2404.3500000000004</x:v>
      </x:c>
      <x:c r="J689" s="2" t="str">
        <x:v>25 spans x 6 bars incl. 1 m lap/anchorage provision</x:v>
      </x:c>
      <x:c r="K689" s="2"/>
      <x:c r="L689" s="2"/>
      <x:c r="M689" s="2"/>
      <x:c r="N689" s="2"/>
      <x:c r="O689" s="2"/>
      <x:c r="P689" s="2"/>
      <x:c r="Q689" s="2"/>
    </x:row>
    <x:row r="690" ht="22" customHeight="1">
      <x:c r="A690" s="7" t="str">
        <x:v>T5-L00-BY</x:v>
      </x:c>
      <x:c r="B690" s="7" t="str">
        <x:v>T5</x:v>
      </x:c>
      <x:c r="C690" s="7" t="str">
        <x:v>L00</x:v>
      </x:c>
      <x:c r="D690" s="7" t="str">
        <x:v>Y beam longitudinal</x:v>
      </x:c>
      <x:c r="E690" s="20" t="n">
        <x:v>20</x:v>
      </x:c>
      <x:c r="F690" s="20" t="n">
        <x:v>144</x:v>
      </x:c>
      <x:c r="G690" s="20" t="n">
        <x:v>6.5</x:v>
      </x:c>
      <x:c r="H690" s="20" t="n">
        <x:f>E690^2*'Controls'!$B$52</x:f>
        <x:v>2.466</x:v>
      </x:c>
      <x:c r="I690" s="20" t="n">
        <x:f>F690*G690*H690</x:f>
        <x:v>2308.1760000000004</x:v>
      </x:c>
      <x:c r="J690" s="7" t="str">
        <x:v>24 spans x 6 bars</x:v>
      </x:c>
      <x:c r="K690" s="2"/>
      <x:c r="L690" s="2"/>
      <x:c r="M690" s="2"/>
      <x:c r="N690" s="2"/>
      <x:c r="O690" s="2"/>
      <x:c r="P690" s="2"/>
      <x:c r="Q690" s="2"/>
    </x:row>
    <x:row r="691" ht="22" customHeight="1">
      <x:c r="A691" s="2" t="str">
        <x:v>T5-L00-BT</x:v>
      </x:c>
      <x:c r="B691" s="2" t="str">
        <x:v>T5</x:v>
      </x:c>
      <x:c r="C691" s="2" t="str">
        <x:v>L00</x:v>
      </x:c>
      <x:c r="D691" s="2" t="str">
        <x:v>Beam closed links</x:v>
      </x:c>
      <x:c r="E691" s="21" t="n">
        <x:v>10</x:v>
      </x:c>
      <x:c r="F691" s="21" t="n">
        <x:v>1421</x:v>
      </x:c>
      <x:c r="G691" s="21" t="n">
        <x:v>1.7</x:v>
      </x:c>
      <x:c r="H691" s="21" t="n">
        <x:f>E691^2*'Controls'!$B$52</x:f>
        <x:v>0.6165</x:v>
      </x:c>
      <x:c r="I691" s="21" t="n">
        <x:f>F691*G691*H691</x:f>
        <x:v>1489.27905</x:v>
      </x:c>
      <x:c r="J691" s="2" t="str">
        <x:v>49 beams x 29 links, 200 mm nominal</x:v>
      </x:c>
      <x:c r="K691" s="2"/>
      <x:c r="L691" s="2"/>
      <x:c r="M691" s="2"/>
      <x:c r="N691" s="2"/>
      <x:c r="O691" s="2"/>
      <x:c r="P691" s="2"/>
      <x:c r="Q691" s="2"/>
    </x:row>
    <x:row r="692" ht="22" customHeight="1">
      <x:c r="A692" s="7" t="str">
        <x:v>T5-L00-CL</x:v>
      </x:c>
      <x:c r="B692" s="7" t="str">
        <x:v>T5</x:v>
      </x:c>
      <x:c r="C692" s="7" t="str">
        <x:v>L00</x:v>
      </x:c>
      <x:c r="D692" s="7" t="str">
        <x:v>Column longitudinal</x:v>
      </x:c>
      <x:c r="E692" s="20" t="n">
        <x:v>25</x:v>
      </x:c>
      <x:c r="F692" s="20" t="n">
        <x:v>360</x:v>
      </x:c>
      <x:c r="G692" s="20" t="n">
        <x:v>3.9</x:v>
      </x:c>
      <x:c r="H692" s="20" t="n">
        <x:f>E692^2*'Controls'!$B$52</x:f>
        <x:v>3.8531250000000004</x:v>
      </x:c>
      <x:c r="I692" s="20" t="n">
        <x:f>F692*G692*H692</x:f>
        <x:v>5409.7875</x:v>
      </x:c>
      <x:c r="J692" s="7" t="str">
        <x:v>30 columns x 12 bars incl. lap</x:v>
      </x:c>
      <x:c r="K692" s="2"/>
      <x:c r="L692" s="2"/>
      <x:c r="M692" s="2"/>
      <x:c r="N692" s="2"/>
      <x:c r="O692" s="2"/>
      <x:c r="P692" s="2"/>
      <x:c r="Q692" s="2"/>
    </x:row>
    <x:row r="693" ht="22" customHeight="1">
      <x:c r="A693" s="2" t="str">
        <x:v>T5-L00-CT</x:v>
      </x:c>
      <x:c r="B693" s="2" t="str">
        <x:v>T5</x:v>
      </x:c>
      <x:c r="C693" s="2" t="str">
        <x:v>L00</x:v>
      </x:c>
      <x:c r="D693" s="2" t="str">
        <x:v>Column ties</x:v>
      </x:c>
      <x:c r="E693" s="21" t="n">
        <x:v>10</x:v>
      </x:c>
      <x:c r="F693" s="21" t="n">
        <x:v>510</x:v>
      </x:c>
      <x:c r="G693" s="21" t="n">
        <x:v>1.96</x:v>
      </x:c>
      <x:c r="H693" s="21" t="n">
        <x:f>E693^2*'Controls'!$B$52</x:f>
        <x:v>0.6165</x:v>
      </x:c>
      <x:c r="I693" s="21" t="n">
        <x:f>F693*G693*H693</x:f>
        <x:v>616.2534</x:v>
      </x:c>
      <x:c r="J693" s="2" t="str">
        <x:v>30 columns x 17 ties, cover and hooks included</x:v>
      </x:c>
      <x:c r="K693" s="2"/>
      <x:c r="L693" s="2"/>
      <x:c r="M693" s="2"/>
      <x:c r="N693" s="2"/>
      <x:c r="O693" s="2"/>
      <x:c r="P693" s="2"/>
      <x:c r="Q693" s="2"/>
    </x:row>
    <x:row r="694" ht="22" customHeight="1">
      <x:c r="A694" s="7" t="str">
        <x:v>T5-L00-CV</x:v>
      </x:c>
      <x:c r="B694" s="7" t="str">
        <x:v>T5</x:v>
      </x:c>
      <x:c r="C694" s="7" t="str">
        <x:v>L00</x:v>
      </x:c>
      <x:c r="D694" s="7" t="str">
        <x:v>Core vertical bars</x:v>
      </x:c>
      <x:c r="E694" s="20" t="n">
        <x:v>16</x:v>
      </x:c>
      <x:c r="F694" s="20" t="n">
        <x:v>244</x:v>
      </x:c>
      <x:c r="G694" s="20" t="n">
        <x:v>3.9</x:v>
      </x:c>
      <x:c r="H694" s="20" t="n">
        <x:f>E694^2*'Controls'!$B$52</x:f>
        <x:v>1.57824</x:v>
      </x:c>
      <x:c r="I694" s="20" t="n">
        <x:f>F694*G694*H694</x:f>
        <x:v>1501.853184</x:v>
      </x:c>
      <x:c r="J694" s="7" t="str">
        <x:v>Two faces, 200 mm nominal along 24 m net length</x:v>
      </x:c>
      <x:c r="K694" s="2"/>
      <x:c r="L694" s="2"/>
      <x:c r="M694" s="2"/>
      <x:c r="N694" s="2"/>
      <x:c r="O694" s="2"/>
      <x:c r="P694" s="2"/>
      <x:c r="Q694" s="2"/>
    </x:row>
    <x:row r="695" ht="22" customHeight="1">
      <x:c r="A695" s="2" t="str">
        <x:v>T5-L00-CH</x:v>
      </x:c>
      <x:c r="B695" s="2" t="str">
        <x:v>T5</x:v>
      </x:c>
      <x:c r="C695" s="2" t="str">
        <x:v>L00</x:v>
      </x:c>
      <x:c r="D695" s="2" t="str">
        <x:v>Core horizontal bars</x:v>
      </x:c>
      <x:c r="E695" s="21" t="n">
        <x:v>12</x:v>
      </x:c>
      <x:c r="F695" s="21" t="n">
        <x:v>32</x:v>
      </x:c>
      <x:c r="G695" s="21" t="n">
        <x:v>25</x:v>
      </x:c>
      <x:c r="H695" s="21" t="n">
        <x:f>E695^2*'Controls'!$B$52</x:f>
        <x:v>0.8877600000000001</x:v>
      </x:c>
      <x:c r="I695" s="21" t="n">
        <x:f>F695*G695*H695</x:f>
        <x:v>710.2080000000001</x:v>
      </x:c>
      <x:c r="J695" s="2" t="str">
        <x:v>Two faces x 16 layers incl. lap</x:v>
      </x:c>
      <x:c r="K695" s="2"/>
      <x:c r="L695" s="2"/>
      <x:c r="M695" s="2"/>
      <x:c r="N695" s="2"/>
      <x:c r="O695" s="2"/>
      <x:c r="P695" s="2"/>
      <x:c r="Q695" s="2"/>
    </x:row>
    <x:row r="696" ht="22" customHeight="1">
      <x:c r="A696" s="7" t="str">
        <x:v>T5-L00-ST</x:v>
      </x:c>
      <x:c r="B696" s="7" t="str">
        <x:v>T5</x:v>
      </x:c>
      <x:c r="C696" s="7" t="str">
        <x:v>L00</x:v>
      </x:c>
      <x:c r="D696" s="7" t="str">
        <x:v>Stair flights and landings</x:v>
      </x:c>
      <x:c r="E696" s="20" t="n">
        <x:v>12</x:v>
      </x:c>
      <x:c r="F696" s="20" t="n">
        <x:v>80</x:v>
      </x:c>
      <x:c r="G696" s="20" t="n">
        <x:v>4.8</x:v>
      </x:c>
      <x:c r="H696" s="20" t="n">
        <x:f>E696^2*'Controls'!$B$52</x:f>
        <x:v>0.8877600000000001</x:v>
      </x:c>
      <x:c r="I696" s="20" t="n">
        <x:f>F696*G696*H696</x:f>
        <x:v>340.89984000000004</x:v>
      </x:c>
      <x:c r="J696" s="7" t="str">
        <x:v>Separate stair reinforcement allowance</x:v>
      </x:c>
      <x:c r="K696" s="2"/>
      <x:c r="L696" s="2"/>
      <x:c r="M696" s="2"/>
      <x:c r="N696" s="2"/>
      <x:c r="O696" s="2"/>
      <x:c r="P696" s="2"/>
      <x:c r="Q696" s="2"/>
    </x:row>
    <x:row r="697" ht="22" customHeight="1">
      <x:c r="A697" s="2" t="str">
        <x:v>T5-L01-S1</x:v>
      </x:c>
      <x:c r="B697" s="2" t="str">
        <x:v>T5</x:v>
      </x:c>
      <x:c r="C697" s="2" t="str">
        <x:v>L01</x:v>
      </x:c>
      <x:c r="D697" s="2" t="str">
        <x:v>Slab X through strips</x:v>
      </x:c>
      <x:c r="E697" s="21" t="n">
        <x:v>12</x:v>
      </x:c>
      <x:c r="F697" s="21" t="n">
        <x:v>182</x:v>
      </x:c>
      <x:c r="G697" s="21" t="n">
        <x:v>29.95</x:v>
      </x:c>
      <x:c r="H697" s="21" t="n">
        <x:f>E697^2*'Controls'!$B$52</x:f>
        <x:v>0.8877600000000001</x:v>
      </x:c>
      <x:c r="I697" s="21" t="n">
        <x:f>F697*G697*H697</x:f>
        <x:v>4839.090984</x:v>
      </x:c>
      <x:c r="J697" s="2" t="str">
        <x:v>2 layers x 91 bars outside central opening band</x:v>
      </x:c>
      <x:c r="K697" s="2"/>
      <x:c r="L697" s="2"/>
      <x:c r="M697" s="2"/>
      <x:c r="N697" s="2"/>
      <x:c r="O697" s="2"/>
      <x:c r="P697" s="2"/>
      <x:c r="Q697" s="2"/>
    </x:row>
    <x:row r="698" ht="22" customHeight="1">
      <x:c r="A698" s="7" t="str">
        <x:v>T5-L01-S2</x:v>
      </x:c>
      <x:c r="B698" s="7" t="str">
        <x:v>T5</x:v>
      </x:c>
      <x:c r="C698" s="7" t="str">
        <x:v>L01</x:v>
      </x:c>
      <x:c r="D698" s="7" t="str">
        <x:v>Slab X split at core</x:v>
      </x:c>
      <x:c r="E698" s="20" t="n">
        <x:v>12</x:v>
      </x:c>
      <x:c r="F698" s="20" t="n">
        <x:v>60</x:v>
      </x:c>
      <x:c r="G698" s="20" t="n">
        <x:v>25.95</x:v>
      </x:c>
      <x:c r="H698" s="20" t="n">
        <x:f>E698^2*'Controls'!$B$52</x:f>
        <x:v>0.8877600000000001</x:v>
      </x:c>
      <x:c r="I698" s="20" t="n">
        <x:f>F698*G698*H698</x:f>
        <x:v>1382.24232</x:v>
      </x:c>
      <x:c r="J698" s="7" t="str">
        <x:v>2 layers x 30 bars, split lengths combined around 4 m opening</x:v>
      </x:c>
      <x:c r="K698" s="2"/>
      <x:c r="L698" s="2"/>
      <x:c r="M698" s="2"/>
      <x:c r="N698" s="2"/>
      <x:c r="O698" s="2"/>
      <x:c r="P698" s="2"/>
      <x:c r="Q698" s="2"/>
    </x:row>
    <x:row r="699" ht="22" customHeight="1">
      <x:c r="A699" s="2" t="str">
        <x:v>T5-L01-S3</x:v>
      </x:c>
      <x:c r="B699" s="2" t="str">
        <x:v>T5</x:v>
      </x:c>
      <x:c r="C699" s="2" t="str">
        <x:v>L01</x:v>
      </x:c>
      <x:c r="D699" s="2" t="str">
        <x:v>Slab Y through strips</x:v>
      </x:c>
      <x:c r="E699" s="21" t="n">
        <x:v>12</x:v>
      </x:c>
      <x:c r="F699" s="21" t="n">
        <x:v>262</x:v>
      </x:c>
      <x:c r="G699" s="21" t="n">
        <x:v>23.95</x:v>
      </x:c>
      <x:c r="H699" s="21" t="n">
        <x:f>E699^2*'Controls'!$B$52</x:f>
        <x:v>0.8877600000000001</x:v>
      </x:c>
      <x:c r="I699" s="21" t="n">
        <x:f>F699*G699*H699</x:f>
        <x:v>5570.605224</x:v>
      </x:c>
      <x:c r="J699" s="2" t="str">
        <x:v>2 layers x 131 bars outside central opening band</x:v>
      </x:c>
      <x:c r="K699" s="2"/>
      <x:c r="L699" s="2"/>
      <x:c r="M699" s="2"/>
      <x:c r="N699" s="2"/>
      <x:c r="O699" s="2"/>
      <x:c r="P699" s="2"/>
      <x:c r="Q699" s="2"/>
    </x:row>
    <x:row r="700" ht="22" customHeight="1">
      <x:c r="A700" s="7" t="str">
        <x:v>T5-L01-S4</x:v>
      </x:c>
      <x:c r="B700" s="7" t="str">
        <x:v>T5</x:v>
      </x:c>
      <x:c r="C700" s="7" t="str">
        <x:v>L01</x:v>
      </x:c>
      <x:c r="D700" s="7" t="str">
        <x:v>Slab Y split at core</x:v>
      </x:c>
      <x:c r="E700" s="20" t="n">
        <x:v>12</x:v>
      </x:c>
      <x:c r="F700" s="20" t="n">
        <x:v>40</x:v>
      </x:c>
      <x:c r="G700" s="20" t="n">
        <x:v>17.95</x:v>
      </x:c>
      <x:c r="H700" s="20" t="n">
        <x:f>E700^2*'Controls'!$B$52</x:f>
        <x:v>0.8877600000000001</x:v>
      </x:c>
      <x:c r="I700" s="20" t="n">
        <x:f>F700*G700*H700</x:f>
        <x:v>637.41168</x:v>
      </x:c>
      <x:c r="J700" s="7" t="str">
        <x:v>2 layers x 20 bars, split around 6 m opening</x:v>
      </x:c>
      <x:c r="K700" s="2"/>
      <x:c r="L700" s="2"/>
      <x:c r="M700" s="2"/>
      <x:c r="N700" s="2"/>
      <x:c r="O700" s="2"/>
      <x:c r="P700" s="2"/>
      <x:c r="Q700" s="2"/>
    </x:row>
    <x:row r="701" ht="22" customHeight="1">
      <x:c r="A701" s="2" t="str">
        <x:v>T5-L01-S5</x:v>
      </x:c>
      <x:c r="B701" s="2" t="str">
        <x:v>T5</x:v>
      </x:c>
      <x:c r="C701" s="2" t="str">
        <x:v>L01</x:v>
      </x:c>
      <x:c r="D701" s="2" t="str">
        <x:v>Opening trim bars</x:v>
      </x:c>
      <x:c r="E701" s="21" t="n">
        <x:v>16</x:v>
      </x:c>
      <x:c r="F701" s="21" t="n">
        <x:v>16</x:v>
      </x:c>
      <x:c r="G701" s="21" t="n">
        <x:v>7.2</x:v>
      </x:c>
      <x:c r="H701" s="21" t="n">
        <x:f>E701^2*'Controls'!$B$52</x:f>
        <x:v>1.57824</x:v>
      </x:c>
      <x:c r="I701" s="21" t="n">
        <x:f>F701*G701*H701</x:f>
        <x:v>181.81324800000002</x:v>
      </x:c>
      <x:c r="J701" s="2" t="str">
        <x:v>Trim allowance, explicit scheduled lengths</x:v>
      </x:c>
      <x:c r="K701" s="2"/>
      <x:c r="L701" s="2"/>
      <x:c r="M701" s="2"/>
      <x:c r="N701" s="2"/>
      <x:c r="O701" s="2"/>
      <x:c r="P701" s="2"/>
      <x:c r="Q701" s="2"/>
    </x:row>
    <x:row r="702" ht="22" customHeight="1">
      <x:c r="A702" s="7" t="str">
        <x:v>T5-L01-BX</x:v>
      </x:c>
      <x:c r="B702" s="7" t="str">
        <x:v>T5</x:v>
      </x:c>
      <x:c r="C702" s="7" t="str">
        <x:v>L01</x:v>
      </x:c>
      <x:c r="D702" s="7" t="str">
        <x:v>X beam longitudinal</x:v>
      </x:c>
      <x:c r="E702" s="20" t="n">
        <x:v>20</x:v>
      </x:c>
      <x:c r="F702" s="20" t="n">
        <x:v>150</x:v>
      </x:c>
      <x:c r="G702" s="20" t="n">
        <x:v>6.5</x:v>
      </x:c>
      <x:c r="H702" s="20" t="n">
        <x:f>E702^2*'Controls'!$B$52</x:f>
        <x:v>2.466</x:v>
      </x:c>
      <x:c r="I702" s="20" t="n">
        <x:f>F702*G702*H702</x:f>
        <x:v>2404.3500000000004</x:v>
      </x:c>
      <x:c r="J702" s="7" t="str">
        <x:v>25 spans x 6 bars incl. 1 m lap/anchorage provision</x:v>
      </x:c>
      <x:c r="K702" s="2"/>
      <x:c r="L702" s="2"/>
      <x:c r="M702" s="2"/>
      <x:c r="N702" s="2"/>
      <x:c r="O702" s="2"/>
      <x:c r="P702" s="2"/>
      <x:c r="Q702" s="2"/>
    </x:row>
    <x:row r="703" ht="22" customHeight="1">
      <x:c r="A703" s="2" t="str">
        <x:v>T5-L01-BY</x:v>
      </x:c>
      <x:c r="B703" s="2" t="str">
        <x:v>T5</x:v>
      </x:c>
      <x:c r="C703" s="2" t="str">
        <x:v>L01</x:v>
      </x:c>
      <x:c r="D703" s="2" t="str">
        <x:v>Y beam longitudinal</x:v>
      </x:c>
      <x:c r="E703" s="21" t="n">
        <x:v>20</x:v>
      </x:c>
      <x:c r="F703" s="21" t="n">
        <x:v>144</x:v>
      </x:c>
      <x:c r="G703" s="21" t="n">
        <x:v>6.5</x:v>
      </x:c>
      <x:c r="H703" s="21" t="n">
        <x:f>E703^2*'Controls'!$B$52</x:f>
        <x:v>2.466</x:v>
      </x:c>
      <x:c r="I703" s="21" t="n">
        <x:f>F703*G703*H703</x:f>
        <x:v>2308.1760000000004</x:v>
      </x:c>
      <x:c r="J703" s="2" t="str">
        <x:v>24 spans x 6 bars</x:v>
      </x:c>
      <x:c r="K703" s="2"/>
      <x:c r="L703" s="2"/>
      <x:c r="M703" s="2"/>
      <x:c r="N703" s="2"/>
      <x:c r="O703" s="2"/>
      <x:c r="P703" s="2"/>
      <x:c r="Q703" s="2"/>
    </x:row>
    <x:row r="704" ht="22" customHeight="1">
      <x:c r="A704" s="7" t="str">
        <x:v>T5-L01-BT</x:v>
      </x:c>
      <x:c r="B704" s="7" t="str">
        <x:v>T5</x:v>
      </x:c>
      <x:c r="C704" s="7" t="str">
        <x:v>L01</x:v>
      </x:c>
      <x:c r="D704" s="7" t="str">
        <x:v>Beam closed links</x:v>
      </x:c>
      <x:c r="E704" s="20" t="n">
        <x:v>10</x:v>
      </x:c>
      <x:c r="F704" s="20" t="n">
        <x:v>1421</x:v>
      </x:c>
      <x:c r="G704" s="20" t="n">
        <x:v>1.7</x:v>
      </x:c>
      <x:c r="H704" s="20" t="n">
        <x:f>E704^2*'Controls'!$B$52</x:f>
        <x:v>0.6165</x:v>
      </x:c>
      <x:c r="I704" s="20" t="n">
        <x:f>F704*G704*H704</x:f>
        <x:v>1489.27905</x:v>
      </x:c>
      <x:c r="J704" s="7" t="str">
        <x:v>49 beams x 29 links, 200 mm nominal</x:v>
      </x:c>
      <x:c r="K704" s="2"/>
      <x:c r="L704" s="2"/>
      <x:c r="M704" s="2"/>
      <x:c r="N704" s="2"/>
      <x:c r="O704" s="2"/>
      <x:c r="P704" s="2"/>
      <x:c r="Q704" s="2"/>
    </x:row>
    <x:row r="705" ht="22" customHeight="1">
      <x:c r="A705" s="2" t="str">
        <x:v>T5-L01-CL</x:v>
      </x:c>
      <x:c r="B705" s="2" t="str">
        <x:v>T5</x:v>
      </x:c>
      <x:c r="C705" s="2" t="str">
        <x:v>L01</x:v>
      </x:c>
      <x:c r="D705" s="2" t="str">
        <x:v>Column longitudinal</x:v>
      </x:c>
      <x:c r="E705" s="21" t="n">
        <x:v>25</x:v>
      </x:c>
      <x:c r="F705" s="21" t="n">
        <x:v>360</x:v>
      </x:c>
      <x:c r="G705" s="21" t="n">
        <x:v>3.9</x:v>
      </x:c>
      <x:c r="H705" s="21" t="n">
        <x:f>E705^2*'Controls'!$B$52</x:f>
        <x:v>3.8531250000000004</x:v>
      </x:c>
      <x:c r="I705" s="21" t="n">
        <x:f>F705*G705*H705</x:f>
        <x:v>5409.7875</x:v>
      </x:c>
      <x:c r="J705" s="2" t="str">
        <x:v>30 columns x 12 bars incl. lap</x:v>
      </x:c>
      <x:c r="K705" s="2"/>
      <x:c r="L705" s="2"/>
      <x:c r="M705" s="2"/>
      <x:c r="N705" s="2"/>
      <x:c r="O705" s="2"/>
      <x:c r="P705" s="2"/>
      <x:c r="Q705" s="2"/>
    </x:row>
    <x:row r="706" ht="22" customHeight="1">
      <x:c r="A706" s="7" t="str">
        <x:v>T5-L01-CT</x:v>
      </x:c>
      <x:c r="B706" s="7" t="str">
        <x:v>T5</x:v>
      </x:c>
      <x:c r="C706" s="7" t="str">
        <x:v>L01</x:v>
      </x:c>
      <x:c r="D706" s="7" t="str">
        <x:v>Column ties</x:v>
      </x:c>
      <x:c r="E706" s="20" t="n">
        <x:v>10</x:v>
      </x:c>
      <x:c r="F706" s="20" t="n">
        <x:v>510</x:v>
      </x:c>
      <x:c r="G706" s="20" t="n">
        <x:v>1.96</x:v>
      </x:c>
      <x:c r="H706" s="20" t="n">
        <x:f>E706^2*'Controls'!$B$52</x:f>
        <x:v>0.6165</x:v>
      </x:c>
      <x:c r="I706" s="20" t="n">
        <x:f>F706*G706*H706</x:f>
        <x:v>616.2534</x:v>
      </x:c>
      <x:c r="J706" s="7" t="str">
        <x:v>30 columns x 17 ties, cover and hooks included</x:v>
      </x:c>
      <x:c r="K706" s="2"/>
      <x:c r="L706" s="2"/>
      <x:c r="M706" s="2"/>
      <x:c r="N706" s="2"/>
      <x:c r="O706" s="2"/>
      <x:c r="P706" s="2"/>
      <x:c r="Q706" s="2"/>
    </x:row>
    <x:row r="707" ht="22" customHeight="1">
      <x:c r="A707" s="2" t="str">
        <x:v>T5-L01-CV</x:v>
      </x:c>
      <x:c r="B707" s="2" t="str">
        <x:v>T5</x:v>
      </x:c>
      <x:c r="C707" s="2" t="str">
        <x:v>L01</x:v>
      </x:c>
      <x:c r="D707" s="2" t="str">
        <x:v>Core vertical bars</x:v>
      </x:c>
      <x:c r="E707" s="21" t="n">
        <x:v>16</x:v>
      </x:c>
      <x:c r="F707" s="21" t="n">
        <x:v>244</x:v>
      </x:c>
      <x:c r="G707" s="21" t="n">
        <x:v>3.9</x:v>
      </x:c>
      <x:c r="H707" s="21" t="n">
        <x:f>E707^2*'Controls'!$B$52</x:f>
        <x:v>1.57824</x:v>
      </x:c>
      <x:c r="I707" s="21" t="n">
        <x:f>F707*G707*H707</x:f>
        <x:v>1501.853184</x:v>
      </x:c>
      <x:c r="J707" s="2" t="str">
        <x:v>Two faces, 200 mm nominal along 24 m net length</x:v>
      </x:c>
      <x:c r="K707" s="2"/>
      <x:c r="L707" s="2"/>
      <x:c r="M707" s="2"/>
      <x:c r="N707" s="2"/>
      <x:c r="O707" s="2"/>
      <x:c r="P707" s="2"/>
      <x:c r="Q707" s="2"/>
    </x:row>
    <x:row r="708" ht="22" customHeight="1">
      <x:c r="A708" s="7" t="str">
        <x:v>T5-L01-CH</x:v>
      </x:c>
      <x:c r="B708" s="7" t="str">
        <x:v>T5</x:v>
      </x:c>
      <x:c r="C708" s="7" t="str">
        <x:v>L01</x:v>
      </x:c>
      <x:c r="D708" s="7" t="str">
        <x:v>Core horizontal bars</x:v>
      </x:c>
      <x:c r="E708" s="20" t="n">
        <x:v>12</x:v>
      </x:c>
      <x:c r="F708" s="20" t="n">
        <x:v>32</x:v>
      </x:c>
      <x:c r="G708" s="20" t="n">
        <x:v>25</x:v>
      </x:c>
      <x:c r="H708" s="20" t="n">
        <x:f>E708^2*'Controls'!$B$52</x:f>
        <x:v>0.8877600000000001</x:v>
      </x:c>
      <x:c r="I708" s="20" t="n">
        <x:f>F708*G708*H708</x:f>
        <x:v>710.2080000000001</x:v>
      </x:c>
      <x:c r="J708" s="7" t="str">
        <x:v>Two faces x 16 layers incl. lap</x:v>
      </x:c>
      <x:c r="K708" s="2"/>
      <x:c r="L708" s="2"/>
      <x:c r="M708" s="2"/>
      <x:c r="N708" s="2"/>
      <x:c r="O708" s="2"/>
      <x:c r="P708" s="2"/>
      <x:c r="Q708" s="2"/>
    </x:row>
    <x:row r="709" ht="22" customHeight="1">
      <x:c r="A709" s="2" t="str">
        <x:v>T5-L01-ST</x:v>
      </x:c>
      <x:c r="B709" s="2" t="str">
        <x:v>T5</x:v>
      </x:c>
      <x:c r="C709" s="2" t="str">
        <x:v>L01</x:v>
      </x:c>
      <x:c r="D709" s="2" t="str">
        <x:v>Stair flights and landings</x:v>
      </x:c>
      <x:c r="E709" s="21" t="n">
        <x:v>12</x:v>
      </x:c>
      <x:c r="F709" s="21" t="n">
        <x:v>80</x:v>
      </x:c>
      <x:c r="G709" s="21" t="n">
        <x:v>4.8</x:v>
      </x:c>
      <x:c r="H709" s="21" t="n">
        <x:f>E709^2*'Controls'!$B$52</x:f>
        <x:v>0.8877600000000001</x:v>
      </x:c>
      <x:c r="I709" s="21" t="n">
        <x:f>F709*G709*H709</x:f>
        <x:v>340.89984000000004</x:v>
      </x:c>
      <x:c r="J709" s="2" t="str">
        <x:v>Separate stair reinforcement allowance</x:v>
      </x:c>
      <x:c r="K709" s="2"/>
      <x:c r="L709" s="2"/>
      <x:c r="M709" s="2"/>
      <x:c r="N709" s="2"/>
      <x:c r="O709" s="2"/>
      <x:c r="P709" s="2"/>
      <x:c r="Q709" s="2"/>
    </x:row>
    <x:row r="710" ht="22" customHeight="1">
      <x:c r="A710" s="7" t="str">
        <x:v>T5-L02-S1</x:v>
      </x:c>
      <x:c r="B710" s="7" t="str">
        <x:v>T5</x:v>
      </x:c>
      <x:c r="C710" s="7" t="str">
        <x:v>L02</x:v>
      </x:c>
      <x:c r="D710" s="7" t="str">
        <x:v>Slab X through strips</x:v>
      </x:c>
      <x:c r="E710" s="20" t="n">
        <x:v>12</x:v>
      </x:c>
      <x:c r="F710" s="20" t="n">
        <x:v>182</x:v>
      </x:c>
      <x:c r="G710" s="20" t="n">
        <x:v>29.95</x:v>
      </x:c>
      <x:c r="H710" s="20" t="n">
        <x:f>E710^2*'Controls'!$B$52</x:f>
        <x:v>0.8877600000000001</x:v>
      </x:c>
      <x:c r="I710" s="20" t="n">
        <x:f>F710*G710*H710</x:f>
        <x:v>4839.090984</x:v>
      </x:c>
      <x:c r="J710" s="7" t="str">
        <x:v>2 layers x 91 bars outside central opening band</x:v>
      </x:c>
      <x:c r="K710" s="2"/>
      <x:c r="L710" s="2"/>
      <x:c r="M710" s="2"/>
      <x:c r="N710" s="2"/>
      <x:c r="O710" s="2"/>
      <x:c r="P710" s="2"/>
      <x:c r="Q710" s="2"/>
    </x:row>
    <x:row r="711" ht="22" customHeight="1">
      <x:c r="A711" s="2" t="str">
        <x:v>T5-L02-S2</x:v>
      </x:c>
      <x:c r="B711" s="2" t="str">
        <x:v>T5</x:v>
      </x:c>
      <x:c r="C711" s="2" t="str">
        <x:v>L02</x:v>
      </x:c>
      <x:c r="D711" s="2" t="str">
        <x:v>Slab X split at core</x:v>
      </x:c>
      <x:c r="E711" s="21" t="n">
        <x:v>12</x:v>
      </x:c>
      <x:c r="F711" s="21" t="n">
        <x:v>60</x:v>
      </x:c>
      <x:c r="G711" s="21" t="n">
        <x:v>25.95</x:v>
      </x:c>
      <x:c r="H711" s="21" t="n">
        <x:f>E711^2*'Controls'!$B$52</x:f>
        <x:v>0.8877600000000001</x:v>
      </x:c>
      <x:c r="I711" s="21" t="n">
        <x:f>F711*G711*H711</x:f>
        <x:v>1382.24232</x:v>
      </x:c>
      <x:c r="J711" s="2" t="str">
        <x:v>2 layers x 30 bars, split lengths combined around 4 m opening</x:v>
      </x:c>
      <x:c r="K711" s="2"/>
      <x:c r="L711" s="2"/>
      <x:c r="M711" s="2"/>
      <x:c r="N711" s="2"/>
      <x:c r="O711" s="2"/>
      <x:c r="P711" s="2"/>
      <x:c r="Q711" s="2"/>
    </x:row>
    <x:row r="712" ht="22" customHeight="1">
      <x:c r="A712" s="7" t="str">
        <x:v>T5-L02-S3</x:v>
      </x:c>
      <x:c r="B712" s="7" t="str">
        <x:v>T5</x:v>
      </x:c>
      <x:c r="C712" s="7" t="str">
        <x:v>L02</x:v>
      </x:c>
      <x:c r="D712" s="7" t="str">
        <x:v>Slab Y through strips</x:v>
      </x:c>
      <x:c r="E712" s="20" t="n">
        <x:v>12</x:v>
      </x:c>
      <x:c r="F712" s="20" t="n">
        <x:v>262</x:v>
      </x:c>
      <x:c r="G712" s="20" t="n">
        <x:v>23.95</x:v>
      </x:c>
      <x:c r="H712" s="20" t="n">
        <x:f>E712^2*'Controls'!$B$52</x:f>
        <x:v>0.8877600000000001</x:v>
      </x:c>
      <x:c r="I712" s="20" t="n">
        <x:f>F712*G712*H712</x:f>
        <x:v>5570.605224</x:v>
      </x:c>
      <x:c r="J712" s="7" t="str">
        <x:v>2 layers x 131 bars outside central opening band</x:v>
      </x:c>
      <x:c r="K712" s="2"/>
      <x:c r="L712" s="2"/>
      <x:c r="M712" s="2"/>
      <x:c r="N712" s="2"/>
      <x:c r="O712" s="2"/>
      <x:c r="P712" s="2"/>
      <x:c r="Q712" s="2"/>
    </x:row>
    <x:row r="713" ht="22" customHeight="1">
      <x:c r="A713" s="2" t="str">
        <x:v>T5-L02-S4</x:v>
      </x:c>
      <x:c r="B713" s="2" t="str">
        <x:v>T5</x:v>
      </x:c>
      <x:c r="C713" s="2" t="str">
        <x:v>L02</x:v>
      </x:c>
      <x:c r="D713" s="2" t="str">
        <x:v>Slab Y split at core</x:v>
      </x:c>
      <x:c r="E713" s="21" t="n">
        <x:v>12</x:v>
      </x:c>
      <x:c r="F713" s="21" t="n">
        <x:v>40</x:v>
      </x:c>
      <x:c r="G713" s="21" t="n">
        <x:v>17.95</x:v>
      </x:c>
      <x:c r="H713" s="21" t="n">
        <x:f>E713^2*'Controls'!$B$52</x:f>
        <x:v>0.8877600000000001</x:v>
      </x:c>
      <x:c r="I713" s="21" t="n">
        <x:f>F713*G713*H713</x:f>
        <x:v>637.41168</x:v>
      </x:c>
      <x:c r="J713" s="2" t="str">
        <x:v>2 layers x 20 bars, split around 6 m opening</x:v>
      </x:c>
      <x:c r="K713" s="2"/>
      <x:c r="L713" s="2"/>
      <x:c r="M713" s="2"/>
      <x:c r="N713" s="2"/>
      <x:c r="O713" s="2"/>
      <x:c r="P713" s="2"/>
      <x:c r="Q713" s="2"/>
    </x:row>
    <x:row r="714" ht="22" customHeight="1">
      <x:c r="A714" s="7" t="str">
        <x:v>T5-L02-S5</x:v>
      </x:c>
      <x:c r="B714" s="7" t="str">
        <x:v>T5</x:v>
      </x:c>
      <x:c r="C714" s="7" t="str">
        <x:v>L02</x:v>
      </x:c>
      <x:c r="D714" s="7" t="str">
        <x:v>Opening trim bars</x:v>
      </x:c>
      <x:c r="E714" s="20" t="n">
        <x:v>16</x:v>
      </x:c>
      <x:c r="F714" s="20" t="n">
        <x:v>16</x:v>
      </x:c>
      <x:c r="G714" s="20" t="n">
        <x:v>7.2</x:v>
      </x:c>
      <x:c r="H714" s="20" t="n">
        <x:f>E714^2*'Controls'!$B$52</x:f>
        <x:v>1.57824</x:v>
      </x:c>
      <x:c r="I714" s="20" t="n">
        <x:f>F714*G714*H714</x:f>
        <x:v>181.81324800000002</x:v>
      </x:c>
      <x:c r="J714" s="7" t="str">
        <x:v>Trim allowance, explicit scheduled lengths</x:v>
      </x:c>
      <x:c r="K714" s="2"/>
      <x:c r="L714" s="2"/>
      <x:c r="M714" s="2"/>
      <x:c r="N714" s="2"/>
      <x:c r="O714" s="2"/>
      <x:c r="P714" s="2"/>
      <x:c r="Q714" s="2"/>
    </x:row>
    <x:row r="715" ht="22" customHeight="1">
      <x:c r="A715" s="2" t="str">
        <x:v>T5-L02-BX</x:v>
      </x:c>
      <x:c r="B715" s="2" t="str">
        <x:v>T5</x:v>
      </x:c>
      <x:c r="C715" s="2" t="str">
        <x:v>L02</x:v>
      </x:c>
      <x:c r="D715" s="2" t="str">
        <x:v>X beam longitudinal</x:v>
      </x:c>
      <x:c r="E715" s="21" t="n">
        <x:v>20</x:v>
      </x:c>
      <x:c r="F715" s="21" t="n">
        <x:v>150</x:v>
      </x:c>
      <x:c r="G715" s="21" t="n">
        <x:v>6.5</x:v>
      </x:c>
      <x:c r="H715" s="21" t="n">
        <x:f>E715^2*'Controls'!$B$52</x:f>
        <x:v>2.466</x:v>
      </x:c>
      <x:c r="I715" s="21" t="n">
        <x:f>F715*G715*H715</x:f>
        <x:v>2404.3500000000004</x:v>
      </x:c>
      <x:c r="J715" s="2" t="str">
        <x:v>25 spans x 6 bars incl. 1 m lap/anchorage provision</x:v>
      </x:c>
      <x:c r="K715" s="2"/>
      <x:c r="L715" s="2"/>
      <x:c r="M715" s="2"/>
      <x:c r="N715" s="2"/>
      <x:c r="O715" s="2"/>
      <x:c r="P715" s="2"/>
      <x:c r="Q715" s="2"/>
    </x:row>
    <x:row r="716" ht="22" customHeight="1">
      <x:c r="A716" s="7" t="str">
        <x:v>T5-L02-BY</x:v>
      </x:c>
      <x:c r="B716" s="7" t="str">
        <x:v>T5</x:v>
      </x:c>
      <x:c r="C716" s="7" t="str">
        <x:v>L02</x:v>
      </x:c>
      <x:c r="D716" s="7" t="str">
        <x:v>Y beam longitudinal</x:v>
      </x:c>
      <x:c r="E716" s="20" t="n">
        <x:v>20</x:v>
      </x:c>
      <x:c r="F716" s="20" t="n">
        <x:v>144</x:v>
      </x:c>
      <x:c r="G716" s="20" t="n">
        <x:v>6.5</x:v>
      </x:c>
      <x:c r="H716" s="20" t="n">
        <x:f>E716^2*'Controls'!$B$52</x:f>
        <x:v>2.466</x:v>
      </x:c>
      <x:c r="I716" s="20" t="n">
        <x:f>F716*G716*H716</x:f>
        <x:v>2308.1760000000004</x:v>
      </x:c>
      <x:c r="J716" s="7" t="str">
        <x:v>24 spans x 6 bars</x:v>
      </x:c>
      <x:c r="K716" s="2"/>
      <x:c r="L716" s="2"/>
      <x:c r="M716" s="2"/>
      <x:c r="N716" s="2"/>
      <x:c r="O716" s="2"/>
      <x:c r="P716" s="2"/>
      <x:c r="Q716" s="2"/>
    </x:row>
    <x:row r="717" ht="22" customHeight="1">
      <x:c r="A717" s="2" t="str">
        <x:v>T5-L02-BT</x:v>
      </x:c>
      <x:c r="B717" s="2" t="str">
        <x:v>T5</x:v>
      </x:c>
      <x:c r="C717" s="2" t="str">
        <x:v>L02</x:v>
      </x:c>
      <x:c r="D717" s="2" t="str">
        <x:v>Beam closed links</x:v>
      </x:c>
      <x:c r="E717" s="21" t="n">
        <x:v>10</x:v>
      </x:c>
      <x:c r="F717" s="21" t="n">
        <x:v>1421</x:v>
      </x:c>
      <x:c r="G717" s="21" t="n">
        <x:v>1.7</x:v>
      </x:c>
      <x:c r="H717" s="21" t="n">
        <x:f>E717^2*'Controls'!$B$52</x:f>
        <x:v>0.6165</x:v>
      </x:c>
      <x:c r="I717" s="21" t="n">
        <x:f>F717*G717*H717</x:f>
        <x:v>1489.27905</x:v>
      </x:c>
      <x:c r="J717" s="2" t="str">
        <x:v>49 beams x 29 links, 200 mm nominal</x:v>
      </x:c>
      <x:c r="K717" s="2"/>
      <x:c r="L717" s="2"/>
      <x:c r="M717" s="2"/>
      <x:c r="N717" s="2"/>
      <x:c r="O717" s="2"/>
      <x:c r="P717" s="2"/>
      <x:c r="Q717" s="2"/>
    </x:row>
    <x:row r="718" ht="22" customHeight="1">
      <x:c r="A718" s="7" t="str">
        <x:v>T5-L02-CL</x:v>
      </x:c>
      <x:c r="B718" s="7" t="str">
        <x:v>T5</x:v>
      </x:c>
      <x:c r="C718" s="7" t="str">
        <x:v>L02</x:v>
      </x:c>
      <x:c r="D718" s="7" t="str">
        <x:v>Column longitudinal</x:v>
      </x:c>
      <x:c r="E718" s="20" t="n">
        <x:v>25</x:v>
      </x:c>
      <x:c r="F718" s="20" t="n">
        <x:v>360</x:v>
      </x:c>
      <x:c r="G718" s="20" t="n">
        <x:v>3.9</x:v>
      </x:c>
      <x:c r="H718" s="20" t="n">
        <x:f>E718^2*'Controls'!$B$52</x:f>
        <x:v>3.8531250000000004</x:v>
      </x:c>
      <x:c r="I718" s="20" t="n">
        <x:f>F718*G718*H718</x:f>
        <x:v>5409.7875</x:v>
      </x:c>
      <x:c r="J718" s="7" t="str">
        <x:v>30 columns x 12 bars incl. lap</x:v>
      </x:c>
      <x:c r="K718" s="2"/>
      <x:c r="L718" s="2"/>
      <x:c r="M718" s="2"/>
      <x:c r="N718" s="2"/>
      <x:c r="O718" s="2"/>
      <x:c r="P718" s="2"/>
      <x:c r="Q718" s="2"/>
    </x:row>
    <x:row r="719" ht="22" customHeight="1">
      <x:c r="A719" s="2" t="str">
        <x:v>T5-L02-CT</x:v>
      </x:c>
      <x:c r="B719" s="2" t="str">
        <x:v>T5</x:v>
      </x:c>
      <x:c r="C719" s="2" t="str">
        <x:v>L02</x:v>
      </x:c>
      <x:c r="D719" s="2" t="str">
        <x:v>Column ties</x:v>
      </x:c>
      <x:c r="E719" s="21" t="n">
        <x:v>10</x:v>
      </x:c>
      <x:c r="F719" s="21" t="n">
        <x:v>510</x:v>
      </x:c>
      <x:c r="G719" s="21" t="n">
        <x:v>1.96</x:v>
      </x:c>
      <x:c r="H719" s="21" t="n">
        <x:f>E719^2*'Controls'!$B$52</x:f>
        <x:v>0.6165</x:v>
      </x:c>
      <x:c r="I719" s="21" t="n">
        <x:f>F719*G719*H719</x:f>
        <x:v>616.2534</x:v>
      </x:c>
      <x:c r="J719" s="2" t="str">
        <x:v>30 columns x 17 ties, cover and hooks included</x:v>
      </x:c>
      <x:c r="K719" s="2"/>
      <x:c r="L719" s="2"/>
      <x:c r="M719" s="2"/>
      <x:c r="N719" s="2"/>
      <x:c r="O719" s="2"/>
      <x:c r="P719" s="2"/>
      <x:c r="Q719" s="2"/>
    </x:row>
    <x:row r="720" ht="22" customHeight="1">
      <x:c r="A720" s="7" t="str">
        <x:v>T5-L02-CV</x:v>
      </x:c>
      <x:c r="B720" s="7" t="str">
        <x:v>T5</x:v>
      </x:c>
      <x:c r="C720" s="7" t="str">
        <x:v>L02</x:v>
      </x:c>
      <x:c r="D720" s="7" t="str">
        <x:v>Core vertical bars</x:v>
      </x:c>
      <x:c r="E720" s="20" t="n">
        <x:v>16</x:v>
      </x:c>
      <x:c r="F720" s="20" t="n">
        <x:v>244</x:v>
      </x:c>
      <x:c r="G720" s="20" t="n">
        <x:v>3.9</x:v>
      </x:c>
      <x:c r="H720" s="20" t="n">
        <x:f>E720^2*'Controls'!$B$52</x:f>
        <x:v>1.57824</x:v>
      </x:c>
      <x:c r="I720" s="20" t="n">
        <x:f>F720*G720*H720</x:f>
        <x:v>1501.853184</x:v>
      </x:c>
      <x:c r="J720" s="7" t="str">
        <x:v>Two faces, 200 mm nominal along 24 m net length</x:v>
      </x:c>
      <x:c r="K720" s="2"/>
      <x:c r="L720" s="2"/>
      <x:c r="M720" s="2"/>
      <x:c r="N720" s="2"/>
      <x:c r="O720" s="2"/>
      <x:c r="P720" s="2"/>
      <x:c r="Q720" s="2"/>
    </x:row>
    <x:row r="721" ht="22" customHeight="1">
      <x:c r="A721" s="2" t="str">
        <x:v>T5-L02-CH</x:v>
      </x:c>
      <x:c r="B721" s="2" t="str">
        <x:v>T5</x:v>
      </x:c>
      <x:c r="C721" s="2" t="str">
        <x:v>L02</x:v>
      </x:c>
      <x:c r="D721" s="2" t="str">
        <x:v>Core horizontal bars</x:v>
      </x:c>
      <x:c r="E721" s="21" t="n">
        <x:v>12</x:v>
      </x:c>
      <x:c r="F721" s="21" t="n">
        <x:v>32</x:v>
      </x:c>
      <x:c r="G721" s="21" t="n">
        <x:v>25</x:v>
      </x:c>
      <x:c r="H721" s="21" t="n">
        <x:f>E721^2*'Controls'!$B$52</x:f>
        <x:v>0.8877600000000001</x:v>
      </x:c>
      <x:c r="I721" s="21" t="n">
        <x:f>F721*G721*H721</x:f>
        <x:v>710.2080000000001</x:v>
      </x:c>
      <x:c r="J721" s="2" t="str">
        <x:v>Two faces x 16 layers incl. lap</x:v>
      </x:c>
      <x:c r="K721" s="2"/>
      <x:c r="L721" s="2"/>
      <x:c r="M721" s="2"/>
      <x:c r="N721" s="2"/>
      <x:c r="O721" s="2"/>
      <x:c r="P721" s="2"/>
      <x:c r="Q721" s="2"/>
    </x:row>
    <x:row r="722" ht="22" customHeight="1">
      <x:c r="A722" s="7" t="str">
        <x:v>T5-L02-ST</x:v>
      </x:c>
      <x:c r="B722" s="7" t="str">
        <x:v>T5</x:v>
      </x:c>
      <x:c r="C722" s="7" t="str">
        <x:v>L02</x:v>
      </x:c>
      <x:c r="D722" s="7" t="str">
        <x:v>Stair flights and landings</x:v>
      </x:c>
      <x:c r="E722" s="20" t="n">
        <x:v>12</x:v>
      </x:c>
      <x:c r="F722" s="20" t="n">
        <x:v>80</x:v>
      </x:c>
      <x:c r="G722" s="20" t="n">
        <x:v>4.8</x:v>
      </x:c>
      <x:c r="H722" s="20" t="n">
        <x:f>E722^2*'Controls'!$B$52</x:f>
        <x:v>0.8877600000000001</x:v>
      </x:c>
      <x:c r="I722" s="20" t="n">
        <x:f>F722*G722*H722</x:f>
        <x:v>340.89984000000004</x:v>
      </x:c>
      <x:c r="J722" s="7" t="str">
        <x:v>Separate stair reinforcement allowance</x:v>
      </x:c>
      <x:c r="K722" s="2"/>
      <x:c r="L722" s="2"/>
      <x:c r="M722" s="2"/>
      <x:c r="N722" s="2"/>
      <x:c r="O722" s="2"/>
      <x:c r="P722" s="2"/>
      <x:c r="Q722" s="2"/>
    </x:row>
    <x:row r="723" ht="22" customHeight="1">
      <x:c r="A723" s="2" t="str">
        <x:v>T5-L03-S1</x:v>
      </x:c>
      <x:c r="B723" s="2" t="str">
        <x:v>T5</x:v>
      </x:c>
      <x:c r="C723" s="2" t="str">
        <x:v>L03</x:v>
      </x:c>
      <x:c r="D723" s="2" t="str">
        <x:v>Slab X through strips</x:v>
      </x:c>
      <x:c r="E723" s="21" t="n">
        <x:v>12</x:v>
      </x:c>
      <x:c r="F723" s="21" t="n">
        <x:v>182</x:v>
      </x:c>
      <x:c r="G723" s="21" t="n">
        <x:v>29.95</x:v>
      </x:c>
      <x:c r="H723" s="21" t="n">
        <x:f>E723^2*'Controls'!$B$52</x:f>
        <x:v>0.8877600000000001</x:v>
      </x:c>
      <x:c r="I723" s="21" t="n">
        <x:f>F723*G723*H723</x:f>
        <x:v>4839.090984</x:v>
      </x:c>
      <x:c r="J723" s="2" t="str">
        <x:v>2 layers x 91 bars outside central opening band</x:v>
      </x:c>
      <x:c r="K723" s="2"/>
      <x:c r="L723" s="2"/>
      <x:c r="M723" s="2"/>
      <x:c r="N723" s="2"/>
      <x:c r="O723" s="2"/>
      <x:c r="P723" s="2"/>
      <x:c r="Q723" s="2"/>
    </x:row>
    <x:row r="724" ht="22" customHeight="1">
      <x:c r="A724" s="7" t="str">
        <x:v>T5-L03-S2</x:v>
      </x:c>
      <x:c r="B724" s="7" t="str">
        <x:v>T5</x:v>
      </x:c>
      <x:c r="C724" s="7" t="str">
        <x:v>L03</x:v>
      </x:c>
      <x:c r="D724" s="7" t="str">
        <x:v>Slab X split at core</x:v>
      </x:c>
      <x:c r="E724" s="20" t="n">
        <x:v>12</x:v>
      </x:c>
      <x:c r="F724" s="20" t="n">
        <x:v>60</x:v>
      </x:c>
      <x:c r="G724" s="20" t="n">
        <x:v>25.95</x:v>
      </x:c>
      <x:c r="H724" s="20" t="n">
        <x:f>E724^2*'Controls'!$B$52</x:f>
        <x:v>0.8877600000000001</x:v>
      </x:c>
      <x:c r="I724" s="20" t="n">
        <x:f>F724*G724*H724</x:f>
        <x:v>1382.24232</x:v>
      </x:c>
      <x:c r="J724" s="7" t="str">
        <x:v>2 layers x 30 bars, split lengths combined around 4 m opening</x:v>
      </x:c>
      <x:c r="K724" s="2"/>
      <x:c r="L724" s="2"/>
      <x:c r="M724" s="2"/>
      <x:c r="N724" s="2"/>
      <x:c r="O724" s="2"/>
      <x:c r="P724" s="2"/>
      <x:c r="Q724" s="2"/>
    </x:row>
    <x:row r="725" ht="22" customHeight="1">
      <x:c r="A725" s="2" t="str">
        <x:v>T5-L03-S3</x:v>
      </x:c>
      <x:c r="B725" s="2" t="str">
        <x:v>T5</x:v>
      </x:c>
      <x:c r="C725" s="2" t="str">
        <x:v>L03</x:v>
      </x:c>
      <x:c r="D725" s="2" t="str">
        <x:v>Slab Y through strips</x:v>
      </x:c>
      <x:c r="E725" s="21" t="n">
        <x:v>12</x:v>
      </x:c>
      <x:c r="F725" s="21" t="n">
        <x:v>262</x:v>
      </x:c>
      <x:c r="G725" s="21" t="n">
        <x:v>23.95</x:v>
      </x:c>
      <x:c r="H725" s="21" t="n">
        <x:f>E725^2*'Controls'!$B$52</x:f>
        <x:v>0.8877600000000001</x:v>
      </x:c>
      <x:c r="I725" s="21" t="n">
        <x:f>F725*G725*H725</x:f>
        <x:v>5570.605224</x:v>
      </x:c>
      <x:c r="J725" s="2" t="str">
        <x:v>2 layers x 131 bars outside central opening band</x:v>
      </x:c>
      <x:c r="K725" s="2"/>
      <x:c r="L725" s="2"/>
      <x:c r="M725" s="2"/>
      <x:c r="N725" s="2"/>
      <x:c r="O725" s="2"/>
      <x:c r="P725" s="2"/>
      <x:c r="Q725" s="2"/>
    </x:row>
    <x:row r="726" ht="22" customHeight="1">
      <x:c r="A726" s="7" t="str">
        <x:v>T5-L03-S4</x:v>
      </x:c>
      <x:c r="B726" s="7" t="str">
        <x:v>T5</x:v>
      </x:c>
      <x:c r="C726" s="7" t="str">
        <x:v>L03</x:v>
      </x:c>
      <x:c r="D726" s="7" t="str">
        <x:v>Slab Y split at core</x:v>
      </x:c>
      <x:c r="E726" s="20" t="n">
        <x:v>12</x:v>
      </x:c>
      <x:c r="F726" s="20" t="n">
        <x:v>40</x:v>
      </x:c>
      <x:c r="G726" s="20" t="n">
        <x:v>17.95</x:v>
      </x:c>
      <x:c r="H726" s="20" t="n">
        <x:f>E726^2*'Controls'!$B$52</x:f>
        <x:v>0.8877600000000001</x:v>
      </x:c>
      <x:c r="I726" s="20" t="n">
        <x:f>F726*G726*H726</x:f>
        <x:v>637.41168</x:v>
      </x:c>
      <x:c r="J726" s="7" t="str">
        <x:v>2 layers x 20 bars, split around 6 m opening</x:v>
      </x:c>
      <x:c r="K726" s="2"/>
      <x:c r="L726" s="2"/>
      <x:c r="M726" s="2"/>
      <x:c r="N726" s="2"/>
      <x:c r="O726" s="2"/>
      <x:c r="P726" s="2"/>
      <x:c r="Q726" s="2"/>
    </x:row>
    <x:row r="727" ht="22" customHeight="1">
      <x:c r="A727" s="2" t="str">
        <x:v>T5-L03-S5</x:v>
      </x:c>
      <x:c r="B727" s="2" t="str">
        <x:v>T5</x:v>
      </x:c>
      <x:c r="C727" s="2" t="str">
        <x:v>L03</x:v>
      </x:c>
      <x:c r="D727" s="2" t="str">
        <x:v>Opening trim bars</x:v>
      </x:c>
      <x:c r="E727" s="21" t="n">
        <x:v>16</x:v>
      </x:c>
      <x:c r="F727" s="21" t="n">
        <x:v>16</x:v>
      </x:c>
      <x:c r="G727" s="21" t="n">
        <x:v>7.2</x:v>
      </x:c>
      <x:c r="H727" s="21" t="n">
        <x:f>E727^2*'Controls'!$B$52</x:f>
        <x:v>1.57824</x:v>
      </x:c>
      <x:c r="I727" s="21" t="n">
        <x:f>F727*G727*H727</x:f>
        <x:v>181.81324800000002</x:v>
      </x:c>
      <x:c r="J727" s="2" t="str">
        <x:v>Trim allowance, explicit scheduled lengths</x:v>
      </x:c>
      <x:c r="K727" s="2"/>
      <x:c r="L727" s="2"/>
      <x:c r="M727" s="2"/>
      <x:c r="N727" s="2"/>
      <x:c r="O727" s="2"/>
      <x:c r="P727" s="2"/>
      <x:c r="Q727" s="2"/>
    </x:row>
    <x:row r="728" ht="22" customHeight="1">
      <x:c r="A728" s="7" t="str">
        <x:v>T5-L03-BX</x:v>
      </x:c>
      <x:c r="B728" s="7" t="str">
        <x:v>T5</x:v>
      </x:c>
      <x:c r="C728" s="7" t="str">
        <x:v>L03</x:v>
      </x:c>
      <x:c r="D728" s="7" t="str">
        <x:v>X beam longitudinal</x:v>
      </x:c>
      <x:c r="E728" s="20" t="n">
        <x:v>20</x:v>
      </x:c>
      <x:c r="F728" s="20" t="n">
        <x:v>150</x:v>
      </x:c>
      <x:c r="G728" s="20" t="n">
        <x:v>6.5</x:v>
      </x:c>
      <x:c r="H728" s="20" t="n">
        <x:f>E728^2*'Controls'!$B$52</x:f>
        <x:v>2.466</x:v>
      </x:c>
      <x:c r="I728" s="20" t="n">
        <x:f>F728*G728*H728</x:f>
        <x:v>2404.3500000000004</x:v>
      </x:c>
      <x:c r="J728" s="7" t="str">
        <x:v>25 spans x 6 bars incl. 1 m lap/anchorage provision</x:v>
      </x:c>
      <x:c r="K728" s="2"/>
      <x:c r="L728" s="2"/>
      <x:c r="M728" s="2"/>
      <x:c r="N728" s="2"/>
      <x:c r="O728" s="2"/>
      <x:c r="P728" s="2"/>
      <x:c r="Q728" s="2"/>
    </x:row>
    <x:row r="729" ht="22" customHeight="1">
      <x:c r="A729" s="2" t="str">
        <x:v>T5-L03-BY</x:v>
      </x:c>
      <x:c r="B729" s="2" t="str">
        <x:v>T5</x:v>
      </x:c>
      <x:c r="C729" s="2" t="str">
        <x:v>L03</x:v>
      </x:c>
      <x:c r="D729" s="2" t="str">
        <x:v>Y beam longitudinal</x:v>
      </x:c>
      <x:c r="E729" s="21" t="n">
        <x:v>20</x:v>
      </x:c>
      <x:c r="F729" s="21" t="n">
        <x:v>144</x:v>
      </x:c>
      <x:c r="G729" s="21" t="n">
        <x:v>6.5</x:v>
      </x:c>
      <x:c r="H729" s="21" t="n">
        <x:f>E729^2*'Controls'!$B$52</x:f>
        <x:v>2.466</x:v>
      </x:c>
      <x:c r="I729" s="21" t="n">
        <x:f>F729*G729*H729</x:f>
        <x:v>2308.1760000000004</x:v>
      </x:c>
      <x:c r="J729" s="2" t="str">
        <x:v>24 spans x 6 bars</x:v>
      </x:c>
      <x:c r="K729" s="2"/>
      <x:c r="L729" s="2"/>
      <x:c r="M729" s="2"/>
      <x:c r="N729" s="2"/>
      <x:c r="O729" s="2"/>
      <x:c r="P729" s="2"/>
      <x:c r="Q729" s="2"/>
    </x:row>
    <x:row r="730" ht="22" customHeight="1">
      <x:c r="A730" s="7" t="str">
        <x:v>T5-L03-BT</x:v>
      </x:c>
      <x:c r="B730" s="7" t="str">
        <x:v>T5</x:v>
      </x:c>
      <x:c r="C730" s="7" t="str">
        <x:v>L03</x:v>
      </x:c>
      <x:c r="D730" s="7" t="str">
        <x:v>Beam closed links</x:v>
      </x:c>
      <x:c r="E730" s="20" t="n">
        <x:v>10</x:v>
      </x:c>
      <x:c r="F730" s="20" t="n">
        <x:v>1421</x:v>
      </x:c>
      <x:c r="G730" s="20" t="n">
        <x:v>1.7</x:v>
      </x:c>
      <x:c r="H730" s="20" t="n">
        <x:f>E730^2*'Controls'!$B$52</x:f>
        <x:v>0.6165</x:v>
      </x:c>
      <x:c r="I730" s="20" t="n">
        <x:f>F730*G730*H730</x:f>
        <x:v>1489.27905</x:v>
      </x:c>
      <x:c r="J730" s="7" t="str">
        <x:v>49 beams x 29 links, 200 mm nominal</x:v>
      </x:c>
      <x:c r="K730" s="2"/>
      <x:c r="L730" s="2"/>
      <x:c r="M730" s="2"/>
      <x:c r="N730" s="2"/>
      <x:c r="O730" s="2"/>
      <x:c r="P730" s="2"/>
      <x:c r="Q730" s="2"/>
    </x:row>
    <x:row r="731" ht="22" customHeight="1">
      <x:c r="A731" s="2" t="str">
        <x:v>T5-L03-CL</x:v>
      </x:c>
      <x:c r="B731" s="2" t="str">
        <x:v>T5</x:v>
      </x:c>
      <x:c r="C731" s="2" t="str">
        <x:v>L03</x:v>
      </x:c>
      <x:c r="D731" s="2" t="str">
        <x:v>Column longitudinal</x:v>
      </x:c>
      <x:c r="E731" s="21" t="n">
        <x:v>25</x:v>
      </x:c>
      <x:c r="F731" s="21" t="n">
        <x:v>360</x:v>
      </x:c>
      <x:c r="G731" s="21" t="n">
        <x:v>3.9</x:v>
      </x:c>
      <x:c r="H731" s="21" t="n">
        <x:f>E731^2*'Controls'!$B$52</x:f>
        <x:v>3.8531250000000004</x:v>
      </x:c>
      <x:c r="I731" s="21" t="n">
        <x:f>F731*G731*H731</x:f>
        <x:v>5409.7875</x:v>
      </x:c>
      <x:c r="J731" s="2" t="str">
        <x:v>30 columns x 12 bars incl. lap</x:v>
      </x:c>
      <x:c r="K731" s="2"/>
      <x:c r="L731" s="2"/>
      <x:c r="M731" s="2"/>
      <x:c r="N731" s="2"/>
      <x:c r="O731" s="2"/>
      <x:c r="P731" s="2"/>
      <x:c r="Q731" s="2"/>
    </x:row>
    <x:row r="732" ht="22" customHeight="1">
      <x:c r="A732" s="7" t="str">
        <x:v>T5-L03-CT</x:v>
      </x:c>
      <x:c r="B732" s="7" t="str">
        <x:v>T5</x:v>
      </x:c>
      <x:c r="C732" s="7" t="str">
        <x:v>L03</x:v>
      </x:c>
      <x:c r="D732" s="7" t="str">
        <x:v>Column ties</x:v>
      </x:c>
      <x:c r="E732" s="20" t="n">
        <x:v>10</x:v>
      </x:c>
      <x:c r="F732" s="20" t="n">
        <x:v>510</x:v>
      </x:c>
      <x:c r="G732" s="20" t="n">
        <x:v>1.96</x:v>
      </x:c>
      <x:c r="H732" s="20" t="n">
        <x:f>E732^2*'Controls'!$B$52</x:f>
        <x:v>0.6165</x:v>
      </x:c>
      <x:c r="I732" s="20" t="n">
        <x:f>F732*G732*H732</x:f>
        <x:v>616.2534</x:v>
      </x:c>
      <x:c r="J732" s="7" t="str">
        <x:v>30 columns x 17 ties, cover and hooks included</x:v>
      </x:c>
      <x:c r="K732" s="2"/>
      <x:c r="L732" s="2"/>
      <x:c r="M732" s="2"/>
      <x:c r="N732" s="2"/>
      <x:c r="O732" s="2"/>
      <x:c r="P732" s="2"/>
      <x:c r="Q732" s="2"/>
    </x:row>
    <x:row r="733" ht="22" customHeight="1">
      <x:c r="A733" s="2" t="str">
        <x:v>T5-L03-CV</x:v>
      </x:c>
      <x:c r="B733" s="2" t="str">
        <x:v>T5</x:v>
      </x:c>
      <x:c r="C733" s="2" t="str">
        <x:v>L03</x:v>
      </x:c>
      <x:c r="D733" s="2" t="str">
        <x:v>Core vertical bars</x:v>
      </x:c>
      <x:c r="E733" s="21" t="n">
        <x:v>16</x:v>
      </x:c>
      <x:c r="F733" s="21" t="n">
        <x:v>244</x:v>
      </x:c>
      <x:c r="G733" s="21" t="n">
        <x:v>3.9</x:v>
      </x:c>
      <x:c r="H733" s="21" t="n">
        <x:f>E733^2*'Controls'!$B$52</x:f>
        <x:v>1.57824</x:v>
      </x:c>
      <x:c r="I733" s="21" t="n">
        <x:f>F733*G733*H733</x:f>
        <x:v>1501.853184</x:v>
      </x:c>
      <x:c r="J733" s="2" t="str">
        <x:v>Two faces, 200 mm nominal along 24 m net length</x:v>
      </x:c>
      <x:c r="K733" s="2"/>
      <x:c r="L733" s="2"/>
      <x:c r="M733" s="2"/>
      <x:c r="N733" s="2"/>
      <x:c r="O733" s="2"/>
      <x:c r="P733" s="2"/>
      <x:c r="Q733" s="2"/>
    </x:row>
    <x:row r="734" ht="22" customHeight="1">
      <x:c r="A734" s="7" t="str">
        <x:v>T5-L03-CH</x:v>
      </x:c>
      <x:c r="B734" s="7" t="str">
        <x:v>T5</x:v>
      </x:c>
      <x:c r="C734" s="7" t="str">
        <x:v>L03</x:v>
      </x:c>
      <x:c r="D734" s="7" t="str">
        <x:v>Core horizontal bars</x:v>
      </x:c>
      <x:c r="E734" s="20" t="n">
        <x:v>12</x:v>
      </x:c>
      <x:c r="F734" s="20" t="n">
        <x:v>32</x:v>
      </x:c>
      <x:c r="G734" s="20" t="n">
        <x:v>25</x:v>
      </x:c>
      <x:c r="H734" s="20" t="n">
        <x:f>E734^2*'Controls'!$B$52</x:f>
        <x:v>0.8877600000000001</x:v>
      </x:c>
      <x:c r="I734" s="20" t="n">
        <x:f>F734*G734*H734</x:f>
        <x:v>710.2080000000001</x:v>
      </x:c>
      <x:c r="J734" s="7" t="str">
        <x:v>Two faces x 16 layers incl. lap</x:v>
      </x:c>
      <x:c r="K734" s="2"/>
      <x:c r="L734" s="2"/>
      <x:c r="M734" s="2"/>
      <x:c r="N734" s="2"/>
      <x:c r="O734" s="2"/>
      <x:c r="P734" s="2"/>
      <x:c r="Q734" s="2"/>
    </x:row>
    <x:row r="735" ht="22" customHeight="1">
      <x:c r="A735" s="2" t="str">
        <x:v>T5-L03-ST</x:v>
      </x:c>
      <x:c r="B735" s="2" t="str">
        <x:v>T5</x:v>
      </x:c>
      <x:c r="C735" s="2" t="str">
        <x:v>L03</x:v>
      </x:c>
      <x:c r="D735" s="2" t="str">
        <x:v>Stair flights and landings</x:v>
      </x:c>
      <x:c r="E735" s="21" t="n">
        <x:v>12</x:v>
      </x:c>
      <x:c r="F735" s="21" t="n">
        <x:v>80</x:v>
      </x:c>
      <x:c r="G735" s="21" t="n">
        <x:v>4.8</x:v>
      </x:c>
      <x:c r="H735" s="21" t="n">
        <x:f>E735^2*'Controls'!$B$52</x:f>
        <x:v>0.8877600000000001</x:v>
      </x:c>
      <x:c r="I735" s="21" t="n">
        <x:f>F735*G735*H735</x:f>
        <x:v>340.89984000000004</x:v>
      </x:c>
      <x:c r="J735" s="2" t="str">
        <x:v>Separate stair reinforcement allowance</x:v>
      </x:c>
      <x:c r="K735" s="2"/>
      <x:c r="L735" s="2"/>
      <x:c r="M735" s="2"/>
      <x:c r="N735" s="2"/>
      <x:c r="O735" s="2"/>
      <x:c r="P735" s="2"/>
      <x:c r="Q735" s="2"/>
    </x:row>
    <x:row r="736" ht="22" customHeight="1">
      <x:c r="A736" s="7" t="str">
        <x:v>T5-L04-S1</x:v>
      </x:c>
      <x:c r="B736" s="7" t="str">
        <x:v>T5</x:v>
      </x:c>
      <x:c r="C736" s="7" t="str">
        <x:v>L04</x:v>
      </x:c>
      <x:c r="D736" s="7" t="str">
        <x:v>Slab X through strips</x:v>
      </x:c>
      <x:c r="E736" s="20" t="n">
        <x:v>12</x:v>
      </x:c>
      <x:c r="F736" s="20" t="n">
        <x:v>182</x:v>
      </x:c>
      <x:c r="G736" s="20" t="n">
        <x:v>29.95</x:v>
      </x:c>
      <x:c r="H736" s="20" t="n">
        <x:f>E736^2*'Controls'!$B$52</x:f>
        <x:v>0.8877600000000001</x:v>
      </x:c>
      <x:c r="I736" s="20" t="n">
        <x:f>F736*G736*H736</x:f>
        <x:v>4839.090984</x:v>
      </x:c>
      <x:c r="J736" s="7" t="str">
        <x:v>2 layers x 91 bars outside central opening band</x:v>
      </x:c>
      <x:c r="K736" s="2"/>
      <x:c r="L736" s="2"/>
      <x:c r="M736" s="2"/>
      <x:c r="N736" s="2"/>
      <x:c r="O736" s="2"/>
      <x:c r="P736" s="2"/>
      <x:c r="Q736" s="2"/>
    </x:row>
    <x:row r="737" ht="22" customHeight="1">
      <x:c r="A737" s="2" t="str">
        <x:v>T5-L04-S2</x:v>
      </x:c>
      <x:c r="B737" s="2" t="str">
        <x:v>T5</x:v>
      </x:c>
      <x:c r="C737" s="2" t="str">
        <x:v>L04</x:v>
      </x:c>
      <x:c r="D737" s="2" t="str">
        <x:v>Slab X split at core</x:v>
      </x:c>
      <x:c r="E737" s="21" t="n">
        <x:v>12</x:v>
      </x:c>
      <x:c r="F737" s="21" t="n">
        <x:v>60</x:v>
      </x:c>
      <x:c r="G737" s="21" t="n">
        <x:v>25.95</x:v>
      </x:c>
      <x:c r="H737" s="21" t="n">
        <x:f>E737^2*'Controls'!$B$52</x:f>
        <x:v>0.8877600000000001</x:v>
      </x:c>
      <x:c r="I737" s="21" t="n">
        <x:f>F737*G737*H737</x:f>
        <x:v>1382.24232</x:v>
      </x:c>
      <x:c r="J737" s="2" t="str">
        <x:v>2 layers x 30 bars, split lengths combined around 4 m opening</x:v>
      </x:c>
      <x:c r="K737" s="2"/>
      <x:c r="L737" s="2"/>
      <x:c r="M737" s="2"/>
      <x:c r="N737" s="2"/>
      <x:c r="O737" s="2"/>
      <x:c r="P737" s="2"/>
      <x:c r="Q737" s="2"/>
    </x:row>
    <x:row r="738" ht="22" customHeight="1">
      <x:c r="A738" s="7" t="str">
        <x:v>T5-L04-S3</x:v>
      </x:c>
      <x:c r="B738" s="7" t="str">
        <x:v>T5</x:v>
      </x:c>
      <x:c r="C738" s="7" t="str">
        <x:v>L04</x:v>
      </x:c>
      <x:c r="D738" s="7" t="str">
        <x:v>Slab Y through strips</x:v>
      </x:c>
      <x:c r="E738" s="20" t="n">
        <x:v>12</x:v>
      </x:c>
      <x:c r="F738" s="20" t="n">
        <x:v>262</x:v>
      </x:c>
      <x:c r="G738" s="20" t="n">
        <x:v>23.95</x:v>
      </x:c>
      <x:c r="H738" s="20" t="n">
        <x:f>E738^2*'Controls'!$B$52</x:f>
        <x:v>0.8877600000000001</x:v>
      </x:c>
      <x:c r="I738" s="20" t="n">
        <x:f>F738*G738*H738</x:f>
        <x:v>5570.605224</x:v>
      </x:c>
      <x:c r="J738" s="7" t="str">
        <x:v>2 layers x 131 bars outside central opening band</x:v>
      </x:c>
      <x:c r="K738" s="2"/>
      <x:c r="L738" s="2"/>
      <x:c r="M738" s="2"/>
      <x:c r="N738" s="2"/>
      <x:c r="O738" s="2"/>
      <x:c r="P738" s="2"/>
      <x:c r="Q738" s="2"/>
    </x:row>
    <x:row r="739" ht="22" customHeight="1">
      <x:c r="A739" s="2" t="str">
        <x:v>T5-L04-S4</x:v>
      </x:c>
      <x:c r="B739" s="2" t="str">
        <x:v>T5</x:v>
      </x:c>
      <x:c r="C739" s="2" t="str">
        <x:v>L04</x:v>
      </x:c>
      <x:c r="D739" s="2" t="str">
        <x:v>Slab Y split at core</x:v>
      </x:c>
      <x:c r="E739" s="21" t="n">
        <x:v>12</x:v>
      </x:c>
      <x:c r="F739" s="21" t="n">
        <x:v>40</x:v>
      </x:c>
      <x:c r="G739" s="21" t="n">
        <x:v>17.95</x:v>
      </x:c>
      <x:c r="H739" s="21" t="n">
        <x:f>E739^2*'Controls'!$B$52</x:f>
        <x:v>0.8877600000000001</x:v>
      </x:c>
      <x:c r="I739" s="21" t="n">
        <x:f>F739*G739*H739</x:f>
        <x:v>637.41168</x:v>
      </x:c>
      <x:c r="J739" s="2" t="str">
        <x:v>2 layers x 20 bars, split around 6 m opening</x:v>
      </x:c>
      <x:c r="K739" s="2"/>
      <x:c r="L739" s="2"/>
      <x:c r="M739" s="2"/>
      <x:c r="N739" s="2"/>
      <x:c r="O739" s="2"/>
      <x:c r="P739" s="2"/>
      <x:c r="Q739" s="2"/>
    </x:row>
    <x:row r="740" ht="22" customHeight="1">
      <x:c r="A740" s="7" t="str">
        <x:v>T5-L04-S5</x:v>
      </x:c>
      <x:c r="B740" s="7" t="str">
        <x:v>T5</x:v>
      </x:c>
      <x:c r="C740" s="7" t="str">
        <x:v>L04</x:v>
      </x:c>
      <x:c r="D740" s="7" t="str">
        <x:v>Opening trim bars</x:v>
      </x:c>
      <x:c r="E740" s="20" t="n">
        <x:v>16</x:v>
      </x:c>
      <x:c r="F740" s="20" t="n">
        <x:v>16</x:v>
      </x:c>
      <x:c r="G740" s="20" t="n">
        <x:v>7.2</x:v>
      </x:c>
      <x:c r="H740" s="20" t="n">
        <x:f>E740^2*'Controls'!$B$52</x:f>
        <x:v>1.57824</x:v>
      </x:c>
      <x:c r="I740" s="20" t="n">
        <x:f>F740*G740*H740</x:f>
        <x:v>181.81324800000002</x:v>
      </x:c>
      <x:c r="J740" s="7" t="str">
        <x:v>Trim allowance, explicit scheduled lengths</x:v>
      </x:c>
      <x:c r="K740" s="2"/>
      <x:c r="L740" s="2"/>
      <x:c r="M740" s="2"/>
      <x:c r="N740" s="2"/>
      <x:c r="O740" s="2"/>
      <x:c r="P740" s="2"/>
      <x:c r="Q740" s="2"/>
    </x:row>
    <x:row r="741" ht="22" customHeight="1">
      <x:c r="A741" s="2" t="str">
        <x:v>T5-L04-BX</x:v>
      </x:c>
      <x:c r="B741" s="2" t="str">
        <x:v>T5</x:v>
      </x:c>
      <x:c r="C741" s="2" t="str">
        <x:v>L04</x:v>
      </x:c>
      <x:c r="D741" s="2" t="str">
        <x:v>X beam longitudinal</x:v>
      </x:c>
      <x:c r="E741" s="21" t="n">
        <x:v>20</x:v>
      </x:c>
      <x:c r="F741" s="21" t="n">
        <x:v>150</x:v>
      </x:c>
      <x:c r="G741" s="21" t="n">
        <x:v>6.5</x:v>
      </x:c>
      <x:c r="H741" s="21" t="n">
        <x:f>E741^2*'Controls'!$B$52</x:f>
        <x:v>2.466</x:v>
      </x:c>
      <x:c r="I741" s="21" t="n">
        <x:f>F741*G741*H741</x:f>
        <x:v>2404.3500000000004</x:v>
      </x:c>
      <x:c r="J741" s="2" t="str">
        <x:v>25 spans x 6 bars incl. 1 m lap/anchorage provision</x:v>
      </x:c>
      <x:c r="K741" s="2"/>
      <x:c r="L741" s="2"/>
      <x:c r="M741" s="2"/>
      <x:c r="N741" s="2"/>
      <x:c r="O741" s="2"/>
      <x:c r="P741" s="2"/>
      <x:c r="Q741" s="2"/>
    </x:row>
    <x:row r="742" ht="22" customHeight="1">
      <x:c r="A742" s="7" t="str">
        <x:v>T5-L04-BY</x:v>
      </x:c>
      <x:c r="B742" s="7" t="str">
        <x:v>T5</x:v>
      </x:c>
      <x:c r="C742" s="7" t="str">
        <x:v>L04</x:v>
      </x:c>
      <x:c r="D742" s="7" t="str">
        <x:v>Y beam longitudinal</x:v>
      </x:c>
      <x:c r="E742" s="20" t="n">
        <x:v>20</x:v>
      </x:c>
      <x:c r="F742" s="20" t="n">
        <x:v>144</x:v>
      </x:c>
      <x:c r="G742" s="20" t="n">
        <x:v>6.5</x:v>
      </x:c>
      <x:c r="H742" s="20" t="n">
        <x:f>E742^2*'Controls'!$B$52</x:f>
        <x:v>2.466</x:v>
      </x:c>
      <x:c r="I742" s="20" t="n">
        <x:f>F742*G742*H742</x:f>
        <x:v>2308.1760000000004</x:v>
      </x:c>
      <x:c r="J742" s="7" t="str">
        <x:v>24 spans x 6 bars</x:v>
      </x:c>
      <x:c r="K742" s="2"/>
      <x:c r="L742" s="2"/>
      <x:c r="M742" s="2"/>
      <x:c r="N742" s="2"/>
      <x:c r="O742" s="2"/>
      <x:c r="P742" s="2"/>
      <x:c r="Q742" s="2"/>
    </x:row>
    <x:row r="743" ht="22" customHeight="1">
      <x:c r="A743" s="2" t="str">
        <x:v>T5-L04-BT</x:v>
      </x:c>
      <x:c r="B743" s="2" t="str">
        <x:v>T5</x:v>
      </x:c>
      <x:c r="C743" s="2" t="str">
        <x:v>L04</x:v>
      </x:c>
      <x:c r="D743" s="2" t="str">
        <x:v>Beam closed links</x:v>
      </x:c>
      <x:c r="E743" s="21" t="n">
        <x:v>10</x:v>
      </x:c>
      <x:c r="F743" s="21" t="n">
        <x:v>1421</x:v>
      </x:c>
      <x:c r="G743" s="21" t="n">
        <x:v>1.7</x:v>
      </x:c>
      <x:c r="H743" s="21" t="n">
        <x:f>E743^2*'Controls'!$B$52</x:f>
        <x:v>0.6165</x:v>
      </x:c>
      <x:c r="I743" s="21" t="n">
        <x:f>F743*G743*H743</x:f>
        <x:v>1489.27905</x:v>
      </x:c>
      <x:c r="J743" s="2" t="str">
        <x:v>49 beams x 29 links, 200 mm nominal</x:v>
      </x:c>
      <x:c r="K743" s="2"/>
      <x:c r="L743" s="2"/>
      <x:c r="M743" s="2"/>
      <x:c r="N743" s="2"/>
      <x:c r="O743" s="2"/>
      <x:c r="P743" s="2"/>
      <x:c r="Q743" s="2"/>
    </x:row>
    <x:row r="744" ht="22" customHeight="1">
      <x:c r="A744" s="7" t="str">
        <x:v>T5-L04-CL</x:v>
      </x:c>
      <x:c r="B744" s="7" t="str">
        <x:v>T5</x:v>
      </x:c>
      <x:c r="C744" s="7" t="str">
        <x:v>L04</x:v>
      </x:c>
      <x:c r="D744" s="7" t="str">
        <x:v>Column longitudinal</x:v>
      </x:c>
      <x:c r="E744" s="20" t="n">
        <x:v>25</x:v>
      </x:c>
      <x:c r="F744" s="20" t="n">
        <x:v>360</x:v>
      </x:c>
      <x:c r="G744" s="20" t="n">
        <x:v>3.9</x:v>
      </x:c>
      <x:c r="H744" s="20" t="n">
        <x:f>E744^2*'Controls'!$B$52</x:f>
        <x:v>3.8531250000000004</x:v>
      </x:c>
      <x:c r="I744" s="20" t="n">
        <x:f>F744*G744*H744</x:f>
        <x:v>5409.7875</x:v>
      </x:c>
      <x:c r="J744" s="7" t="str">
        <x:v>30 columns x 12 bars incl. lap</x:v>
      </x:c>
      <x:c r="K744" s="2"/>
      <x:c r="L744" s="2"/>
      <x:c r="M744" s="2"/>
      <x:c r="N744" s="2"/>
      <x:c r="O744" s="2"/>
      <x:c r="P744" s="2"/>
      <x:c r="Q744" s="2"/>
    </x:row>
    <x:row r="745" ht="22" customHeight="1">
      <x:c r="A745" s="2" t="str">
        <x:v>T5-L04-CT</x:v>
      </x:c>
      <x:c r="B745" s="2" t="str">
        <x:v>T5</x:v>
      </x:c>
      <x:c r="C745" s="2" t="str">
        <x:v>L04</x:v>
      </x:c>
      <x:c r="D745" s="2" t="str">
        <x:v>Column ties</x:v>
      </x:c>
      <x:c r="E745" s="21" t="n">
        <x:v>10</x:v>
      </x:c>
      <x:c r="F745" s="21" t="n">
        <x:v>510</x:v>
      </x:c>
      <x:c r="G745" s="21" t="n">
        <x:v>1.96</x:v>
      </x:c>
      <x:c r="H745" s="21" t="n">
        <x:f>E745^2*'Controls'!$B$52</x:f>
        <x:v>0.6165</x:v>
      </x:c>
      <x:c r="I745" s="21" t="n">
        <x:f>F745*G745*H745</x:f>
        <x:v>616.2534</x:v>
      </x:c>
      <x:c r="J745" s="2" t="str">
        <x:v>30 columns x 17 ties, cover and hooks included</x:v>
      </x:c>
      <x:c r="K745" s="2"/>
      <x:c r="L745" s="2"/>
      <x:c r="M745" s="2"/>
      <x:c r="N745" s="2"/>
      <x:c r="O745" s="2"/>
      <x:c r="P745" s="2"/>
      <x:c r="Q745" s="2"/>
    </x:row>
    <x:row r="746" ht="22" customHeight="1">
      <x:c r="A746" s="7" t="str">
        <x:v>T5-L04-CV</x:v>
      </x:c>
      <x:c r="B746" s="7" t="str">
        <x:v>T5</x:v>
      </x:c>
      <x:c r="C746" s="7" t="str">
        <x:v>L04</x:v>
      </x:c>
      <x:c r="D746" s="7" t="str">
        <x:v>Core vertical bars</x:v>
      </x:c>
      <x:c r="E746" s="20" t="n">
        <x:v>16</x:v>
      </x:c>
      <x:c r="F746" s="20" t="n">
        <x:v>244</x:v>
      </x:c>
      <x:c r="G746" s="20" t="n">
        <x:v>3.9</x:v>
      </x:c>
      <x:c r="H746" s="20" t="n">
        <x:f>E746^2*'Controls'!$B$52</x:f>
        <x:v>1.57824</x:v>
      </x:c>
      <x:c r="I746" s="20" t="n">
        <x:f>F746*G746*H746</x:f>
        <x:v>1501.853184</x:v>
      </x:c>
      <x:c r="J746" s="7" t="str">
        <x:v>Two faces, 200 mm nominal along 24 m net length</x:v>
      </x:c>
      <x:c r="K746" s="2"/>
      <x:c r="L746" s="2"/>
      <x:c r="M746" s="2"/>
      <x:c r="N746" s="2"/>
      <x:c r="O746" s="2"/>
      <x:c r="P746" s="2"/>
      <x:c r="Q746" s="2"/>
    </x:row>
    <x:row r="747" ht="22" customHeight="1">
      <x:c r="A747" s="2" t="str">
        <x:v>T5-L04-CH</x:v>
      </x:c>
      <x:c r="B747" s="2" t="str">
        <x:v>T5</x:v>
      </x:c>
      <x:c r="C747" s="2" t="str">
        <x:v>L04</x:v>
      </x:c>
      <x:c r="D747" s="2" t="str">
        <x:v>Core horizontal bars</x:v>
      </x:c>
      <x:c r="E747" s="21" t="n">
        <x:v>12</x:v>
      </x:c>
      <x:c r="F747" s="21" t="n">
        <x:v>32</x:v>
      </x:c>
      <x:c r="G747" s="21" t="n">
        <x:v>25</x:v>
      </x:c>
      <x:c r="H747" s="21" t="n">
        <x:f>E747^2*'Controls'!$B$52</x:f>
        <x:v>0.8877600000000001</x:v>
      </x:c>
      <x:c r="I747" s="21" t="n">
        <x:f>F747*G747*H747</x:f>
        <x:v>710.2080000000001</x:v>
      </x:c>
      <x:c r="J747" s="2" t="str">
        <x:v>Two faces x 16 layers incl. lap</x:v>
      </x:c>
      <x:c r="K747" s="2"/>
      <x:c r="L747" s="2"/>
      <x:c r="M747" s="2"/>
      <x:c r="N747" s="2"/>
      <x:c r="O747" s="2"/>
      <x:c r="P747" s="2"/>
      <x:c r="Q747" s="2"/>
    </x:row>
    <x:row r="748" ht="22" customHeight="1">
      <x:c r="A748" s="7" t="str">
        <x:v>T5-L04-ST</x:v>
      </x:c>
      <x:c r="B748" s="7" t="str">
        <x:v>T5</x:v>
      </x:c>
      <x:c r="C748" s="7" t="str">
        <x:v>L04</x:v>
      </x:c>
      <x:c r="D748" s="7" t="str">
        <x:v>Stair flights and landings</x:v>
      </x:c>
      <x:c r="E748" s="20" t="n">
        <x:v>12</x:v>
      </x:c>
      <x:c r="F748" s="20" t="n">
        <x:v>80</x:v>
      </x:c>
      <x:c r="G748" s="20" t="n">
        <x:v>4.8</x:v>
      </x:c>
      <x:c r="H748" s="20" t="n">
        <x:f>E748^2*'Controls'!$B$52</x:f>
        <x:v>0.8877600000000001</x:v>
      </x:c>
      <x:c r="I748" s="20" t="n">
        <x:f>F748*G748*H748</x:f>
        <x:v>340.89984000000004</x:v>
      </x:c>
      <x:c r="J748" s="7" t="str">
        <x:v>Separate stair reinforcement allowance</x:v>
      </x:c>
      <x:c r="K748" s="2"/>
      <x:c r="L748" s="2"/>
      <x:c r="M748" s="2"/>
      <x:c r="N748" s="2"/>
      <x:c r="O748" s="2"/>
      <x:c r="P748" s="2"/>
      <x:c r="Q748" s="2"/>
    </x:row>
    <x:row r="749" ht="22" customHeight="1">
      <x:c r="A749" s="2" t="str">
        <x:v>T5-L05-S1</x:v>
      </x:c>
      <x:c r="B749" s="2" t="str">
        <x:v>T5</x:v>
      </x:c>
      <x:c r="C749" s="2" t="str">
        <x:v>L05</x:v>
      </x:c>
      <x:c r="D749" s="2" t="str">
        <x:v>Slab X through strips</x:v>
      </x:c>
      <x:c r="E749" s="21" t="n">
        <x:v>12</x:v>
      </x:c>
      <x:c r="F749" s="21" t="n">
        <x:v>182</x:v>
      </x:c>
      <x:c r="G749" s="21" t="n">
        <x:v>29.95</x:v>
      </x:c>
      <x:c r="H749" s="21" t="n">
        <x:f>E749^2*'Controls'!$B$52</x:f>
        <x:v>0.8877600000000001</x:v>
      </x:c>
      <x:c r="I749" s="21" t="n">
        <x:f>F749*G749*H749</x:f>
        <x:v>4839.090984</x:v>
      </x:c>
      <x:c r="J749" s="2" t="str">
        <x:v>2 layers x 91 bars outside central opening band</x:v>
      </x:c>
      <x:c r="K749" s="2"/>
      <x:c r="L749" s="2"/>
      <x:c r="M749" s="2"/>
      <x:c r="N749" s="2"/>
      <x:c r="O749" s="2"/>
      <x:c r="P749" s="2"/>
      <x:c r="Q749" s="2"/>
    </x:row>
    <x:row r="750" ht="22" customHeight="1">
      <x:c r="A750" s="7" t="str">
        <x:v>T5-L05-S2</x:v>
      </x:c>
      <x:c r="B750" s="7" t="str">
        <x:v>T5</x:v>
      </x:c>
      <x:c r="C750" s="7" t="str">
        <x:v>L05</x:v>
      </x:c>
      <x:c r="D750" s="7" t="str">
        <x:v>Slab X split at core</x:v>
      </x:c>
      <x:c r="E750" s="20" t="n">
        <x:v>12</x:v>
      </x:c>
      <x:c r="F750" s="20" t="n">
        <x:v>60</x:v>
      </x:c>
      <x:c r="G750" s="20" t="n">
        <x:v>25.95</x:v>
      </x:c>
      <x:c r="H750" s="20" t="n">
        <x:f>E750^2*'Controls'!$B$52</x:f>
        <x:v>0.8877600000000001</x:v>
      </x:c>
      <x:c r="I750" s="20" t="n">
        <x:f>F750*G750*H750</x:f>
        <x:v>1382.24232</x:v>
      </x:c>
      <x:c r="J750" s="7" t="str">
        <x:v>2 layers x 30 bars, split lengths combined around 4 m opening</x:v>
      </x:c>
      <x:c r="K750" s="2"/>
      <x:c r="L750" s="2"/>
      <x:c r="M750" s="2"/>
      <x:c r="N750" s="2"/>
      <x:c r="O750" s="2"/>
      <x:c r="P750" s="2"/>
      <x:c r="Q750" s="2"/>
    </x:row>
    <x:row r="751" ht="22" customHeight="1">
      <x:c r="A751" s="2" t="str">
        <x:v>T5-L05-S3</x:v>
      </x:c>
      <x:c r="B751" s="2" t="str">
        <x:v>T5</x:v>
      </x:c>
      <x:c r="C751" s="2" t="str">
        <x:v>L05</x:v>
      </x:c>
      <x:c r="D751" s="2" t="str">
        <x:v>Slab Y through strips</x:v>
      </x:c>
      <x:c r="E751" s="21" t="n">
        <x:v>12</x:v>
      </x:c>
      <x:c r="F751" s="21" t="n">
        <x:v>262</x:v>
      </x:c>
      <x:c r="G751" s="21" t="n">
        <x:v>23.95</x:v>
      </x:c>
      <x:c r="H751" s="21" t="n">
        <x:f>E751^2*'Controls'!$B$52</x:f>
        <x:v>0.8877600000000001</x:v>
      </x:c>
      <x:c r="I751" s="21" t="n">
        <x:f>F751*G751*H751</x:f>
        <x:v>5570.605224</x:v>
      </x:c>
      <x:c r="J751" s="2" t="str">
        <x:v>2 layers x 131 bars outside central opening band</x:v>
      </x:c>
      <x:c r="K751" s="2"/>
      <x:c r="L751" s="2"/>
      <x:c r="M751" s="2"/>
      <x:c r="N751" s="2"/>
      <x:c r="O751" s="2"/>
      <x:c r="P751" s="2"/>
      <x:c r="Q751" s="2"/>
    </x:row>
    <x:row r="752" ht="22" customHeight="1">
      <x:c r="A752" s="7" t="str">
        <x:v>T5-L05-S4</x:v>
      </x:c>
      <x:c r="B752" s="7" t="str">
        <x:v>T5</x:v>
      </x:c>
      <x:c r="C752" s="7" t="str">
        <x:v>L05</x:v>
      </x:c>
      <x:c r="D752" s="7" t="str">
        <x:v>Slab Y split at core</x:v>
      </x:c>
      <x:c r="E752" s="20" t="n">
        <x:v>12</x:v>
      </x:c>
      <x:c r="F752" s="20" t="n">
        <x:v>40</x:v>
      </x:c>
      <x:c r="G752" s="20" t="n">
        <x:v>17.95</x:v>
      </x:c>
      <x:c r="H752" s="20" t="n">
        <x:f>E752^2*'Controls'!$B$52</x:f>
        <x:v>0.8877600000000001</x:v>
      </x:c>
      <x:c r="I752" s="20" t="n">
        <x:f>F752*G752*H752</x:f>
        <x:v>637.41168</x:v>
      </x:c>
      <x:c r="J752" s="7" t="str">
        <x:v>2 layers x 20 bars, split around 6 m opening</x:v>
      </x:c>
      <x:c r="K752" s="2"/>
      <x:c r="L752" s="2"/>
      <x:c r="M752" s="2"/>
      <x:c r="N752" s="2"/>
      <x:c r="O752" s="2"/>
      <x:c r="P752" s="2"/>
      <x:c r="Q752" s="2"/>
    </x:row>
    <x:row r="753" ht="22" customHeight="1">
      <x:c r="A753" s="2" t="str">
        <x:v>T5-L05-S5</x:v>
      </x:c>
      <x:c r="B753" s="2" t="str">
        <x:v>T5</x:v>
      </x:c>
      <x:c r="C753" s="2" t="str">
        <x:v>L05</x:v>
      </x:c>
      <x:c r="D753" s="2" t="str">
        <x:v>Opening trim bars</x:v>
      </x:c>
      <x:c r="E753" s="21" t="n">
        <x:v>16</x:v>
      </x:c>
      <x:c r="F753" s="21" t="n">
        <x:v>16</x:v>
      </x:c>
      <x:c r="G753" s="21" t="n">
        <x:v>7.2</x:v>
      </x:c>
      <x:c r="H753" s="21" t="n">
        <x:f>E753^2*'Controls'!$B$52</x:f>
        <x:v>1.57824</x:v>
      </x:c>
      <x:c r="I753" s="21" t="n">
        <x:f>F753*G753*H753</x:f>
        <x:v>181.81324800000002</x:v>
      </x:c>
      <x:c r="J753" s="2" t="str">
        <x:v>Trim allowance, explicit scheduled lengths</x:v>
      </x:c>
      <x:c r="K753" s="2"/>
      <x:c r="L753" s="2"/>
      <x:c r="M753" s="2"/>
      <x:c r="N753" s="2"/>
      <x:c r="O753" s="2"/>
      <x:c r="P753" s="2"/>
      <x:c r="Q753" s="2"/>
    </x:row>
    <x:row r="754" ht="22" customHeight="1">
      <x:c r="A754" s="7" t="str">
        <x:v>T5-L05-BX</x:v>
      </x:c>
      <x:c r="B754" s="7" t="str">
        <x:v>T5</x:v>
      </x:c>
      <x:c r="C754" s="7" t="str">
        <x:v>L05</x:v>
      </x:c>
      <x:c r="D754" s="7" t="str">
        <x:v>X beam longitudinal</x:v>
      </x:c>
      <x:c r="E754" s="20" t="n">
        <x:v>20</x:v>
      </x:c>
      <x:c r="F754" s="20" t="n">
        <x:v>150</x:v>
      </x:c>
      <x:c r="G754" s="20" t="n">
        <x:v>6.5</x:v>
      </x:c>
      <x:c r="H754" s="20" t="n">
        <x:f>E754^2*'Controls'!$B$52</x:f>
        <x:v>2.466</x:v>
      </x:c>
      <x:c r="I754" s="20" t="n">
        <x:f>F754*G754*H754</x:f>
        <x:v>2404.3500000000004</x:v>
      </x:c>
      <x:c r="J754" s="7" t="str">
        <x:v>25 spans x 6 bars incl. 1 m lap/anchorage provision</x:v>
      </x:c>
      <x:c r="K754" s="2"/>
      <x:c r="L754" s="2"/>
      <x:c r="M754" s="2"/>
      <x:c r="N754" s="2"/>
      <x:c r="O754" s="2"/>
      <x:c r="P754" s="2"/>
      <x:c r="Q754" s="2"/>
    </x:row>
    <x:row r="755" ht="22" customHeight="1">
      <x:c r="A755" s="2" t="str">
        <x:v>T5-L05-BY</x:v>
      </x:c>
      <x:c r="B755" s="2" t="str">
        <x:v>T5</x:v>
      </x:c>
      <x:c r="C755" s="2" t="str">
        <x:v>L05</x:v>
      </x:c>
      <x:c r="D755" s="2" t="str">
        <x:v>Y beam longitudinal</x:v>
      </x:c>
      <x:c r="E755" s="21" t="n">
        <x:v>20</x:v>
      </x:c>
      <x:c r="F755" s="21" t="n">
        <x:v>144</x:v>
      </x:c>
      <x:c r="G755" s="21" t="n">
        <x:v>6.5</x:v>
      </x:c>
      <x:c r="H755" s="21" t="n">
        <x:f>E755^2*'Controls'!$B$52</x:f>
        <x:v>2.466</x:v>
      </x:c>
      <x:c r="I755" s="21" t="n">
        <x:f>F755*G755*H755</x:f>
        <x:v>2308.1760000000004</x:v>
      </x:c>
      <x:c r="J755" s="2" t="str">
        <x:v>24 spans x 6 bars</x:v>
      </x:c>
      <x:c r="K755" s="2"/>
      <x:c r="L755" s="2"/>
      <x:c r="M755" s="2"/>
      <x:c r="N755" s="2"/>
      <x:c r="O755" s="2"/>
      <x:c r="P755" s="2"/>
      <x:c r="Q755" s="2"/>
    </x:row>
    <x:row r="756" ht="22" customHeight="1">
      <x:c r="A756" s="7" t="str">
        <x:v>T5-L05-BT</x:v>
      </x:c>
      <x:c r="B756" s="7" t="str">
        <x:v>T5</x:v>
      </x:c>
      <x:c r="C756" s="7" t="str">
        <x:v>L05</x:v>
      </x:c>
      <x:c r="D756" s="7" t="str">
        <x:v>Beam closed links</x:v>
      </x:c>
      <x:c r="E756" s="20" t="n">
        <x:v>10</x:v>
      </x:c>
      <x:c r="F756" s="20" t="n">
        <x:v>1421</x:v>
      </x:c>
      <x:c r="G756" s="20" t="n">
        <x:v>1.7</x:v>
      </x:c>
      <x:c r="H756" s="20" t="n">
        <x:f>E756^2*'Controls'!$B$52</x:f>
        <x:v>0.6165</x:v>
      </x:c>
      <x:c r="I756" s="20" t="n">
        <x:f>F756*G756*H756</x:f>
        <x:v>1489.27905</x:v>
      </x:c>
      <x:c r="J756" s="7" t="str">
        <x:v>49 beams x 29 links, 200 mm nominal</x:v>
      </x:c>
      <x:c r="K756" s="2"/>
      <x:c r="L756" s="2"/>
      <x:c r="M756" s="2"/>
      <x:c r="N756" s="2"/>
      <x:c r="O756" s="2"/>
      <x:c r="P756" s="2"/>
      <x:c r="Q756" s="2"/>
    </x:row>
    <x:row r="757" ht="22" customHeight="1">
      <x:c r="A757" s="2" t="str">
        <x:v>T5-L05-CL</x:v>
      </x:c>
      <x:c r="B757" s="2" t="str">
        <x:v>T5</x:v>
      </x:c>
      <x:c r="C757" s="2" t="str">
        <x:v>L05</x:v>
      </x:c>
      <x:c r="D757" s="2" t="str">
        <x:v>Column longitudinal</x:v>
      </x:c>
      <x:c r="E757" s="21" t="n">
        <x:v>25</x:v>
      </x:c>
      <x:c r="F757" s="21" t="n">
        <x:v>360</x:v>
      </x:c>
      <x:c r="G757" s="21" t="n">
        <x:v>3.9</x:v>
      </x:c>
      <x:c r="H757" s="21" t="n">
        <x:f>E757^2*'Controls'!$B$52</x:f>
        <x:v>3.8531250000000004</x:v>
      </x:c>
      <x:c r="I757" s="21" t="n">
        <x:f>F757*G757*H757</x:f>
        <x:v>5409.7875</x:v>
      </x:c>
      <x:c r="J757" s="2" t="str">
        <x:v>30 columns x 12 bars incl. lap</x:v>
      </x:c>
      <x:c r="K757" s="2"/>
      <x:c r="L757" s="2"/>
      <x:c r="M757" s="2"/>
      <x:c r="N757" s="2"/>
      <x:c r="O757" s="2"/>
      <x:c r="P757" s="2"/>
      <x:c r="Q757" s="2"/>
    </x:row>
    <x:row r="758" ht="22" customHeight="1">
      <x:c r="A758" s="7" t="str">
        <x:v>T5-L05-CT</x:v>
      </x:c>
      <x:c r="B758" s="7" t="str">
        <x:v>T5</x:v>
      </x:c>
      <x:c r="C758" s="7" t="str">
        <x:v>L05</x:v>
      </x:c>
      <x:c r="D758" s="7" t="str">
        <x:v>Column ties</x:v>
      </x:c>
      <x:c r="E758" s="20" t="n">
        <x:v>10</x:v>
      </x:c>
      <x:c r="F758" s="20" t="n">
        <x:v>510</x:v>
      </x:c>
      <x:c r="G758" s="20" t="n">
        <x:v>1.96</x:v>
      </x:c>
      <x:c r="H758" s="20" t="n">
        <x:f>E758^2*'Controls'!$B$52</x:f>
        <x:v>0.6165</x:v>
      </x:c>
      <x:c r="I758" s="20" t="n">
        <x:f>F758*G758*H758</x:f>
        <x:v>616.2534</x:v>
      </x:c>
      <x:c r="J758" s="7" t="str">
        <x:v>30 columns x 17 ties, cover and hooks included</x:v>
      </x:c>
      <x:c r="K758" s="2"/>
      <x:c r="L758" s="2"/>
      <x:c r="M758" s="2"/>
      <x:c r="N758" s="2"/>
      <x:c r="O758" s="2"/>
      <x:c r="P758" s="2"/>
      <x:c r="Q758" s="2"/>
    </x:row>
    <x:row r="759" ht="22" customHeight="1">
      <x:c r="A759" s="2" t="str">
        <x:v>T5-L05-CV</x:v>
      </x:c>
      <x:c r="B759" s="2" t="str">
        <x:v>T5</x:v>
      </x:c>
      <x:c r="C759" s="2" t="str">
        <x:v>L05</x:v>
      </x:c>
      <x:c r="D759" s="2" t="str">
        <x:v>Core vertical bars</x:v>
      </x:c>
      <x:c r="E759" s="21" t="n">
        <x:v>16</x:v>
      </x:c>
      <x:c r="F759" s="21" t="n">
        <x:v>244</x:v>
      </x:c>
      <x:c r="G759" s="21" t="n">
        <x:v>3.9</x:v>
      </x:c>
      <x:c r="H759" s="21" t="n">
        <x:f>E759^2*'Controls'!$B$52</x:f>
        <x:v>1.57824</x:v>
      </x:c>
      <x:c r="I759" s="21" t="n">
        <x:f>F759*G759*H759</x:f>
        <x:v>1501.853184</x:v>
      </x:c>
      <x:c r="J759" s="2" t="str">
        <x:v>Two faces, 200 mm nominal along 24 m net length</x:v>
      </x:c>
      <x:c r="K759" s="2"/>
      <x:c r="L759" s="2"/>
      <x:c r="M759" s="2"/>
      <x:c r="N759" s="2"/>
      <x:c r="O759" s="2"/>
      <x:c r="P759" s="2"/>
      <x:c r="Q759" s="2"/>
    </x:row>
    <x:row r="760" ht="22" customHeight="1">
      <x:c r="A760" s="7" t="str">
        <x:v>T5-L05-CH</x:v>
      </x:c>
      <x:c r="B760" s="7" t="str">
        <x:v>T5</x:v>
      </x:c>
      <x:c r="C760" s="7" t="str">
        <x:v>L05</x:v>
      </x:c>
      <x:c r="D760" s="7" t="str">
        <x:v>Core horizontal bars</x:v>
      </x:c>
      <x:c r="E760" s="20" t="n">
        <x:v>12</x:v>
      </x:c>
      <x:c r="F760" s="20" t="n">
        <x:v>32</x:v>
      </x:c>
      <x:c r="G760" s="20" t="n">
        <x:v>25</x:v>
      </x:c>
      <x:c r="H760" s="20" t="n">
        <x:f>E760^2*'Controls'!$B$52</x:f>
        <x:v>0.8877600000000001</x:v>
      </x:c>
      <x:c r="I760" s="20" t="n">
        <x:f>F760*G760*H760</x:f>
        <x:v>710.2080000000001</x:v>
      </x:c>
      <x:c r="J760" s="7" t="str">
        <x:v>Two faces x 16 layers incl. lap</x:v>
      </x:c>
      <x:c r="K760" s="2"/>
      <x:c r="L760" s="2"/>
      <x:c r="M760" s="2"/>
      <x:c r="N760" s="2"/>
      <x:c r="O760" s="2"/>
      <x:c r="P760" s="2"/>
      <x:c r="Q760" s="2"/>
    </x:row>
    <x:row r="761" ht="22" customHeight="1">
      <x:c r="A761" s="2" t="str">
        <x:v>T5-L05-ST</x:v>
      </x:c>
      <x:c r="B761" s="2" t="str">
        <x:v>T5</x:v>
      </x:c>
      <x:c r="C761" s="2" t="str">
        <x:v>L05</x:v>
      </x:c>
      <x:c r="D761" s="2" t="str">
        <x:v>Stair flights and landings</x:v>
      </x:c>
      <x:c r="E761" s="21" t="n">
        <x:v>12</x:v>
      </x:c>
      <x:c r="F761" s="21" t="n">
        <x:v>80</x:v>
      </x:c>
      <x:c r="G761" s="21" t="n">
        <x:v>4.8</x:v>
      </x:c>
      <x:c r="H761" s="21" t="n">
        <x:f>E761^2*'Controls'!$B$52</x:f>
        <x:v>0.8877600000000001</x:v>
      </x:c>
      <x:c r="I761" s="21" t="n">
        <x:f>F761*G761*H761</x:f>
        <x:v>340.89984000000004</x:v>
      </x:c>
      <x:c r="J761" s="2" t="str">
        <x:v>Separate stair reinforcement allowance</x:v>
      </x:c>
      <x:c r="K761" s="2"/>
      <x:c r="L761" s="2"/>
      <x:c r="M761" s="2"/>
      <x:c r="N761" s="2"/>
      <x:c r="O761" s="2"/>
      <x:c r="P761" s="2"/>
      <x:c r="Q761" s="2"/>
    </x:row>
    <x:row r="762" ht="22" customHeight="1">
      <x:c r="A762" s="7" t="str">
        <x:v>T5-L06-S1</x:v>
      </x:c>
      <x:c r="B762" s="7" t="str">
        <x:v>T5</x:v>
      </x:c>
      <x:c r="C762" s="7" t="str">
        <x:v>L06</x:v>
      </x:c>
      <x:c r="D762" s="7" t="str">
        <x:v>Slab X through strips</x:v>
      </x:c>
      <x:c r="E762" s="20" t="n">
        <x:v>12</x:v>
      </x:c>
      <x:c r="F762" s="20" t="n">
        <x:v>182</x:v>
      </x:c>
      <x:c r="G762" s="20" t="n">
        <x:v>29.95</x:v>
      </x:c>
      <x:c r="H762" s="20" t="n">
        <x:f>E762^2*'Controls'!$B$52</x:f>
        <x:v>0.8877600000000001</x:v>
      </x:c>
      <x:c r="I762" s="20" t="n">
        <x:f>F762*G762*H762</x:f>
        <x:v>4839.090984</x:v>
      </x:c>
      <x:c r="J762" s="7" t="str">
        <x:v>2 layers x 91 bars outside central opening band</x:v>
      </x:c>
      <x:c r="K762" s="2"/>
      <x:c r="L762" s="2"/>
      <x:c r="M762" s="2"/>
      <x:c r="N762" s="2"/>
      <x:c r="O762" s="2"/>
      <x:c r="P762" s="2"/>
      <x:c r="Q762" s="2"/>
    </x:row>
    <x:row r="763" ht="22" customHeight="1">
      <x:c r="A763" s="2" t="str">
        <x:v>T5-L06-S2</x:v>
      </x:c>
      <x:c r="B763" s="2" t="str">
        <x:v>T5</x:v>
      </x:c>
      <x:c r="C763" s="2" t="str">
        <x:v>L06</x:v>
      </x:c>
      <x:c r="D763" s="2" t="str">
        <x:v>Slab X split at core</x:v>
      </x:c>
      <x:c r="E763" s="21" t="n">
        <x:v>12</x:v>
      </x:c>
      <x:c r="F763" s="21" t="n">
        <x:v>60</x:v>
      </x:c>
      <x:c r="G763" s="21" t="n">
        <x:v>25.95</x:v>
      </x:c>
      <x:c r="H763" s="21" t="n">
        <x:f>E763^2*'Controls'!$B$52</x:f>
        <x:v>0.8877600000000001</x:v>
      </x:c>
      <x:c r="I763" s="21" t="n">
        <x:f>F763*G763*H763</x:f>
        <x:v>1382.24232</x:v>
      </x:c>
      <x:c r="J763" s="2" t="str">
        <x:v>2 layers x 30 bars, split lengths combined around 4 m opening</x:v>
      </x:c>
      <x:c r="K763" s="2"/>
      <x:c r="L763" s="2"/>
      <x:c r="M763" s="2"/>
      <x:c r="N763" s="2"/>
      <x:c r="O763" s="2"/>
      <x:c r="P763" s="2"/>
      <x:c r="Q763" s="2"/>
    </x:row>
    <x:row r="764" ht="22" customHeight="1">
      <x:c r="A764" s="7" t="str">
        <x:v>T5-L06-S3</x:v>
      </x:c>
      <x:c r="B764" s="7" t="str">
        <x:v>T5</x:v>
      </x:c>
      <x:c r="C764" s="7" t="str">
        <x:v>L06</x:v>
      </x:c>
      <x:c r="D764" s="7" t="str">
        <x:v>Slab Y through strips</x:v>
      </x:c>
      <x:c r="E764" s="20" t="n">
        <x:v>12</x:v>
      </x:c>
      <x:c r="F764" s="20" t="n">
        <x:v>262</x:v>
      </x:c>
      <x:c r="G764" s="20" t="n">
        <x:v>23.95</x:v>
      </x:c>
      <x:c r="H764" s="20" t="n">
        <x:f>E764^2*'Controls'!$B$52</x:f>
        <x:v>0.8877600000000001</x:v>
      </x:c>
      <x:c r="I764" s="20" t="n">
        <x:f>F764*G764*H764</x:f>
        <x:v>5570.605224</x:v>
      </x:c>
      <x:c r="J764" s="7" t="str">
        <x:v>2 layers x 131 bars outside central opening band</x:v>
      </x:c>
      <x:c r="K764" s="2"/>
      <x:c r="L764" s="2"/>
      <x:c r="M764" s="2"/>
      <x:c r="N764" s="2"/>
      <x:c r="O764" s="2"/>
      <x:c r="P764" s="2"/>
      <x:c r="Q764" s="2"/>
    </x:row>
    <x:row r="765" ht="22" customHeight="1">
      <x:c r="A765" s="2" t="str">
        <x:v>T5-L06-S4</x:v>
      </x:c>
      <x:c r="B765" s="2" t="str">
        <x:v>T5</x:v>
      </x:c>
      <x:c r="C765" s="2" t="str">
        <x:v>L06</x:v>
      </x:c>
      <x:c r="D765" s="2" t="str">
        <x:v>Slab Y split at core</x:v>
      </x:c>
      <x:c r="E765" s="21" t="n">
        <x:v>12</x:v>
      </x:c>
      <x:c r="F765" s="21" t="n">
        <x:v>40</x:v>
      </x:c>
      <x:c r="G765" s="21" t="n">
        <x:v>17.95</x:v>
      </x:c>
      <x:c r="H765" s="21" t="n">
        <x:f>E765^2*'Controls'!$B$52</x:f>
        <x:v>0.8877600000000001</x:v>
      </x:c>
      <x:c r="I765" s="21" t="n">
        <x:f>F765*G765*H765</x:f>
        <x:v>637.41168</x:v>
      </x:c>
      <x:c r="J765" s="2" t="str">
        <x:v>2 layers x 20 bars, split around 6 m opening</x:v>
      </x:c>
      <x:c r="K765" s="2"/>
      <x:c r="L765" s="2"/>
      <x:c r="M765" s="2"/>
      <x:c r="N765" s="2"/>
      <x:c r="O765" s="2"/>
      <x:c r="P765" s="2"/>
      <x:c r="Q765" s="2"/>
    </x:row>
    <x:row r="766" ht="22" customHeight="1">
      <x:c r="A766" s="7" t="str">
        <x:v>T5-L06-S5</x:v>
      </x:c>
      <x:c r="B766" s="7" t="str">
        <x:v>T5</x:v>
      </x:c>
      <x:c r="C766" s="7" t="str">
        <x:v>L06</x:v>
      </x:c>
      <x:c r="D766" s="7" t="str">
        <x:v>Opening trim bars</x:v>
      </x:c>
      <x:c r="E766" s="20" t="n">
        <x:v>16</x:v>
      </x:c>
      <x:c r="F766" s="20" t="n">
        <x:v>16</x:v>
      </x:c>
      <x:c r="G766" s="20" t="n">
        <x:v>7.2</x:v>
      </x:c>
      <x:c r="H766" s="20" t="n">
        <x:f>E766^2*'Controls'!$B$52</x:f>
        <x:v>1.57824</x:v>
      </x:c>
      <x:c r="I766" s="20" t="n">
        <x:f>F766*G766*H766</x:f>
        <x:v>181.81324800000002</x:v>
      </x:c>
      <x:c r="J766" s="7" t="str">
        <x:v>Trim allowance, explicit scheduled lengths</x:v>
      </x:c>
      <x:c r="K766" s="2"/>
      <x:c r="L766" s="2"/>
      <x:c r="M766" s="2"/>
      <x:c r="N766" s="2"/>
      <x:c r="O766" s="2"/>
      <x:c r="P766" s="2"/>
      <x:c r="Q766" s="2"/>
    </x:row>
    <x:row r="767" ht="22" customHeight="1">
      <x:c r="A767" s="2" t="str">
        <x:v>T5-L06-BX</x:v>
      </x:c>
      <x:c r="B767" s="2" t="str">
        <x:v>T5</x:v>
      </x:c>
      <x:c r="C767" s="2" t="str">
        <x:v>L06</x:v>
      </x:c>
      <x:c r="D767" s="2" t="str">
        <x:v>X beam longitudinal</x:v>
      </x:c>
      <x:c r="E767" s="21" t="n">
        <x:v>20</x:v>
      </x:c>
      <x:c r="F767" s="21" t="n">
        <x:v>150</x:v>
      </x:c>
      <x:c r="G767" s="21" t="n">
        <x:v>6.5</x:v>
      </x:c>
      <x:c r="H767" s="21" t="n">
        <x:f>E767^2*'Controls'!$B$52</x:f>
        <x:v>2.466</x:v>
      </x:c>
      <x:c r="I767" s="21" t="n">
        <x:f>F767*G767*H767</x:f>
        <x:v>2404.3500000000004</x:v>
      </x:c>
      <x:c r="J767" s="2" t="str">
        <x:v>25 spans x 6 bars incl. 1 m lap/anchorage provision</x:v>
      </x:c>
      <x:c r="K767" s="2"/>
      <x:c r="L767" s="2"/>
      <x:c r="M767" s="2"/>
      <x:c r="N767" s="2"/>
      <x:c r="O767" s="2"/>
      <x:c r="P767" s="2"/>
      <x:c r="Q767" s="2"/>
    </x:row>
    <x:row r="768" ht="22" customHeight="1">
      <x:c r="A768" s="7" t="str">
        <x:v>T5-L06-BY</x:v>
      </x:c>
      <x:c r="B768" s="7" t="str">
        <x:v>T5</x:v>
      </x:c>
      <x:c r="C768" s="7" t="str">
        <x:v>L06</x:v>
      </x:c>
      <x:c r="D768" s="7" t="str">
        <x:v>Y beam longitudinal</x:v>
      </x:c>
      <x:c r="E768" s="20" t="n">
        <x:v>20</x:v>
      </x:c>
      <x:c r="F768" s="20" t="n">
        <x:v>144</x:v>
      </x:c>
      <x:c r="G768" s="20" t="n">
        <x:v>6.5</x:v>
      </x:c>
      <x:c r="H768" s="20" t="n">
        <x:f>E768^2*'Controls'!$B$52</x:f>
        <x:v>2.466</x:v>
      </x:c>
      <x:c r="I768" s="20" t="n">
        <x:f>F768*G768*H768</x:f>
        <x:v>2308.1760000000004</x:v>
      </x:c>
      <x:c r="J768" s="7" t="str">
        <x:v>24 spans x 6 bars</x:v>
      </x:c>
      <x:c r="K768" s="2"/>
      <x:c r="L768" s="2"/>
      <x:c r="M768" s="2"/>
      <x:c r="N768" s="2"/>
      <x:c r="O768" s="2"/>
      <x:c r="P768" s="2"/>
      <x:c r="Q768" s="2"/>
    </x:row>
    <x:row r="769" ht="22" customHeight="1">
      <x:c r="A769" s="2" t="str">
        <x:v>T5-L06-BT</x:v>
      </x:c>
      <x:c r="B769" s="2" t="str">
        <x:v>T5</x:v>
      </x:c>
      <x:c r="C769" s="2" t="str">
        <x:v>L06</x:v>
      </x:c>
      <x:c r="D769" s="2" t="str">
        <x:v>Beam closed links</x:v>
      </x:c>
      <x:c r="E769" s="21" t="n">
        <x:v>10</x:v>
      </x:c>
      <x:c r="F769" s="21" t="n">
        <x:v>1421</x:v>
      </x:c>
      <x:c r="G769" s="21" t="n">
        <x:v>1.7</x:v>
      </x:c>
      <x:c r="H769" s="21" t="n">
        <x:f>E769^2*'Controls'!$B$52</x:f>
        <x:v>0.6165</x:v>
      </x:c>
      <x:c r="I769" s="21" t="n">
        <x:f>F769*G769*H769</x:f>
        <x:v>1489.27905</x:v>
      </x:c>
      <x:c r="J769" s="2" t="str">
        <x:v>49 beams x 29 links, 200 mm nominal</x:v>
      </x:c>
      <x:c r="K769" s="2"/>
      <x:c r="L769" s="2"/>
      <x:c r="M769" s="2"/>
      <x:c r="N769" s="2"/>
      <x:c r="O769" s="2"/>
      <x:c r="P769" s="2"/>
      <x:c r="Q769" s="2"/>
    </x:row>
    <x:row r="770" ht="22" customHeight="1">
      <x:c r="A770" s="7" t="str">
        <x:v>T5-L06-CL</x:v>
      </x:c>
      <x:c r="B770" s="7" t="str">
        <x:v>T5</x:v>
      </x:c>
      <x:c r="C770" s="7" t="str">
        <x:v>L06</x:v>
      </x:c>
      <x:c r="D770" s="7" t="str">
        <x:v>Column longitudinal</x:v>
      </x:c>
      <x:c r="E770" s="20" t="n">
        <x:v>25</x:v>
      </x:c>
      <x:c r="F770" s="20" t="n">
        <x:v>360</x:v>
      </x:c>
      <x:c r="G770" s="20" t="n">
        <x:v>3.9</x:v>
      </x:c>
      <x:c r="H770" s="20" t="n">
        <x:f>E770^2*'Controls'!$B$52</x:f>
        <x:v>3.8531250000000004</x:v>
      </x:c>
      <x:c r="I770" s="20" t="n">
        <x:f>F770*G770*H770</x:f>
        <x:v>5409.7875</x:v>
      </x:c>
      <x:c r="J770" s="7" t="str">
        <x:v>30 columns x 12 bars incl. lap</x:v>
      </x:c>
      <x:c r="K770" s="2"/>
      <x:c r="L770" s="2"/>
      <x:c r="M770" s="2"/>
      <x:c r="N770" s="2"/>
      <x:c r="O770" s="2"/>
      <x:c r="P770" s="2"/>
      <x:c r="Q770" s="2"/>
    </x:row>
    <x:row r="771" ht="22" customHeight="1">
      <x:c r="A771" s="2" t="str">
        <x:v>T5-L06-CT</x:v>
      </x:c>
      <x:c r="B771" s="2" t="str">
        <x:v>T5</x:v>
      </x:c>
      <x:c r="C771" s="2" t="str">
        <x:v>L06</x:v>
      </x:c>
      <x:c r="D771" s="2" t="str">
        <x:v>Column ties</x:v>
      </x:c>
      <x:c r="E771" s="21" t="n">
        <x:v>10</x:v>
      </x:c>
      <x:c r="F771" s="21" t="n">
        <x:v>510</x:v>
      </x:c>
      <x:c r="G771" s="21" t="n">
        <x:v>1.96</x:v>
      </x:c>
      <x:c r="H771" s="21" t="n">
        <x:f>E771^2*'Controls'!$B$52</x:f>
        <x:v>0.6165</x:v>
      </x:c>
      <x:c r="I771" s="21" t="n">
        <x:f>F771*G771*H771</x:f>
        <x:v>616.2534</x:v>
      </x:c>
      <x:c r="J771" s="2" t="str">
        <x:v>30 columns x 17 ties, cover and hooks included</x:v>
      </x:c>
      <x:c r="K771" s="2"/>
      <x:c r="L771" s="2"/>
      <x:c r="M771" s="2"/>
      <x:c r="N771" s="2"/>
      <x:c r="O771" s="2"/>
      <x:c r="P771" s="2"/>
      <x:c r="Q771" s="2"/>
    </x:row>
    <x:row r="772" ht="22" customHeight="1">
      <x:c r="A772" s="7" t="str">
        <x:v>T5-L06-CV</x:v>
      </x:c>
      <x:c r="B772" s="7" t="str">
        <x:v>T5</x:v>
      </x:c>
      <x:c r="C772" s="7" t="str">
        <x:v>L06</x:v>
      </x:c>
      <x:c r="D772" s="7" t="str">
        <x:v>Core vertical bars</x:v>
      </x:c>
      <x:c r="E772" s="20" t="n">
        <x:v>16</x:v>
      </x:c>
      <x:c r="F772" s="20" t="n">
        <x:v>244</x:v>
      </x:c>
      <x:c r="G772" s="20" t="n">
        <x:v>3.9</x:v>
      </x:c>
      <x:c r="H772" s="20" t="n">
        <x:f>E772^2*'Controls'!$B$52</x:f>
        <x:v>1.57824</x:v>
      </x:c>
      <x:c r="I772" s="20" t="n">
        <x:f>F772*G772*H772</x:f>
        <x:v>1501.853184</x:v>
      </x:c>
      <x:c r="J772" s="7" t="str">
        <x:v>Two faces, 200 mm nominal along 24 m net length</x:v>
      </x:c>
      <x:c r="K772" s="2"/>
      <x:c r="L772" s="2"/>
      <x:c r="M772" s="2"/>
      <x:c r="N772" s="2"/>
      <x:c r="O772" s="2"/>
      <x:c r="P772" s="2"/>
      <x:c r="Q772" s="2"/>
    </x:row>
    <x:row r="773" ht="22" customHeight="1">
      <x:c r="A773" s="2" t="str">
        <x:v>T5-L06-CH</x:v>
      </x:c>
      <x:c r="B773" s="2" t="str">
        <x:v>T5</x:v>
      </x:c>
      <x:c r="C773" s="2" t="str">
        <x:v>L06</x:v>
      </x:c>
      <x:c r="D773" s="2" t="str">
        <x:v>Core horizontal bars</x:v>
      </x:c>
      <x:c r="E773" s="21" t="n">
        <x:v>12</x:v>
      </x:c>
      <x:c r="F773" s="21" t="n">
        <x:v>32</x:v>
      </x:c>
      <x:c r="G773" s="21" t="n">
        <x:v>25</x:v>
      </x:c>
      <x:c r="H773" s="21" t="n">
        <x:f>E773^2*'Controls'!$B$52</x:f>
        <x:v>0.8877600000000001</x:v>
      </x:c>
      <x:c r="I773" s="21" t="n">
        <x:f>F773*G773*H773</x:f>
        <x:v>710.2080000000001</x:v>
      </x:c>
      <x:c r="J773" s="2" t="str">
        <x:v>Two faces x 16 layers incl. lap</x:v>
      </x:c>
      <x:c r="K773" s="2"/>
      <x:c r="L773" s="2"/>
      <x:c r="M773" s="2"/>
      <x:c r="N773" s="2"/>
      <x:c r="O773" s="2"/>
      <x:c r="P773" s="2"/>
      <x:c r="Q773" s="2"/>
    </x:row>
    <x:row r="774" ht="22" customHeight="1">
      <x:c r="A774" s="7" t="str">
        <x:v>T5-L06-ST</x:v>
      </x:c>
      <x:c r="B774" s="7" t="str">
        <x:v>T5</x:v>
      </x:c>
      <x:c r="C774" s="7" t="str">
        <x:v>L06</x:v>
      </x:c>
      <x:c r="D774" s="7" t="str">
        <x:v>Stair flights and landings</x:v>
      </x:c>
      <x:c r="E774" s="20" t="n">
        <x:v>12</x:v>
      </x:c>
      <x:c r="F774" s="20" t="n">
        <x:v>80</x:v>
      </x:c>
      <x:c r="G774" s="20" t="n">
        <x:v>4.8</x:v>
      </x:c>
      <x:c r="H774" s="20" t="n">
        <x:f>E774^2*'Controls'!$B$52</x:f>
        <x:v>0.8877600000000001</x:v>
      </x:c>
      <x:c r="I774" s="20" t="n">
        <x:f>F774*G774*H774</x:f>
        <x:v>340.89984000000004</x:v>
      </x:c>
      <x:c r="J774" s="7" t="str">
        <x:v>Separate stair reinforcement allowance</x:v>
      </x:c>
      <x:c r="K774" s="2"/>
      <x:c r="L774" s="2"/>
      <x:c r="M774" s="2"/>
      <x:c r="N774" s="2"/>
      <x:c r="O774" s="2"/>
      <x:c r="P774" s="2"/>
      <x:c r="Q774" s="2"/>
    </x:row>
    <x:row r="775" ht="22" customHeight="1">
      <x:c r="A775" s="2" t="str">
        <x:v>T5-L07-S1</x:v>
      </x:c>
      <x:c r="B775" s="2" t="str">
        <x:v>T5</x:v>
      </x:c>
      <x:c r="C775" s="2" t="str">
        <x:v>L07</x:v>
      </x:c>
      <x:c r="D775" s="2" t="str">
        <x:v>Slab X through strips</x:v>
      </x:c>
      <x:c r="E775" s="21" t="n">
        <x:v>12</x:v>
      </x:c>
      <x:c r="F775" s="21" t="n">
        <x:v>182</x:v>
      </x:c>
      <x:c r="G775" s="21" t="n">
        <x:v>29.95</x:v>
      </x:c>
      <x:c r="H775" s="21" t="n">
        <x:f>E775^2*'Controls'!$B$52</x:f>
        <x:v>0.8877600000000001</x:v>
      </x:c>
      <x:c r="I775" s="21" t="n">
        <x:f>F775*G775*H775</x:f>
        <x:v>4839.090984</x:v>
      </x:c>
      <x:c r="J775" s="2" t="str">
        <x:v>2 layers x 91 bars outside central opening band</x:v>
      </x:c>
      <x:c r="K775" s="2"/>
      <x:c r="L775" s="2"/>
      <x:c r="M775" s="2"/>
      <x:c r="N775" s="2"/>
      <x:c r="O775" s="2"/>
      <x:c r="P775" s="2"/>
      <x:c r="Q775" s="2"/>
    </x:row>
    <x:row r="776" ht="22" customHeight="1">
      <x:c r="A776" s="7" t="str">
        <x:v>T5-L07-S2</x:v>
      </x:c>
      <x:c r="B776" s="7" t="str">
        <x:v>T5</x:v>
      </x:c>
      <x:c r="C776" s="7" t="str">
        <x:v>L07</x:v>
      </x:c>
      <x:c r="D776" s="7" t="str">
        <x:v>Slab X split at core</x:v>
      </x:c>
      <x:c r="E776" s="20" t="n">
        <x:v>12</x:v>
      </x:c>
      <x:c r="F776" s="20" t="n">
        <x:v>60</x:v>
      </x:c>
      <x:c r="G776" s="20" t="n">
        <x:v>25.95</x:v>
      </x:c>
      <x:c r="H776" s="20" t="n">
        <x:f>E776^2*'Controls'!$B$52</x:f>
        <x:v>0.8877600000000001</x:v>
      </x:c>
      <x:c r="I776" s="20" t="n">
        <x:f>F776*G776*H776</x:f>
        <x:v>1382.24232</x:v>
      </x:c>
      <x:c r="J776" s="7" t="str">
        <x:v>2 layers x 30 bars, split lengths combined around 4 m opening</x:v>
      </x:c>
      <x:c r="K776" s="2"/>
      <x:c r="L776" s="2"/>
      <x:c r="M776" s="2"/>
      <x:c r="N776" s="2"/>
      <x:c r="O776" s="2"/>
      <x:c r="P776" s="2"/>
      <x:c r="Q776" s="2"/>
    </x:row>
    <x:row r="777" ht="22" customHeight="1">
      <x:c r="A777" s="2" t="str">
        <x:v>T5-L07-S3</x:v>
      </x:c>
      <x:c r="B777" s="2" t="str">
        <x:v>T5</x:v>
      </x:c>
      <x:c r="C777" s="2" t="str">
        <x:v>L07</x:v>
      </x:c>
      <x:c r="D777" s="2" t="str">
        <x:v>Slab Y through strips</x:v>
      </x:c>
      <x:c r="E777" s="21" t="n">
        <x:v>12</x:v>
      </x:c>
      <x:c r="F777" s="21" t="n">
        <x:v>262</x:v>
      </x:c>
      <x:c r="G777" s="21" t="n">
        <x:v>23.95</x:v>
      </x:c>
      <x:c r="H777" s="21" t="n">
        <x:f>E777^2*'Controls'!$B$52</x:f>
        <x:v>0.8877600000000001</x:v>
      </x:c>
      <x:c r="I777" s="21" t="n">
        <x:f>F777*G777*H777</x:f>
        <x:v>5570.605224</x:v>
      </x:c>
      <x:c r="J777" s="2" t="str">
        <x:v>2 layers x 131 bars outside central opening band</x:v>
      </x:c>
      <x:c r="K777" s="2"/>
      <x:c r="L777" s="2"/>
      <x:c r="M777" s="2"/>
      <x:c r="N777" s="2"/>
      <x:c r="O777" s="2"/>
      <x:c r="P777" s="2"/>
      <x:c r="Q777" s="2"/>
    </x:row>
    <x:row r="778" ht="22" customHeight="1">
      <x:c r="A778" s="7" t="str">
        <x:v>T5-L07-S4</x:v>
      </x:c>
      <x:c r="B778" s="7" t="str">
        <x:v>T5</x:v>
      </x:c>
      <x:c r="C778" s="7" t="str">
        <x:v>L07</x:v>
      </x:c>
      <x:c r="D778" s="7" t="str">
        <x:v>Slab Y split at core</x:v>
      </x:c>
      <x:c r="E778" s="20" t="n">
        <x:v>12</x:v>
      </x:c>
      <x:c r="F778" s="20" t="n">
        <x:v>40</x:v>
      </x:c>
      <x:c r="G778" s="20" t="n">
        <x:v>17.95</x:v>
      </x:c>
      <x:c r="H778" s="20" t="n">
        <x:f>E778^2*'Controls'!$B$52</x:f>
        <x:v>0.8877600000000001</x:v>
      </x:c>
      <x:c r="I778" s="20" t="n">
        <x:f>F778*G778*H778</x:f>
        <x:v>637.41168</x:v>
      </x:c>
      <x:c r="J778" s="7" t="str">
        <x:v>2 layers x 20 bars, split around 6 m opening</x:v>
      </x:c>
      <x:c r="K778" s="2"/>
      <x:c r="L778" s="2"/>
      <x:c r="M778" s="2"/>
      <x:c r="N778" s="2"/>
      <x:c r="O778" s="2"/>
      <x:c r="P778" s="2"/>
      <x:c r="Q778" s="2"/>
    </x:row>
    <x:row r="779" ht="22" customHeight="1">
      <x:c r="A779" s="2" t="str">
        <x:v>T5-L07-S5</x:v>
      </x:c>
      <x:c r="B779" s="2" t="str">
        <x:v>T5</x:v>
      </x:c>
      <x:c r="C779" s="2" t="str">
        <x:v>L07</x:v>
      </x:c>
      <x:c r="D779" s="2" t="str">
        <x:v>Opening trim bars</x:v>
      </x:c>
      <x:c r="E779" s="21" t="n">
        <x:v>16</x:v>
      </x:c>
      <x:c r="F779" s="21" t="n">
        <x:v>16</x:v>
      </x:c>
      <x:c r="G779" s="21" t="n">
        <x:v>7.2</x:v>
      </x:c>
      <x:c r="H779" s="21" t="n">
        <x:f>E779^2*'Controls'!$B$52</x:f>
        <x:v>1.57824</x:v>
      </x:c>
      <x:c r="I779" s="21" t="n">
        <x:f>F779*G779*H779</x:f>
        <x:v>181.81324800000002</x:v>
      </x:c>
      <x:c r="J779" s="2" t="str">
        <x:v>Trim allowance, explicit scheduled lengths</x:v>
      </x:c>
      <x:c r="K779" s="2"/>
      <x:c r="L779" s="2"/>
      <x:c r="M779" s="2"/>
      <x:c r="N779" s="2"/>
      <x:c r="O779" s="2"/>
      <x:c r="P779" s="2"/>
      <x:c r="Q779" s="2"/>
    </x:row>
    <x:row r="780" ht="22" customHeight="1">
      <x:c r="A780" s="7" t="str">
        <x:v>T5-L07-BX</x:v>
      </x:c>
      <x:c r="B780" s="7" t="str">
        <x:v>T5</x:v>
      </x:c>
      <x:c r="C780" s="7" t="str">
        <x:v>L07</x:v>
      </x:c>
      <x:c r="D780" s="7" t="str">
        <x:v>X beam longitudinal</x:v>
      </x:c>
      <x:c r="E780" s="20" t="n">
        <x:v>20</x:v>
      </x:c>
      <x:c r="F780" s="20" t="n">
        <x:v>150</x:v>
      </x:c>
      <x:c r="G780" s="20" t="n">
        <x:v>6.5</x:v>
      </x:c>
      <x:c r="H780" s="20" t="n">
        <x:f>E780^2*'Controls'!$B$52</x:f>
        <x:v>2.466</x:v>
      </x:c>
      <x:c r="I780" s="20" t="n">
        <x:f>F780*G780*H780</x:f>
        <x:v>2404.3500000000004</x:v>
      </x:c>
      <x:c r="J780" s="7" t="str">
        <x:v>25 spans x 6 bars incl. 1 m lap/anchorage provision</x:v>
      </x:c>
      <x:c r="K780" s="2"/>
      <x:c r="L780" s="2"/>
      <x:c r="M780" s="2"/>
      <x:c r="N780" s="2"/>
      <x:c r="O780" s="2"/>
      <x:c r="P780" s="2"/>
      <x:c r="Q780" s="2"/>
    </x:row>
    <x:row r="781" ht="22" customHeight="1">
      <x:c r="A781" s="2" t="str">
        <x:v>T5-L07-BY</x:v>
      </x:c>
      <x:c r="B781" s="2" t="str">
        <x:v>T5</x:v>
      </x:c>
      <x:c r="C781" s="2" t="str">
        <x:v>L07</x:v>
      </x:c>
      <x:c r="D781" s="2" t="str">
        <x:v>Y beam longitudinal</x:v>
      </x:c>
      <x:c r="E781" s="21" t="n">
        <x:v>20</x:v>
      </x:c>
      <x:c r="F781" s="21" t="n">
        <x:v>144</x:v>
      </x:c>
      <x:c r="G781" s="21" t="n">
        <x:v>6.5</x:v>
      </x:c>
      <x:c r="H781" s="21" t="n">
        <x:f>E781^2*'Controls'!$B$52</x:f>
        <x:v>2.466</x:v>
      </x:c>
      <x:c r="I781" s="21" t="n">
        <x:f>F781*G781*H781</x:f>
        <x:v>2308.1760000000004</x:v>
      </x:c>
      <x:c r="J781" s="2" t="str">
        <x:v>24 spans x 6 bars</x:v>
      </x:c>
      <x:c r="K781" s="2"/>
      <x:c r="L781" s="2"/>
      <x:c r="M781" s="2"/>
      <x:c r="N781" s="2"/>
      <x:c r="O781" s="2"/>
      <x:c r="P781" s="2"/>
      <x:c r="Q781" s="2"/>
    </x:row>
    <x:row r="782" ht="22" customHeight="1">
      <x:c r="A782" s="7" t="str">
        <x:v>T5-L07-BT</x:v>
      </x:c>
      <x:c r="B782" s="7" t="str">
        <x:v>T5</x:v>
      </x:c>
      <x:c r="C782" s="7" t="str">
        <x:v>L07</x:v>
      </x:c>
      <x:c r="D782" s="7" t="str">
        <x:v>Beam closed links</x:v>
      </x:c>
      <x:c r="E782" s="20" t="n">
        <x:v>10</x:v>
      </x:c>
      <x:c r="F782" s="20" t="n">
        <x:v>1421</x:v>
      </x:c>
      <x:c r="G782" s="20" t="n">
        <x:v>1.7</x:v>
      </x:c>
      <x:c r="H782" s="20" t="n">
        <x:f>E782^2*'Controls'!$B$52</x:f>
        <x:v>0.6165</x:v>
      </x:c>
      <x:c r="I782" s="20" t="n">
        <x:f>F782*G782*H782</x:f>
        <x:v>1489.27905</x:v>
      </x:c>
      <x:c r="J782" s="7" t="str">
        <x:v>49 beams x 29 links, 200 mm nominal</x:v>
      </x:c>
      <x:c r="K782" s="2"/>
      <x:c r="L782" s="2"/>
      <x:c r="M782" s="2"/>
      <x:c r="N782" s="2"/>
      <x:c r="O782" s="2"/>
      <x:c r="P782" s="2"/>
      <x:c r="Q782" s="2"/>
    </x:row>
    <x:row r="783" ht="22" customHeight="1">
      <x:c r="A783" s="2" t="str">
        <x:v>T5-L07-CL</x:v>
      </x:c>
      <x:c r="B783" s="2" t="str">
        <x:v>T5</x:v>
      </x:c>
      <x:c r="C783" s="2" t="str">
        <x:v>L07</x:v>
      </x:c>
      <x:c r="D783" s="2" t="str">
        <x:v>Column longitudinal</x:v>
      </x:c>
      <x:c r="E783" s="21" t="n">
        <x:v>25</x:v>
      </x:c>
      <x:c r="F783" s="21" t="n">
        <x:v>360</x:v>
      </x:c>
      <x:c r="G783" s="21" t="n">
        <x:v>3.9</x:v>
      </x:c>
      <x:c r="H783" s="21" t="n">
        <x:f>E783^2*'Controls'!$B$52</x:f>
        <x:v>3.8531250000000004</x:v>
      </x:c>
      <x:c r="I783" s="21" t="n">
        <x:f>F783*G783*H783</x:f>
        <x:v>5409.7875</x:v>
      </x:c>
      <x:c r="J783" s="2" t="str">
        <x:v>30 columns x 12 bars incl. lap</x:v>
      </x:c>
      <x:c r="K783" s="2"/>
      <x:c r="L783" s="2"/>
      <x:c r="M783" s="2"/>
      <x:c r="N783" s="2"/>
      <x:c r="O783" s="2"/>
      <x:c r="P783" s="2"/>
      <x:c r="Q783" s="2"/>
    </x:row>
    <x:row r="784" ht="22" customHeight="1">
      <x:c r="A784" s="7" t="str">
        <x:v>T5-L07-CT</x:v>
      </x:c>
      <x:c r="B784" s="7" t="str">
        <x:v>T5</x:v>
      </x:c>
      <x:c r="C784" s="7" t="str">
        <x:v>L07</x:v>
      </x:c>
      <x:c r="D784" s="7" t="str">
        <x:v>Column ties</x:v>
      </x:c>
      <x:c r="E784" s="20" t="n">
        <x:v>10</x:v>
      </x:c>
      <x:c r="F784" s="20" t="n">
        <x:v>510</x:v>
      </x:c>
      <x:c r="G784" s="20" t="n">
        <x:v>1.96</x:v>
      </x:c>
      <x:c r="H784" s="20" t="n">
        <x:f>E784^2*'Controls'!$B$52</x:f>
        <x:v>0.6165</x:v>
      </x:c>
      <x:c r="I784" s="20" t="n">
        <x:f>F784*G784*H784</x:f>
        <x:v>616.2534</x:v>
      </x:c>
      <x:c r="J784" s="7" t="str">
        <x:v>30 columns x 17 ties, cover and hooks included</x:v>
      </x:c>
      <x:c r="K784" s="2"/>
      <x:c r="L784" s="2"/>
      <x:c r="M784" s="2"/>
      <x:c r="N784" s="2"/>
      <x:c r="O784" s="2"/>
      <x:c r="P784" s="2"/>
      <x:c r="Q784" s="2"/>
    </x:row>
    <x:row r="785" ht="22" customHeight="1">
      <x:c r="A785" s="2" t="str">
        <x:v>T5-L07-CV</x:v>
      </x:c>
      <x:c r="B785" s="2" t="str">
        <x:v>T5</x:v>
      </x:c>
      <x:c r="C785" s="2" t="str">
        <x:v>L07</x:v>
      </x:c>
      <x:c r="D785" s="2" t="str">
        <x:v>Core vertical bars</x:v>
      </x:c>
      <x:c r="E785" s="21" t="n">
        <x:v>16</x:v>
      </x:c>
      <x:c r="F785" s="21" t="n">
        <x:v>244</x:v>
      </x:c>
      <x:c r="G785" s="21" t="n">
        <x:v>3.9</x:v>
      </x:c>
      <x:c r="H785" s="21" t="n">
        <x:f>E785^2*'Controls'!$B$52</x:f>
        <x:v>1.57824</x:v>
      </x:c>
      <x:c r="I785" s="21" t="n">
        <x:f>F785*G785*H785</x:f>
        <x:v>1501.853184</x:v>
      </x:c>
      <x:c r="J785" s="2" t="str">
        <x:v>Two faces, 200 mm nominal along 24 m net length</x:v>
      </x:c>
      <x:c r="K785" s="2"/>
      <x:c r="L785" s="2"/>
      <x:c r="M785" s="2"/>
      <x:c r="N785" s="2"/>
      <x:c r="O785" s="2"/>
      <x:c r="P785" s="2"/>
      <x:c r="Q785" s="2"/>
    </x:row>
    <x:row r="786" ht="22" customHeight="1">
      <x:c r="A786" s="7" t="str">
        <x:v>T5-L07-CH</x:v>
      </x:c>
      <x:c r="B786" s="7" t="str">
        <x:v>T5</x:v>
      </x:c>
      <x:c r="C786" s="7" t="str">
        <x:v>L07</x:v>
      </x:c>
      <x:c r="D786" s="7" t="str">
        <x:v>Core horizontal bars</x:v>
      </x:c>
      <x:c r="E786" s="20" t="n">
        <x:v>12</x:v>
      </x:c>
      <x:c r="F786" s="20" t="n">
        <x:v>32</x:v>
      </x:c>
      <x:c r="G786" s="20" t="n">
        <x:v>25</x:v>
      </x:c>
      <x:c r="H786" s="20" t="n">
        <x:f>E786^2*'Controls'!$B$52</x:f>
        <x:v>0.8877600000000001</x:v>
      </x:c>
      <x:c r="I786" s="20" t="n">
        <x:f>F786*G786*H786</x:f>
        <x:v>710.2080000000001</x:v>
      </x:c>
      <x:c r="J786" s="7" t="str">
        <x:v>Two faces x 16 layers incl. lap</x:v>
      </x:c>
      <x:c r="K786" s="2"/>
      <x:c r="L786" s="2"/>
      <x:c r="M786" s="2"/>
      <x:c r="N786" s="2"/>
      <x:c r="O786" s="2"/>
      <x:c r="P786" s="2"/>
      <x:c r="Q786" s="2"/>
    </x:row>
    <x:row r="787" ht="22" customHeight="1">
      <x:c r="A787" s="2" t="str">
        <x:v>T5-L07-ST</x:v>
      </x:c>
      <x:c r="B787" s="2" t="str">
        <x:v>T5</x:v>
      </x:c>
      <x:c r="C787" s="2" t="str">
        <x:v>L07</x:v>
      </x:c>
      <x:c r="D787" s="2" t="str">
        <x:v>Stair flights and landings</x:v>
      </x:c>
      <x:c r="E787" s="21" t="n">
        <x:v>12</x:v>
      </x:c>
      <x:c r="F787" s="21" t="n">
        <x:v>80</x:v>
      </x:c>
      <x:c r="G787" s="21" t="n">
        <x:v>4.8</x:v>
      </x:c>
      <x:c r="H787" s="21" t="n">
        <x:f>E787^2*'Controls'!$B$52</x:f>
        <x:v>0.8877600000000001</x:v>
      </x:c>
      <x:c r="I787" s="21" t="n">
        <x:f>F787*G787*H787</x:f>
        <x:v>340.89984000000004</x:v>
      </x:c>
      <x:c r="J787" s="2" t="str">
        <x:v>Separate stair reinforcement allowance</x:v>
      </x:c>
      <x:c r="K787" s="2"/>
      <x:c r="L787" s="2"/>
      <x:c r="M787" s="2"/>
      <x:c r="N787" s="2"/>
      <x:c r="O787" s="2"/>
      <x:c r="P787" s="2"/>
      <x:c r="Q787" s="2"/>
    </x:row>
    <x:row r="788" ht="22" customHeight="1">
      <x:c r="A788" s="7" t="str">
        <x:v>T5-L08-S1</x:v>
      </x:c>
      <x:c r="B788" s="7" t="str">
        <x:v>T5</x:v>
      </x:c>
      <x:c r="C788" s="7" t="str">
        <x:v>L08</x:v>
      </x:c>
      <x:c r="D788" s="7" t="str">
        <x:v>Slab X through strips</x:v>
      </x:c>
      <x:c r="E788" s="20" t="n">
        <x:v>12</x:v>
      </x:c>
      <x:c r="F788" s="20" t="n">
        <x:v>182</x:v>
      </x:c>
      <x:c r="G788" s="20" t="n">
        <x:v>29.95</x:v>
      </x:c>
      <x:c r="H788" s="20" t="n">
        <x:f>E788^2*'Controls'!$B$52</x:f>
        <x:v>0.8877600000000001</x:v>
      </x:c>
      <x:c r="I788" s="20" t="n">
        <x:f>F788*G788*H788</x:f>
        <x:v>4839.090984</x:v>
      </x:c>
      <x:c r="J788" s="7" t="str">
        <x:v>2 layers x 91 bars outside central opening band</x:v>
      </x:c>
      <x:c r="K788" s="2"/>
      <x:c r="L788" s="2"/>
      <x:c r="M788" s="2"/>
      <x:c r="N788" s="2"/>
      <x:c r="O788" s="2"/>
      <x:c r="P788" s="2"/>
      <x:c r="Q788" s="2"/>
    </x:row>
    <x:row r="789" ht="22" customHeight="1">
      <x:c r="A789" s="2" t="str">
        <x:v>T5-L08-S2</x:v>
      </x:c>
      <x:c r="B789" s="2" t="str">
        <x:v>T5</x:v>
      </x:c>
      <x:c r="C789" s="2" t="str">
        <x:v>L08</x:v>
      </x:c>
      <x:c r="D789" s="2" t="str">
        <x:v>Slab X split at core</x:v>
      </x:c>
      <x:c r="E789" s="21" t="n">
        <x:v>12</x:v>
      </x:c>
      <x:c r="F789" s="21" t="n">
        <x:v>60</x:v>
      </x:c>
      <x:c r="G789" s="21" t="n">
        <x:v>25.95</x:v>
      </x:c>
      <x:c r="H789" s="21" t="n">
        <x:f>E789^2*'Controls'!$B$52</x:f>
        <x:v>0.8877600000000001</x:v>
      </x:c>
      <x:c r="I789" s="21" t="n">
        <x:f>F789*G789*H789</x:f>
        <x:v>1382.24232</x:v>
      </x:c>
      <x:c r="J789" s="2" t="str">
        <x:v>2 layers x 30 bars, split lengths combined around 4 m opening</x:v>
      </x:c>
      <x:c r="K789" s="2"/>
      <x:c r="L789" s="2"/>
      <x:c r="M789" s="2"/>
      <x:c r="N789" s="2"/>
      <x:c r="O789" s="2"/>
      <x:c r="P789" s="2"/>
      <x:c r="Q789" s="2"/>
    </x:row>
    <x:row r="790" ht="22" customHeight="1">
      <x:c r="A790" s="7" t="str">
        <x:v>T5-L08-S3</x:v>
      </x:c>
      <x:c r="B790" s="7" t="str">
        <x:v>T5</x:v>
      </x:c>
      <x:c r="C790" s="7" t="str">
        <x:v>L08</x:v>
      </x:c>
      <x:c r="D790" s="7" t="str">
        <x:v>Slab Y through strips</x:v>
      </x:c>
      <x:c r="E790" s="20" t="n">
        <x:v>12</x:v>
      </x:c>
      <x:c r="F790" s="20" t="n">
        <x:v>262</x:v>
      </x:c>
      <x:c r="G790" s="20" t="n">
        <x:v>23.95</x:v>
      </x:c>
      <x:c r="H790" s="20" t="n">
        <x:f>E790^2*'Controls'!$B$52</x:f>
        <x:v>0.8877600000000001</x:v>
      </x:c>
      <x:c r="I790" s="20" t="n">
        <x:f>F790*G790*H790</x:f>
        <x:v>5570.605224</x:v>
      </x:c>
      <x:c r="J790" s="7" t="str">
        <x:v>2 layers x 131 bars outside central opening band</x:v>
      </x:c>
      <x:c r="K790" s="2"/>
      <x:c r="L790" s="2"/>
      <x:c r="M790" s="2"/>
      <x:c r="N790" s="2"/>
      <x:c r="O790" s="2"/>
      <x:c r="P790" s="2"/>
      <x:c r="Q790" s="2"/>
    </x:row>
    <x:row r="791" ht="22" customHeight="1">
      <x:c r="A791" s="2" t="str">
        <x:v>T5-L08-S4</x:v>
      </x:c>
      <x:c r="B791" s="2" t="str">
        <x:v>T5</x:v>
      </x:c>
      <x:c r="C791" s="2" t="str">
        <x:v>L08</x:v>
      </x:c>
      <x:c r="D791" s="2" t="str">
        <x:v>Slab Y split at core</x:v>
      </x:c>
      <x:c r="E791" s="21" t="n">
        <x:v>12</x:v>
      </x:c>
      <x:c r="F791" s="21" t="n">
        <x:v>40</x:v>
      </x:c>
      <x:c r="G791" s="21" t="n">
        <x:v>17.95</x:v>
      </x:c>
      <x:c r="H791" s="21" t="n">
        <x:f>E791^2*'Controls'!$B$52</x:f>
        <x:v>0.8877600000000001</x:v>
      </x:c>
      <x:c r="I791" s="21" t="n">
        <x:f>F791*G791*H791</x:f>
        <x:v>637.41168</x:v>
      </x:c>
      <x:c r="J791" s="2" t="str">
        <x:v>2 layers x 20 bars, split around 6 m opening</x:v>
      </x:c>
      <x:c r="K791" s="2"/>
      <x:c r="L791" s="2"/>
      <x:c r="M791" s="2"/>
      <x:c r="N791" s="2"/>
      <x:c r="O791" s="2"/>
      <x:c r="P791" s="2"/>
      <x:c r="Q791" s="2"/>
    </x:row>
    <x:row r="792" ht="22" customHeight="1">
      <x:c r="A792" s="7" t="str">
        <x:v>T5-L08-S5</x:v>
      </x:c>
      <x:c r="B792" s="7" t="str">
        <x:v>T5</x:v>
      </x:c>
      <x:c r="C792" s="7" t="str">
        <x:v>L08</x:v>
      </x:c>
      <x:c r="D792" s="7" t="str">
        <x:v>Opening trim bars</x:v>
      </x:c>
      <x:c r="E792" s="20" t="n">
        <x:v>16</x:v>
      </x:c>
      <x:c r="F792" s="20" t="n">
        <x:v>16</x:v>
      </x:c>
      <x:c r="G792" s="20" t="n">
        <x:v>7.2</x:v>
      </x:c>
      <x:c r="H792" s="20" t="n">
        <x:f>E792^2*'Controls'!$B$52</x:f>
        <x:v>1.57824</x:v>
      </x:c>
      <x:c r="I792" s="20" t="n">
        <x:f>F792*G792*H792</x:f>
        <x:v>181.81324800000002</x:v>
      </x:c>
      <x:c r="J792" s="7" t="str">
        <x:v>Trim allowance, explicit scheduled lengths</x:v>
      </x:c>
      <x:c r="K792" s="2"/>
      <x:c r="L792" s="2"/>
      <x:c r="M792" s="2"/>
      <x:c r="N792" s="2"/>
      <x:c r="O792" s="2"/>
      <x:c r="P792" s="2"/>
      <x:c r="Q792" s="2"/>
    </x:row>
    <x:row r="793" ht="22" customHeight="1">
      <x:c r="A793" s="2" t="str">
        <x:v>T5-L08-BX</x:v>
      </x:c>
      <x:c r="B793" s="2" t="str">
        <x:v>T5</x:v>
      </x:c>
      <x:c r="C793" s="2" t="str">
        <x:v>L08</x:v>
      </x:c>
      <x:c r="D793" s="2" t="str">
        <x:v>X beam longitudinal</x:v>
      </x:c>
      <x:c r="E793" s="21" t="n">
        <x:v>20</x:v>
      </x:c>
      <x:c r="F793" s="21" t="n">
        <x:v>150</x:v>
      </x:c>
      <x:c r="G793" s="21" t="n">
        <x:v>6.5</x:v>
      </x:c>
      <x:c r="H793" s="21" t="n">
        <x:f>E793^2*'Controls'!$B$52</x:f>
        <x:v>2.466</x:v>
      </x:c>
      <x:c r="I793" s="21" t="n">
        <x:f>F793*G793*H793</x:f>
        <x:v>2404.3500000000004</x:v>
      </x:c>
      <x:c r="J793" s="2" t="str">
        <x:v>25 spans x 6 bars incl. 1 m lap/anchorage provision</x:v>
      </x:c>
      <x:c r="K793" s="2"/>
      <x:c r="L793" s="2"/>
      <x:c r="M793" s="2"/>
      <x:c r="N793" s="2"/>
      <x:c r="O793" s="2"/>
      <x:c r="P793" s="2"/>
      <x:c r="Q793" s="2"/>
    </x:row>
    <x:row r="794" ht="22" customHeight="1">
      <x:c r="A794" s="7" t="str">
        <x:v>T5-L08-BY</x:v>
      </x:c>
      <x:c r="B794" s="7" t="str">
        <x:v>T5</x:v>
      </x:c>
      <x:c r="C794" s="7" t="str">
        <x:v>L08</x:v>
      </x:c>
      <x:c r="D794" s="7" t="str">
        <x:v>Y beam longitudinal</x:v>
      </x:c>
      <x:c r="E794" s="20" t="n">
        <x:v>20</x:v>
      </x:c>
      <x:c r="F794" s="20" t="n">
        <x:v>144</x:v>
      </x:c>
      <x:c r="G794" s="20" t="n">
        <x:v>6.5</x:v>
      </x:c>
      <x:c r="H794" s="20" t="n">
        <x:f>E794^2*'Controls'!$B$52</x:f>
        <x:v>2.466</x:v>
      </x:c>
      <x:c r="I794" s="20" t="n">
        <x:f>F794*G794*H794</x:f>
        <x:v>2308.1760000000004</x:v>
      </x:c>
      <x:c r="J794" s="7" t="str">
        <x:v>24 spans x 6 bars</x:v>
      </x:c>
      <x:c r="K794" s="2"/>
      <x:c r="L794" s="2"/>
      <x:c r="M794" s="2"/>
      <x:c r="N794" s="2"/>
      <x:c r="O794" s="2"/>
      <x:c r="P794" s="2"/>
      <x:c r="Q794" s="2"/>
    </x:row>
    <x:row r="795" ht="22" customHeight="1">
      <x:c r="A795" s="2" t="str">
        <x:v>T5-L08-BT</x:v>
      </x:c>
      <x:c r="B795" s="2" t="str">
        <x:v>T5</x:v>
      </x:c>
      <x:c r="C795" s="2" t="str">
        <x:v>L08</x:v>
      </x:c>
      <x:c r="D795" s="2" t="str">
        <x:v>Beam closed links</x:v>
      </x:c>
      <x:c r="E795" s="21" t="n">
        <x:v>10</x:v>
      </x:c>
      <x:c r="F795" s="21" t="n">
        <x:v>1421</x:v>
      </x:c>
      <x:c r="G795" s="21" t="n">
        <x:v>1.7</x:v>
      </x:c>
      <x:c r="H795" s="21" t="n">
        <x:f>E795^2*'Controls'!$B$52</x:f>
        <x:v>0.6165</x:v>
      </x:c>
      <x:c r="I795" s="21" t="n">
        <x:f>F795*G795*H795</x:f>
        <x:v>1489.27905</x:v>
      </x:c>
      <x:c r="J795" s="2" t="str">
        <x:v>49 beams x 29 links, 200 mm nominal</x:v>
      </x:c>
      <x:c r="K795" s="2"/>
      <x:c r="L795" s="2"/>
      <x:c r="M795" s="2"/>
      <x:c r="N795" s="2"/>
      <x:c r="O795" s="2"/>
      <x:c r="P795" s="2"/>
      <x:c r="Q795" s="2"/>
    </x:row>
    <x:row r="796" ht="22" customHeight="1">
      <x:c r="A796" s="7" t="str">
        <x:v>T5-L08-CL</x:v>
      </x:c>
      <x:c r="B796" s="7" t="str">
        <x:v>T5</x:v>
      </x:c>
      <x:c r="C796" s="7" t="str">
        <x:v>L08</x:v>
      </x:c>
      <x:c r="D796" s="7" t="str">
        <x:v>Column longitudinal</x:v>
      </x:c>
      <x:c r="E796" s="20" t="n">
        <x:v>25</x:v>
      </x:c>
      <x:c r="F796" s="20" t="n">
        <x:v>360</x:v>
      </x:c>
      <x:c r="G796" s="20" t="n">
        <x:v>3.9</x:v>
      </x:c>
      <x:c r="H796" s="20" t="n">
        <x:f>E796^2*'Controls'!$B$52</x:f>
        <x:v>3.8531250000000004</x:v>
      </x:c>
      <x:c r="I796" s="20" t="n">
        <x:f>F796*G796*H796</x:f>
        <x:v>5409.7875</x:v>
      </x:c>
      <x:c r="J796" s="7" t="str">
        <x:v>30 columns x 12 bars incl. lap</x:v>
      </x:c>
      <x:c r="K796" s="2"/>
      <x:c r="L796" s="2"/>
      <x:c r="M796" s="2"/>
      <x:c r="N796" s="2"/>
      <x:c r="O796" s="2"/>
      <x:c r="P796" s="2"/>
      <x:c r="Q796" s="2"/>
    </x:row>
    <x:row r="797" ht="22" customHeight="1">
      <x:c r="A797" s="2" t="str">
        <x:v>T5-L08-CT</x:v>
      </x:c>
      <x:c r="B797" s="2" t="str">
        <x:v>T5</x:v>
      </x:c>
      <x:c r="C797" s="2" t="str">
        <x:v>L08</x:v>
      </x:c>
      <x:c r="D797" s="2" t="str">
        <x:v>Column ties</x:v>
      </x:c>
      <x:c r="E797" s="21" t="n">
        <x:v>10</x:v>
      </x:c>
      <x:c r="F797" s="21" t="n">
        <x:v>510</x:v>
      </x:c>
      <x:c r="G797" s="21" t="n">
        <x:v>1.96</x:v>
      </x:c>
      <x:c r="H797" s="21" t="n">
        <x:f>E797^2*'Controls'!$B$52</x:f>
        <x:v>0.6165</x:v>
      </x:c>
      <x:c r="I797" s="21" t="n">
        <x:f>F797*G797*H797</x:f>
        <x:v>616.2534</x:v>
      </x:c>
      <x:c r="J797" s="2" t="str">
        <x:v>30 columns x 17 ties, cover and hooks included</x:v>
      </x:c>
      <x:c r="K797" s="2"/>
      <x:c r="L797" s="2"/>
      <x:c r="M797" s="2"/>
      <x:c r="N797" s="2"/>
      <x:c r="O797" s="2"/>
      <x:c r="P797" s="2"/>
      <x:c r="Q797" s="2"/>
    </x:row>
    <x:row r="798" ht="22" customHeight="1">
      <x:c r="A798" s="7" t="str">
        <x:v>T5-L08-CV</x:v>
      </x:c>
      <x:c r="B798" s="7" t="str">
        <x:v>T5</x:v>
      </x:c>
      <x:c r="C798" s="7" t="str">
        <x:v>L08</x:v>
      </x:c>
      <x:c r="D798" s="7" t="str">
        <x:v>Core vertical bars</x:v>
      </x:c>
      <x:c r="E798" s="20" t="n">
        <x:v>16</x:v>
      </x:c>
      <x:c r="F798" s="20" t="n">
        <x:v>244</x:v>
      </x:c>
      <x:c r="G798" s="20" t="n">
        <x:v>3.9</x:v>
      </x:c>
      <x:c r="H798" s="20" t="n">
        <x:f>E798^2*'Controls'!$B$52</x:f>
        <x:v>1.57824</x:v>
      </x:c>
      <x:c r="I798" s="20" t="n">
        <x:f>F798*G798*H798</x:f>
        <x:v>1501.853184</x:v>
      </x:c>
      <x:c r="J798" s="7" t="str">
        <x:v>Two faces, 200 mm nominal along 24 m net length</x:v>
      </x:c>
      <x:c r="K798" s="2"/>
      <x:c r="L798" s="2"/>
      <x:c r="M798" s="2"/>
      <x:c r="N798" s="2"/>
      <x:c r="O798" s="2"/>
      <x:c r="P798" s="2"/>
      <x:c r="Q798" s="2"/>
    </x:row>
    <x:row r="799" ht="22" customHeight="1">
      <x:c r="A799" s="2" t="str">
        <x:v>T5-L08-CH</x:v>
      </x:c>
      <x:c r="B799" s="2" t="str">
        <x:v>T5</x:v>
      </x:c>
      <x:c r="C799" s="2" t="str">
        <x:v>L08</x:v>
      </x:c>
      <x:c r="D799" s="2" t="str">
        <x:v>Core horizontal bars</x:v>
      </x:c>
      <x:c r="E799" s="21" t="n">
        <x:v>12</x:v>
      </x:c>
      <x:c r="F799" s="21" t="n">
        <x:v>32</x:v>
      </x:c>
      <x:c r="G799" s="21" t="n">
        <x:v>25</x:v>
      </x:c>
      <x:c r="H799" s="21" t="n">
        <x:f>E799^2*'Controls'!$B$52</x:f>
        <x:v>0.8877600000000001</x:v>
      </x:c>
      <x:c r="I799" s="21" t="n">
        <x:f>F799*G799*H799</x:f>
        <x:v>710.2080000000001</x:v>
      </x:c>
      <x:c r="J799" s="2" t="str">
        <x:v>Two faces x 16 layers incl. lap</x:v>
      </x:c>
      <x:c r="K799" s="2"/>
      <x:c r="L799" s="2"/>
      <x:c r="M799" s="2"/>
      <x:c r="N799" s="2"/>
      <x:c r="O799" s="2"/>
      <x:c r="P799" s="2"/>
      <x:c r="Q799" s="2"/>
    </x:row>
    <x:row r="800" ht="22" customHeight="1">
      <x:c r="A800" s="7" t="str">
        <x:v>T5-L08-ST</x:v>
      </x:c>
      <x:c r="B800" s="7" t="str">
        <x:v>T5</x:v>
      </x:c>
      <x:c r="C800" s="7" t="str">
        <x:v>L08</x:v>
      </x:c>
      <x:c r="D800" s="7" t="str">
        <x:v>Stair flights and landings</x:v>
      </x:c>
      <x:c r="E800" s="20" t="n">
        <x:v>12</x:v>
      </x:c>
      <x:c r="F800" s="20" t="n">
        <x:v>80</x:v>
      </x:c>
      <x:c r="G800" s="20" t="n">
        <x:v>4.8</x:v>
      </x:c>
      <x:c r="H800" s="20" t="n">
        <x:f>E800^2*'Controls'!$B$52</x:f>
        <x:v>0.8877600000000001</x:v>
      </x:c>
      <x:c r="I800" s="20" t="n">
        <x:f>F800*G800*H800</x:f>
        <x:v>340.89984000000004</x:v>
      </x:c>
      <x:c r="J800" s="7" t="str">
        <x:v>Separate stair reinforcement allowance</x:v>
      </x:c>
      <x:c r="K800" s="2"/>
      <x:c r="L800" s="2"/>
      <x:c r="M800" s="2"/>
      <x:c r="N800" s="2"/>
      <x:c r="O800" s="2"/>
      <x:c r="P800" s="2"/>
      <x:c r="Q800" s="2"/>
    </x:row>
    <x:row r="801" ht="22" customHeight="1">
      <x:c r="A801" s="2" t="str">
        <x:v>T5-L09-S1</x:v>
      </x:c>
      <x:c r="B801" s="2" t="str">
        <x:v>T5</x:v>
      </x:c>
      <x:c r="C801" s="2" t="str">
        <x:v>L09</x:v>
      </x:c>
      <x:c r="D801" s="2" t="str">
        <x:v>Slab X through strips</x:v>
      </x:c>
      <x:c r="E801" s="21" t="n">
        <x:v>12</x:v>
      </x:c>
      <x:c r="F801" s="21" t="n">
        <x:v>182</x:v>
      </x:c>
      <x:c r="G801" s="21" t="n">
        <x:v>29.95</x:v>
      </x:c>
      <x:c r="H801" s="21" t="n">
        <x:f>E801^2*'Controls'!$B$52</x:f>
        <x:v>0.8877600000000001</x:v>
      </x:c>
      <x:c r="I801" s="21" t="n">
        <x:f>F801*G801*H801</x:f>
        <x:v>4839.090984</x:v>
      </x:c>
      <x:c r="J801" s="2" t="str">
        <x:v>2 layers x 91 bars outside central opening band</x:v>
      </x:c>
      <x:c r="K801" s="2"/>
      <x:c r="L801" s="2"/>
      <x:c r="M801" s="2"/>
      <x:c r="N801" s="2"/>
      <x:c r="O801" s="2"/>
      <x:c r="P801" s="2"/>
      <x:c r="Q801" s="2"/>
    </x:row>
    <x:row r="802" ht="22" customHeight="1">
      <x:c r="A802" s="7" t="str">
        <x:v>T5-L09-S2</x:v>
      </x:c>
      <x:c r="B802" s="7" t="str">
        <x:v>T5</x:v>
      </x:c>
      <x:c r="C802" s="7" t="str">
        <x:v>L09</x:v>
      </x:c>
      <x:c r="D802" s="7" t="str">
        <x:v>Slab X split at core</x:v>
      </x:c>
      <x:c r="E802" s="20" t="n">
        <x:v>12</x:v>
      </x:c>
      <x:c r="F802" s="20" t="n">
        <x:v>60</x:v>
      </x:c>
      <x:c r="G802" s="20" t="n">
        <x:v>25.95</x:v>
      </x:c>
      <x:c r="H802" s="20" t="n">
        <x:f>E802^2*'Controls'!$B$52</x:f>
        <x:v>0.8877600000000001</x:v>
      </x:c>
      <x:c r="I802" s="20" t="n">
        <x:f>F802*G802*H802</x:f>
        <x:v>1382.24232</x:v>
      </x:c>
      <x:c r="J802" s="7" t="str">
        <x:v>2 layers x 30 bars, split lengths combined around 4 m opening</x:v>
      </x:c>
      <x:c r="K802" s="2"/>
      <x:c r="L802" s="2"/>
      <x:c r="M802" s="2"/>
      <x:c r="N802" s="2"/>
      <x:c r="O802" s="2"/>
      <x:c r="P802" s="2"/>
      <x:c r="Q802" s="2"/>
    </x:row>
    <x:row r="803" ht="22" customHeight="1">
      <x:c r="A803" s="2" t="str">
        <x:v>T5-L09-S3</x:v>
      </x:c>
      <x:c r="B803" s="2" t="str">
        <x:v>T5</x:v>
      </x:c>
      <x:c r="C803" s="2" t="str">
        <x:v>L09</x:v>
      </x:c>
      <x:c r="D803" s="2" t="str">
        <x:v>Slab Y through strips</x:v>
      </x:c>
      <x:c r="E803" s="21" t="n">
        <x:v>12</x:v>
      </x:c>
      <x:c r="F803" s="21" t="n">
        <x:v>262</x:v>
      </x:c>
      <x:c r="G803" s="21" t="n">
        <x:v>23.95</x:v>
      </x:c>
      <x:c r="H803" s="21" t="n">
        <x:f>E803^2*'Controls'!$B$52</x:f>
        <x:v>0.8877600000000001</x:v>
      </x:c>
      <x:c r="I803" s="21" t="n">
        <x:f>F803*G803*H803</x:f>
        <x:v>5570.605224</x:v>
      </x:c>
      <x:c r="J803" s="2" t="str">
        <x:v>2 layers x 131 bars outside central opening band</x:v>
      </x:c>
      <x:c r="K803" s="2"/>
      <x:c r="L803" s="2"/>
      <x:c r="M803" s="2"/>
      <x:c r="N803" s="2"/>
      <x:c r="O803" s="2"/>
      <x:c r="P803" s="2"/>
      <x:c r="Q803" s="2"/>
    </x:row>
    <x:row r="804" ht="22" customHeight="1">
      <x:c r="A804" s="7" t="str">
        <x:v>T5-L09-S4</x:v>
      </x:c>
      <x:c r="B804" s="7" t="str">
        <x:v>T5</x:v>
      </x:c>
      <x:c r="C804" s="7" t="str">
        <x:v>L09</x:v>
      </x:c>
      <x:c r="D804" s="7" t="str">
        <x:v>Slab Y split at core</x:v>
      </x:c>
      <x:c r="E804" s="20" t="n">
        <x:v>12</x:v>
      </x:c>
      <x:c r="F804" s="20" t="n">
        <x:v>40</x:v>
      </x:c>
      <x:c r="G804" s="20" t="n">
        <x:v>17.95</x:v>
      </x:c>
      <x:c r="H804" s="20" t="n">
        <x:f>E804^2*'Controls'!$B$52</x:f>
        <x:v>0.8877600000000001</x:v>
      </x:c>
      <x:c r="I804" s="20" t="n">
        <x:f>F804*G804*H804</x:f>
        <x:v>637.41168</x:v>
      </x:c>
      <x:c r="J804" s="7" t="str">
        <x:v>2 layers x 20 bars, split around 6 m opening</x:v>
      </x:c>
      <x:c r="K804" s="2"/>
      <x:c r="L804" s="2"/>
      <x:c r="M804" s="2"/>
      <x:c r="N804" s="2"/>
      <x:c r="O804" s="2"/>
      <x:c r="P804" s="2"/>
      <x:c r="Q804" s="2"/>
    </x:row>
    <x:row r="805" ht="22" customHeight="1">
      <x:c r="A805" s="2" t="str">
        <x:v>T5-L09-S5</x:v>
      </x:c>
      <x:c r="B805" s="2" t="str">
        <x:v>T5</x:v>
      </x:c>
      <x:c r="C805" s="2" t="str">
        <x:v>L09</x:v>
      </x:c>
      <x:c r="D805" s="2" t="str">
        <x:v>Opening trim bars</x:v>
      </x:c>
      <x:c r="E805" s="21" t="n">
        <x:v>16</x:v>
      </x:c>
      <x:c r="F805" s="21" t="n">
        <x:v>16</x:v>
      </x:c>
      <x:c r="G805" s="21" t="n">
        <x:v>7.2</x:v>
      </x:c>
      <x:c r="H805" s="21" t="n">
        <x:f>E805^2*'Controls'!$B$52</x:f>
        <x:v>1.57824</x:v>
      </x:c>
      <x:c r="I805" s="21" t="n">
        <x:f>F805*G805*H805</x:f>
        <x:v>181.81324800000002</x:v>
      </x:c>
      <x:c r="J805" s="2" t="str">
        <x:v>Trim allowance, explicit scheduled lengths</x:v>
      </x:c>
      <x:c r="K805" s="2"/>
      <x:c r="L805" s="2"/>
      <x:c r="M805" s="2"/>
      <x:c r="N805" s="2"/>
      <x:c r="O805" s="2"/>
      <x:c r="P805" s="2"/>
      <x:c r="Q805" s="2"/>
    </x:row>
    <x:row r="806" ht="22" customHeight="1">
      <x:c r="A806" s="7" t="str">
        <x:v>T5-L09-BX</x:v>
      </x:c>
      <x:c r="B806" s="7" t="str">
        <x:v>T5</x:v>
      </x:c>
      <x:c r="C806" s="7" t="str">
        <x:v>L09</x:v>
      </x:c>
      <x:c r="D806" s="7" t="str">
        <x:v>X beam longitudinal</x:v>
      </x:c>
      <x:c r="E806" s="20" t="n">
        <x:v>20</x:v>
      </x:c>
      <x:c r="F806" s="20" t="n">
        <x:v>150</x:v>
      </x:c>
      <x:c r="G806" s="20" t="n">
        <x:v>6.5</x:v>
      </x:c>
      <x:c r="H806" s="20" t="n">
        <x:f>E806^2*'Controls'!$B$52</x:f>
        <x:v>2.466</x:v>
      </x:c>
      <x:c r="I806" s="20" t="n">
        <x:f>F806*G806*H806</x:f>
        <x:v>2404.3500000000004</x:v>
      </x:c>
      <x:c r="J806" s="7" t="str">
        <x:v>25 spans x 6 bars incl. 1 m lap/anchorage provision</x:v>
      </x:c>
      <x:c r="K806" s="2"/>
      <x:c r="L806" s="2"/>
      <x:c r="M806" s="2"/>
      <x:c r="N806" s="2"/>
      <x:c r="O806" s="2"/>
      <x:c r="P806" s="2"/>
      <x:c r="Q806" s="2"/>
    </x:row>
    <x:row r="807" ht="22" customHeight="1">
      <x:c r="A807" s="2" t="str">
        <x:v>T5-L09-BY</x:v>
      </x:c>
      <x:c r="B807" s="2" t="str">
        <x:v>T5</x:v>
      </x:c>
      <x:c r="C807" s="2" t="str">
        <x:v>L09</x:v>
      </x:c>
      <x:c r="D807" s="2" t="str">
        <x:v>Y beam longitudinal</x:v>
      </x:c>
      <x:c r="E807" s="21" t="n">
        <x:v>20</x:v>
      </x:c>
      <x:c r="F807" s="21" t="n">
        <x:v>144</x:v>
      </x:c>
      <x:c r="G807" s="21" t="n">
        <x:v>6.5</x:v>
      </x:c>
      <x:c r="H807" s="21" t="n">
        <x:f>E807^2*'Controls'!$B$52</x:f>
        <x:v>2.466</x:v>
      </x:c>
      <x:c r="I807" s="21" t="n">
        <x:f>F807*G807*H807</x:f>
        <x:v>2308.1760000000004</x:v>
      </x:c>
      <x:c r="J807" s="2" t="str">
        <x:v>24 spans x 6 bars</x:v>
      </x:c>
      <x:c r="K807" s="2"/>
      <x:c r="L807" s="2"/>
      <x:c r="M807" s="2"/>
      <x:c r="N807" s="2"/>
      <x:c r="O807" s="2"/>
      <x:c r="P807" s="2"/>
      <x:c r="Q807" s="2"/>
    </x:row>
    <x:row r="808" ht="22" customHeight="1">
      <x:c r="A808" s="7" t="str">
        <x:v>T5-L09-BT</x:v>
      </x:c>
      <x:c r="B808" s="7" t="str">
        <x:v>T5</x:v>
      </x:c>
      <x:c r="C808" s="7" t="str">
        <x:v>L09</x:v>
      </x:c>
      <x:c r="D808" s="7" t="str">
        <x:v>Beam closed links</x:v>
      </x:c>
      <x:c r="E808" s="20" t="n">
        <x:v>10</x:v>
      </x:c>
      <x:c r="F808" s="20" t="n">
        <x:v>1421</x:v>
      </x:c>
      <x:c r="G808" s="20" t="n">
        <x:v>1.7</x:v>
      </x:c>
      <x:c r="H808" s="20" t="n">
        <x:f>E808^2*'Controls'!$B$52</x:f>
        <x:v>0.6165</x:v>
      </x:c>
      <x:c r="I808" s="20" t="n">
        <x:f>F808*G808*H808</x:f>
        <x:v>1489.27905</x:v>
      </x:c>
      <x:c r="J808" s="7" t="str">
        <x:v>49 beams x 29 links, 200 mm nominal</x:v>
      </x:c>
      <x:c r="K808" s="2"/>
      <x:c r="L808" s="2"/>
      <x:c r="M808" s="2"/>
      <x:c r="N808" s="2"/>
      <x:c r="O808" s="2"/>
      <x:c r="P808" s="2"/>
      <x:c r="Q808" s="2"/>
    </x:row>
    <x:row r="809" ht="22" customHeight="1">
      <x:c r="A809" s="2" t="str">
        <x:v>T5-L09-CL</x:v>
      </x:c>
      <x:c r="B809" s="2" t="str">
        <x:v>T5</x:v>
      </x:c>
      <x:c r="C809" s="2" t="str">
        <x:v>L09</x:v>
      </x:c>
      <x:c r="D809" s="2" t="str">
        <x:v>Column longitudinal</x:v>
      </x:c>
      <x:c r="E809" s="21" t="n">
        <x:v>25</x:v>
      </x:c>
      <x:c r="F809" s="21" t="n">
        <x:v>360</x:v>
      </x:c>
      <x:c r="G809" s="21" t="n">
        <x:v>3.9</x:v>
      </x:c>
      <x:c r="H809" s="21" t="n">
        <x:f>E809^2*'Controls'!$B$52</x:f>
        <x:v>3.8531250000000004</x:v>
      </x:c>
      <x:c r="I809" s="21" t="n">
        <x:f>F809*G809*H809</x:f>
        <x:v>5409.7875</x:v>
      </x:c>
      <x:c r="J809" s="2" t="str">
        <x:v>30 columns x 12 bars incl. lap</x:v>
      </x:c>
      <x:c r="K809" s="2"/>
      <x:c r="L809" s="2"/>
      <x:c r="M809" s="2"/>
      <x:c r="N809" s="2"/>
      <x:c r="O809" s="2"/>
      <x:c r="P809" s="2"/>
      <x:c r="Q809" s="2"/>
    </x:row>
    <x:row r="810" ht="22" customHeight="1">
      <x:c r="A810" s="7" t="str">
        <x:v>T5-L09-CT</x:v>
      </x:c>
      <x:c r="B810" s="7" t="str">
        <x:v>T5</x:v>
      </x:c>
      <x:c r="C810" s="7" t="str">
        <x:v>L09</x:v>
      </x:c>
      <x:c r="D810" s="7" t="str">
        <x:v>Column ties</x:v>
      </x:c>
      <x:c r="E810" s="20" t="n">
        <x:v>10</x:v>
      </x:c>
      <x:c r="F810" s="20" t="n">
        <x:v>510</x:v>
      </x:c>
      <x:c r="G810" s="20" t="n">
        <x:v>1.96</x:v>
      </x:c>
      <x:c r="H810" s="20" t="n">
        <x:f>E810^2*'Controls'!$B$52</x:f>
        <x:v>0.6165</x:v>
      </x:c>
      <x:c r="I810" s="20" t="n">
        <x:f>F810*G810*H810</x:f>
        <x:v>616.2534</x:v>
      </x:c>
      <x:c r="J810" s="7" t="str">
        <x:v>30 columns x 17 ties, cover and hooks included</x:v>
      </x:c>
      <x:c r="K810" s="2"/>
      <x:c r="L810" s="2"/>
      <x:c r="M810" s="2"/>
      <x:c r="N810" s="2"/>
      <x:c r="O810" s="2"/>
      <x:c r="P810" s="2"/>
      <x:c r="Q810" s="2"/>
    </x:row>
    <x:row r="811" ht="22" customHeight="1">
      <x:c r="A811" s="2" t="str">
        <x:v>T5-L09-CV</x:v>
      </x:c>
      <x:c r="B811" s="2" t="str">
        <x:v>T5</x:v>
      </x:c>
      <x:c r="C811" s="2" t="str">
        <x:v>L09</x:v>
      </x:c>
      <x:c r="D811" s="2" t="str">
        <x:v>Core vertical bars</x:v>
      </x:c>
      <x:c r="E811" s="21" t="n">
        <x:v>16</x:v>
      </x:c>
      <x:c r="F811" s="21" t="n">
        <x:v>244</x:v>
      </x:c>
      <x:c r="G811" s="21" t="n">
        <x:v>3.9</x:v>
      </x:c>
      <x:c r="H811" s="21" t="n">
        <x:f>E811^2*'Controls'!$B$52</x:f>
        <x:v>1.57824</x:v>
      </x:c>
      <x:c r="I811" s="21" t="n">
        <x:f>F811*G811*H811</x:f>
        <x:v>1501.853184</x:v>
      </x:c>
      <x:c r="J811" s="2" t="str">
        <x:v>Two faces, 200 mm nominal along 24 m net length</x:v>
      </x:c>
      <x:c r="K811" s="2"/>
      <x:c r="L811" s="2"/>
      <x:c r="M811" s="2"/>
      <x:c r="N811" s="2"/>
      <x:c r="O811" s="2"/>
      <x:c r="P811" s="2"/>
      <x:c r="Q811" s="2"/>
    </x:row>
    <x:row r="812" ht="22" customHeight="1">
      <x:c r="A812" s="7" t="str">
        <x:v>T5-L09-CH</x:v>
      </x:c>
      <x:c r="B812" s="7" t="str">
        <x:v>T5</x:v>
      </x:c>
      <x:c r="C812" s="7" t="str">
        <x:v>L09</x:v>
      </x:c>
      <x:c r="D812" s="7" t="str">
        <x:v>Core horizontal bars</x:v>
      </x:c>
      <x:c r="E812" s="20" t="n">
        <x:v>12</x:v>
      </x:c>
      <x:c r="F812" s="20" t="n">
        <x:v>32</x:v>
      </x:c>
      <x:c r="G812" s="20" t="n">
        <x:v>25</x:v>
      </x:c>
      <x:c r="H812" s="20" t="n">
        <x:f>E812^2*'Controls'!$B$52</x:f>
        <x:v>0.8877600000000001</x:v>
      </x:c>
      <x:c r="I812" s="20" t="n">
        <x:f>F812*G812*H812</x:f>
        <x:v>710.2080000000001</x:v>
      </x:c>
      <x:c r="J812" s="7" t="str">
        <x:v>Two faces x 16 layers incl. lap</x:v>
      </x:c>
      <x:c r="K812" s="2"/>
      <x:c r="L812" s="2"/>
      <x:c r="M812" s="2"/>
      <x:c r="N812" s="2"/>
      <x:c r="O812" s="2"/>
      <x:c r="P812" s="2"/>
      <x:c r="Q812" s="2"/>
    </x:row>
    <x:row r="813" ht="22" customHeight="1">
      <x:c r="A813" s="2" t="str">
        <x:v>T5-L09-ST</x:v>
      </x:c>
      <x:c r="B813" s="2" t="str">
        <x:v>T5</x:v>
      </x:c>
      <x:c r="C813" s="2" t="str">
        <x:v>L09</x:v>
      </x:c>
      <x:c r="D813" s="2" t="str">
        <x:v>Stair flights and landings</x:v>
      </x:c>
      <x:c r="E813" s="21" t="n">
        <x:v>12</x:v>
      </x:c>
      <x:c r="F813" s="21" t="n">
        <x:v>80</x:v>
      </x:c>
      <x:c r="G813" s="21" t="n">
        <x:v>4.8</x:v>
      </x:c>
      <x:c r="H813" s="21" t="n">
        <x:f>E813^2*'Controls'!$B$52</x:f>
        <x:v>0.8877600000000001</x:v>
      </x:c>
      <x:c r="I813" s="21" t="n">
        <x:f>F813*G813*H813</x:f>
        <x:v>340.89984000000004</x:v>
      </x:c>
      <x:c r="J813" s="2" t="str">
        <x:v>Separate stair reinforcement allowance</x:v>
      </x:c>
      <x:c r="K813" s="2"/>
      <x:c r="L813" s="2"/>
      <x:c r="M813" s="2"/>
      <x:c r="N813" s="2"/>
      <x:c r="O813" s="2"/>
      <x:c r="P813" s="2"/>
      <x:c r="Q813" s="2"/>
    </x:row>
    <x:row r="814" ht="22" customHeight="1">
      <x:c r="A814" s="7" t="str">
        <x:v>T5-L10-S1</x:v>
      </x:c>
      <x:c r="B814" s="7" t="str">
        <x:v>T5</x:v>
      </x:c>
      <x:c r="C814" s="7" t="str">
        <x:v>L10</x:v>
      </x:c>
      <x:c r="D814" s="7" t="str">
        <x:v>Slab X through strips</x:v>
      </x:c>
      <x:c r="E814" s="20" t="n">
        <x:v>12</x:v>
      </x:c>
      <x:c r="F814" s="20" t="n">
        <x:v>182</x:v>
      </x:c>
      <x:c r="G814" s="20" t="n">
        <x:v>29.95</x:v>
      </x:c>
      <x:c r="H814" s="20" t="n">
        <x:f>E814^2*'Controls'!$B$52</x:f>
        <x:v>0.8877600000000001</x:v>
      </x:c>
      <x:c r="I814" s="20" t="n">
        <x:f>F814*G814*H814</x:f>
        <x:v>4839.090984</x:v>
      </x:c>
      <x:c r="J814" s="7" t="str">
        <x:v>2 layers x 91 bars outside central opening band</x:v>
      </x:c>
      <x:c r="K814" s="2"/>
      <x:c r="L814" s="2"/>
      <x:c r="M814" s="2"/>
      <x:c r="N814" s="2"/>
      <x:c r="O814" s="2"/>
      <x:c r="P814" s="2"/>
      <x:c r="Q814" s="2"/>
    </x:row>
    <x:row r="815" ht="22" customHeight="1">
      <x:c r="A815" s="2" t="str">
        <x:v>T5-L10-S2</x:v>
      </x:c>
      <x:c r="B815" s="2" t="str">
        <x:v>T5</x:v>
      </x:c>
      <x:c r="C815" s="2" t="str">
        <x:v>L10</x:v>
      </x:c>
      <x:c r="D815" s="2" t="str">
        <x:v>Slab X split at core</x:v>
      </x:c>
      <x:c r="E815" s="21" t="n">
        <x:v>12</x:v>
      </x:c>
      <x:c r="F815" s="21" t="n">
        <x:v>60</x:v>
      </x:c>
      <x:c r="G815" s="21" t="n">
        <x:v>25.95</x:v>
      </x:c>
      <x:c r="H815" s="21" t="n">
        <x:f>E815^2*'Controls'!$B$52</x:f>
        <x:v>0.8877600000000001</x:v>
      </x:c>
      <x:c r="I815" s="21" t="n">
        <x:f>F815*G815*H815</x:f>
        <x:v>1382.24232</x:v>
      </x:c>
      <x:c r="J815" s="2" t="str">
        <x:v>2 layers x 30 bars, split lengths combined around 4 m opening</x:v>
      </x:c>
      <x:c r="K815" s="2"/>
      <x:c r="L815" s="2"/>
      <x:c r="M815" s="2"/>
      <x:c r="N815" s="2"/>
      <x:c r="O815" s="2"/>
      <x:c r="P815" s="2"/>
      <x:c r="Q815" s="2"/>
    </x:row>
    <x:row r="816" ht="22" customHeight="1">
      <x:c r="A816" s="7" t="str">
        <x:v>T5-L10-S3</x:v>
      </x:c>
      <x:c r="B816" s="7" t="str">
        <x:v>T5</x:v>
      </x:c>
      <x:c r="C816" s="7" t="str">
        <x:v>L10</x:v>
      </x:c>
      <x:c r="D816" s="7" t="str">
        <x:v>Slab Y through strips</x:v>
      </x:c>
      <x:c r="E816" s="20" t="n">
        <x:v>12</x:v>
      </x:c>
      <x:c r="F816" s="20" t="n">
        <x:v>262</x:v>
      </x:c>
      <x:c r="G816" s="20" t="n">
        <x:v>23.95</x:v>
      </x:c>
      <x:c r="H816" s="20" t="n">
        <x:f>E816^2*'Controls'!$B$52</x:f>
        <x:v>0.8877600000000001</x:v>
      </x:c>
      <x:c r="I816" s="20" t="n">
        <x:f>F816*G816*H816</x:f>
        <x:v>5570.605224</x:v>
      </x:c>
      <x:c r="J816" s="7" t="str">
        <x:v>2 layers x 131 bars outside central opening band</x:v>
      </x:c>
      <x:c r="K816" s="2"/>
      <x:c r="L816" s="2"/>
      <x:c r="M816" s="2"/>
      <x:c r="N816" s="2"/>
      <x:c r="O816" s="2"/>
      <x:c r="P816" s="2"/>
      <x:c r="Q816" s="2"/>
    </x:row>
    <x:row r="817" ht="22" customHeight="1">
      <x:c r="A817" s="2" t="str">
        <x:v>T5-L10-S4</x:v>
      </x:c>
      <x:c r="B817" s="2" t="str">
        <x:v>T5</x:v>
      </x:c>
      <x:c r="C817" s="2" t="str">
        <x:v>L10</x:v>
      </x:c>
      <x:c r="D817" s="2" t="str">
        <x:v>Slab Y split at core</x:v>
      </x:c>
      <x:c r="E817" s="21" t="n">
        <x:v>12</x:v>
      </x:c>
      <x:c r="F817" s="21" t="n">
        <x:v>40</x:v>
      </x:c>
      <x:c r="G817" s="21" t="n">
        <x:v>17.95</x:v>
      </x:c>
      <x:c r="H817" s="21" t="n">
        <x:f>E817^2*'Controls'!$B$52</x:f>
        <x:v>0.8877600000000001</x:v>
      </x:c>
      <x:c r="I817" s="21" t="n">
        <x:f>F817*G817*H817</x:f>
        <x:v>637.41168</x:v>
      </x:c>
      <x:c r="J817" s="2" t="str">
        <x:v>2 layers x 20 bars, split around 6 m opening</x:v>
      </x:c>
      <x:c r="K817" s="2"/>
      <x:c r="L817" s="2"/>
      <x:c r="M817" s="2"/>
      <x:c r="N817" s="2"/>
      <x:c r="O817" s="2"/>
      <x:c r="P817" s="2"/>
      <x:c r="Q817" s="2"/>
    </x:row>
    <x:row r="818" ht="22" customHeight="1">
      <x:c r="A818" s="7" t="str">
        <x:v>T5-L10-S5</x:v>
      </x:c>
      <x:c r="B818" s="7" t="str">
        <x:v>T5</x:v>
      </x:c>
      <x:c r="C818" s="7" t="str">
        <x:v>L10</x:v>
      </x:c>
      <x:c r="D818" s="7" t="str">
        <x:v>Opening trim bars</x:v>
      </x:c>
      <x:c r="E818" s="20" t="n">
        <x:v>16</x:v>
      </x:c>
      <x:c r="F818" s="20" t="n">
        <x:v>16</x:v>
      </x:c>
      <x:c r="G818" s="20" t="n">
        <x:v>7.2</x:v>
      </x:c>
      <x:c r="H818" s="20" t="n">
        <x:f>E818^2*'Controls'!$B$52</x:f>
        <x:v>1.57824</x:v>
      </x:c>
      <x:c r="I818" s="20" t="n">
        <x:f>F818*G818*H818</x:f>
        <x:v>181.81324800000002</x:v>
      </x:c>
      <x:c r="J818" s="7" t="str">
        <x:v>Trim allowance, explicit scheduled lengths</x:v>
      </x:c>
      <x:c r="K818" s="2"/>
      <x:c r="L818" s="2"/>
      <x:c r="M818" s="2"/>
      <x:c r="N818" s="2"/>
      <x:c r="O818" s="2"/>
      <x:c r="P818" s="2"/>
      <x:c r="Q818" s="2"/>
    </x:row>
    <x:row r="819" ht="22" customHeight="1">
      <x:c r="A819" s="2" t="str">
        <x:v>T5-L10-BX</x:v>
      </x:c>
      <x:c r="B819" s="2" t="str">
        <x:v>T5</x:v>
      </x:c>
      <x:c r="C819" s="2" t="str">
        <x:v>L10</x:v>
      </x:c>
      <x:c r="D819" s="2" t="str">
        <x:v>X beam longitudinal</x:v>
      </x:c>
      <x:c r="E819" s="21" t="n">
        <x:v>20</x:v>
      </x:c>
      <x:c r="F819" s="21" t="n">
        <x:v>150</x:v>
      </x:c>
      <x:c r="G819" s="21" t="n">
        <x:v>6.5</x:v>
      </x:c>
      <x:c r="H819" s="21" t="n">
        <x:f>E819^2*'Controls'!$B$52</x:f>
        <x:v>2.466</x:v>
      </x:c>
      <x:c r="I819" s="21" t="n">
        <x:f>F819*G819*H819</x:f>
        <x:v>2404.3500000000004</x:v>
      </x:c>
      <x:c r="J819" s="2" t="str">
        <x:v>25 spans x 6 bars incl. 1 m lap/anchorage provision</x:v>
      </x:c>
      <x:c r="K819" s="2"/>
      <x:c r="L819" s="2"/>
      <x:c r="M819" s="2"/>
      <x:c r="N819" s="2"/>
      <x:c r="O819" s="2"/>
      <x:c r="P819" s="2"/>
      <x:c r="Q819" s="2"/>
    </x:row>
    <x:row r="820" ht="22" customHeight="1">
      <x:c r="A820" s="7" t="str">
        <x:v>T5-L10-BY</x:v>
      </x:c>
      <x:c r="B820" s="7" t="str">
        <x:v>T5</x:v>
      </x:c>
      <x:c r="C820" s="7" t="str">
        <x:v>L10</x:v>
      </x:c>
      <x:c r="D820" s="7" t="str">
        <x:v>Y beam longitudinal</x:v>
      </x:c>
      <x:c r="E820" s="20" t="n">
        <x:v>20</x:v>
      </x:c>
      <x:c r="F820" s="20" t="n">
        <x:v>144</x:v>
      </x:c>
      <x:c r="G820" s="20" t="n">
        <x:v>6.5</x:v>
      </x:c>
      <x:c r="H820" s="20" t="n">
        <x:f>E820^2*'Controls'!$B$52</x:f>
        <x:v>2.466</x:v>
      </x:c>
      <x:c r="I820" s="20" t="n">
        <x:f>F820*G820*H820</x:f>
        <x:v>2308.1760000000004</x:v>
      </x:c>
      <x:c r="J820" s="7" t="str">
        <x:v>24 spans x 6 bars</x:v>
      </x:c>
      <x:c r="K820" s="2"/>
      <x:c r="L820" s="2"/>
      <x:c r="M820" s="2"/>
      <x:c r="N820" s="2"/>
      <x:c r="O820" s="2"/>
      <x:c r="P820" s="2"/>
      <x:c r="Q820" s="2"/>
    </x:row>
    <x:row r="821" ht="22" customHeight="1">
      <x:c r="A821" s="2" t="str">
        <x:v>T5-L10-BT</x:v>
      </x:c>
      <x:c r="B821" s="2" t="str">
        <x:v>T5</x:v>
      </x:c>
      <x:c r="C821" s="2" t="str">
        <x:v>L10</x:v>
      </x:c>
      <x:c r="D821" s="2" t="str">
        <x:v>Beam closed links</x:v>
      </x:c>
      <x:c r="E821" s="21" t="n">
        <x:v>10</x:v>
      </x:c>
      <x:c r="F821" s="21" t="n">
        <x:v>1421</x:v>
      </x:c>
      <x:c r="G821" s="21" t="n">
        <x:v>1.7</x:v>
      </x:c>
      <x:c r="H821" s="21" t="n">
        <x:f>E821^2*'Controls'!$B$52</x:f>
        <x:v>0.6165</x:v>
      </x:c>
      <x:c r="I821" s="21" t="n">
        <x:f>F821*G821*H821</x:f>
        <x:v>1489.27905</x:v>
      </x:c>
      <x:c r="J821" s="2" t="str">
        <x:v>49 beams x 29 links, 200 mm nominal</x:v>
      </x:c>
      <x:c r="K821" s="2"/>
      <x:c r="L821" s="2"/>
      <x:c r="M821" s="2"/>
      <x:c r="N821" s="2"/>
      <x:c r="O821" s="2"/>
      <x:c r="P821" s="2"/>
      <x:c r="Q821" s="2"/>
    </x:row>
    <x:row r="822" ht="22" customHeight="1">
      <x:c r="A822" s="7" t="str">
        <x:v>T5-L10-CL</x:v>
      </x:c>
      <x:c r="B822" s="7" t="str">
        <x:v>T5</x:v>
      </x:c>
      <x:c r="C822" s="7" t="str">
        <x:v>L10</x:v>
      </x:c>
      <x:c r="D822" s="7" t="str">
        <x:v>Column longitudinal</x:v>
      </x:c>
      <x:c r="E822" s="20" t="n">
        <x:v>25</x:v>
      </x:c>
      <x:c r="F822" s="20" t="n">
        <x:v>360</x:v>
      </x:c>
      <x:c r="G822" s="20" t="n">
        <x:v>3.9</x:v>
      </x:c>
      <x:c r="H822" s="20" t="n">
        <x:f>E822^2*'Controls'!$B$52</x:f>
        <x:v>3.8531250000000004</x:v>
      </x:c>
      <x:c r="I822" s="20" t="n">
        <x:f>F822*G822*H822</x:f>
        <x:v>5409.7875</x:v>
      </x:c>
      <x:c r="J822" s="7" t="str">
        <x:v>30 columns x 12 bars incl. lap</x:v>
      </x:c>
      <x:c r="K822" s="2"/>
      <x:c r="L822" s="2"/>
      <x:c r="M822" s="2"/>
      <x:c r="N822" s="2"/>
      <x:c r="O822" s="2"/>
      <x:c r="P822" s="2"/>
      <x:c r="Q822" s="2"/>
    </x:row>
    <x:row r="823" ht="22" customHeight="1">
      <x:c r="A823" s="2" t="str">
        <x:v>T5-L10-CT</x:v>
      </x:c>
      <x:c r="B823" s="2" t="str">
        <x:v>T5</x:v>
      </x:c>
      <x:c r="C823" s="2" t="str">
        <x:v>L10</x:v>
      </x:c>
      <x:c r="D823" s="2" t="str">
        <x:v>Column ties</x:v>
      </x:c>
      <x:c r="E823" s="21" t="n">
        <x:v>10</x:v>
      </x:c>
      <x:c r="F823" s="21" t="n">
        <x:v>510</x:v>
      </x:c>
      <x:c r="G823" s="21" t="n">
        <x:v>1.96</x:v>
      </x:c>
      <x:c r="H823" s="21" t="n">
        <x:f>E823^2*'Controls'!$B$52</x:f>
        <x:v>0.6165</x:v>
      </x:c>
      <x:c r="I823" s="21" t="n">
        <x:f>F823*G823*H823</x:f>
        <x:v>616.2534</x:v>
      </x:c>
      <x:c r="J823" s="2" t="str">
        <x:v>30 columns x 17 ties, cover and hooks included</x:v>
      </x:c>
      <x:c r="K823" s="2"/>
      <x:c r="L823" s="2"/>
      <x:c r="M823" s="2"/>
      <x:c r="N823" s="2"/>
      <x:c r="O823" s="2"/>
      <x:c r="P823" s="2"/>
      <x:c r="Q823" s="2"/>
    </x:row>
    <x:row r="824" ht="22" customHeight="1">
      <x:c r="A824" s="7" t="str">
        <x:v>T5-L10-CV</x:v>
      </x:c>
      <x:c r="B824" s="7" t="str">
        <x:v>T5</x:v>
      </x:c>
      <x:c r="C824" s="7" t="str">
        <x:v>L10</x:v>
      </x:c>
      <x:c r="D824" s="7" t="str">
        <x:v>Core vertical bars</x:v>
      </x:c>
      <x:c r="E824" s="20" t="n">
        <x:v>16</x:v>
      </x:c>
      <x:c r="F824" s="20" t="n">
        <x:v>244</x:v>
      </x:c>
      <x:c r="G824" s="20" t="n">
        <x:v>3.9</x:v>
      </x:c>
      <x:c r="H824" s="20" t="n">
        <x:f>E824^2*'Controls'!$B$52</x:f>
        <x:v>1.57824</x:v>
      </x:c>
      <x:c r="I824" s="20" t="n">
        <x:f>F824*G824*H824</x:f>
        <x:v>1501.853184</x:v>
      </x:c>
      <x:c r="J824" s="7" t="str">
        <x:v>Two faces, 200 mm nominal along 24 m net length</x:v>
      </x:c>
      <x:c r="K824" s="2"/>
      <x:c r="L824" s="2"/>
      <x:c r="M824" s="2"/>
      <x:c r="N824" s="2"/>
      <x:c r="O824" s="2"/>
      <x:c r="P824" s="2"/>
      <x:c r="Q824" s="2"/>
    </x:row>
    <x:row r="825" ht="22" customHeight="1">
      <x:c r="A825" s="2" t="str">
        <x:v>T5-L10-CH</x:v>
      </x:c>
      <x:c r="B825" s="2" t="str">
        <x:v>T5</x:v>
      </x:c>
      <x:c r="C825" s="2" t="str">
        <x:v>L10</x:v>
      </x:c>
      <x:c r="D825" s="2" t="str">
        <x:v>Core horizontal bars</x:v>
      </x:c>
      <x:c r="E825" s="21" t="n">
        <x:v>12</x:v>
      </x:c>
      <x:c r="F825" s="21" t="n">
        <x:v>32</x:v>
      </x:c>
      <x:c r="G825" s="21" t="n">
        <x:v>25</x:v>
      </x:c>
      <x:c r="H825" s="21" t="n">
        <x:f>E825^2*'Controls'!$B$52</x:f>
        <x:v>0.8877600000000001</x:v>
      </x:c>
      <x:c r="I825" s="21" t="n">
        <x:f>F825*G825*H825</x:f>
        <x:v>710.2080000000001</x:v>
      </x:c>
      <x:c r="J825" s="2" t="str">
        <x:v>Two faces x 16 layers incl. lap</x:v>
      </x:c>
      <x:c r="K825" s="2"/>
      <x:c r="L825" s="2"/>
      <x:c r="M825" s="2"/>
      <x:c r="N825" s="2"/>
      <x:c r="O825" s="2"/>
      <x:c r="P825" s="2"/>
      <x:c r="Q825" s="2"/>
    </x:row>
    <x:row r="826" ht="22" customHeight="1">
      <x:c r="A826" s="7" t="str">
        <x:v>T5-L10-ST</x:v>
      </x:c>
      <x:c r="B826" s="7" t="str">
        <x:v>T5</x:v>
      </x:c>
      <x:c r="C826" s="7" t="str">
        <x:v>L10</x:v>
      </x:c>
      <x:c r="D826" s="7" t="str">
        <x:v>Stair flights and landings</x:v>
      </x:c>
      <x:c r="E826" s="20" t="n">
        <x:v>12</x:v>
      </x:c>
      <x:c r="F826" s="20" t="n">
        <x:v>80</x:v>
      </x:c>
      <x:c r="G826" s="20" t="n">
        <x:v>4.8</x:v>
      </x:c>
      <x:c r="H826" s="20" t="n">
        <x:f>E826^2*'Controls'!$B$52</x:f>
        <x:v>0.8877600000000001</x:v>
      </x:c>
      <x:c r="I826" s="20" t="n">
        <x:f>F826*G826*H826</x:f>
        <x:v>340.89984000000004</x:v>
      </x:c>
      <x:c r="J826" s="7" t="str">
        <x:v>Separate stair reinforcement allowance</x:v>
      </x:c>
      <x:c r="K826" s="2"/>
      <x:c r="L826" s="2"/>
      <x:c r="M826" s="2"/>
      <x:c r="N826" s="2"/>
      <x:c r="O826" s="2"/>
      <x:c r="P826" s="2"/>
      <x:c r="Q826" s="2"/>
    </x:row>
    <x:row r="827" ht="22" customHeight="1">
      <x:c r="A827" s="2" t="str">
        <x:v>T5-L11-S1</x:v>
      </x:c>
      <x:c r="B827" s="2" t="str">
        <x:v>T5</x:v>
      </x:c>
      <x:c r="C827" s="2" t="str">
        <x:v>L11</x:v>
      </x:c>
      <x:c r="D827" s="2" t="str">
        <x:v>Slab X through strips</x:v>
      </x:c>
      <x:c r="E827" s="21" t="n">
        <x:v>12</x:v>
      </x:c>
      <x:c r="F827" s="21" t="n">
        <x:v>182</x:v>
      </x:c>
      <x:c r="G827" s="21" t="n">
        <x:v>29.95</x:v>
      </x:c>
      <x:c r="H827" s="21" t="n">
        <x:f>E827^2*'Controls'!$B$52</x:f>
        <x:v>0.8877600000000001</x:v>
      </x:c>
      <x:c r="I827" s="21" t="n">
        <x:f>F827*G827*H827</x:f>
        <x:v>4839.090984</x:v>
      </x:c>
      <x:c r="J827" s="2" t="str">
        <x:v>2 layers x 91 bars outside central opening band</x:v>
      </x:c>
      <x:c r="K827" s="2"/>
      <x:c r="L827" s="2"/>
      <x:c r="M827" s="2"/>
      <x:c r="N827" s="2"/>
      <x:c r="O827" s="2"/>
      <x:c r="P827" s="2"/>
      <x:c r="Q827" s="2"/>
    </x:row>
    <x:row r="828" ht="22" customHeight="1">
      <x:c r="A828" s="7" t="str">
        <x:v>T5-L11-S2</x:v>
      </x:c>
      <x:c r="B828" s="7" t="str">
        <x:v>T5</x:v>
      </x:c>
      <x:c r="C828" s="7" t="str">
        <x:v>L11</x:v>
      </x:c>
      <x:c r="D828" s="7" t="str">
        <x:v>Slab X split at core</x:v>
      </x:c>
      <x:c r="E828" s="20" t="n">
        <x:v>12</x:v>
      </x:c>
      <x:c r="F828" s="20" t="n">
        <x:v>60</x:v>
      </x:c>
      <x:c r="G828" s="20" t="n">
        <x:v>25.95</x:v>
      </x:c>
      <x:c r="H828" s="20" t="n">
        <x:f>E828^2*'Controls'!$B$52</x:f>
        <x:v>0.8877600000000001</x:v>
      </x:c>
      <x:c r="I828" s="20" t="n">
        <x:f>F828*G828*H828</x:f>
        <x:v>1382.24232</x:v>
      </x:c>
      <x:c r="J828" s="7" t="str">
        <x:v>2 layers x 30 bars, split lengths combined around 4 m opening</x:v>
      </x:c>
      <x:c r="K828" s="2"/>
      <x:c r="L828" s="2"/>
      <x:c r="M828" s="2"/>
      <x:c r="N828" s="2"/>
      <x:c r="O828" s="2"/>
      <x:c r="P828" s="2"/>
      <x:c r="Q828" s="2"/>
    </x:row>
    <x:row r="829" ht="22" customHeight="1">
      <x:c r="A829" s="2" t="str">
        <x:v>T5-L11-S3</x:v>
      </x:c>
      <x:c r="B829" s="2" t="str">
        <x:v>T5</x:v>
      </x:c>
      <x:c r="C829" s="2" t="str">
        <x:v>L11</x:v>
      </x:c>
      <x:c r="D829" s="2" t="str">
        <x:v>Slab Y through strips</x:v>
      </x:c>
      <x:c r="E829" s="21" t="n">
        <x:v>12</x:v>
      </x:c>
      <x:c r="F829" s="21" t="n">
        <x:v>262</x:v>
      </x:c>
      <x:c r="G829" s="21" t="n">
        <x:v>23.95</x:v>
      </x:c>
      <x:c r="H829" s="21" t="n">
        <x:f>E829^2*'Controls'!$B$52</x:f>
        <x:v>0.8877600000000001</x:v>
      </x:c>
      <x:c r="I829" s="21" t="n">
        <x:f>F829*G829*H829</x:f>
        <x:v>5570.605224</x:v>
      </x:c>
      <x:c r="J829" s="2" t="str">
        <x:v>2 layers x 131 bars outside central opening band</x:v>
      </x:c>
      <x:c r="K829" s="2"/>
      <x:c r="L829" s="2"/>
      <x:c r="M829" s="2"/>
      <x:c r="N829" s="2"/>
      <x:c r="O829" s="2"/>
      <x:c r="P829" s="2"/>
      <x:c r="Q829" s="2"/>
    </x:row>
    <x:row r="830" ht="22" customHeight="1">
      <x:c r="A830" s="7" t="str">
        <x:v>T5-L11-S4</x:v>
      </x:c>
      <x:c r="B830" s="7" t="str">
        <x:v>T5</x:v>
      </x:c>
      <x:c r="C830" s="7" t="str">
        <x:v>L11</x:v>
      </x:c>
      <x:c r="D830" s="7" t="str">
        <x:v>Slab Y split at core</x:v>
      </x:c>
      <x:c r="E830" s="20" t="n">
        <x:v>12</x:v>
      </x:c>
      <x:c r="F830" s="20" t="n">
        <x:v>40</x:v>
      </x:c>
      <x:c r="G830" s="20" t="n">
        <x:v>17.95</x:v>
      </x:c>
      <x:c r="H830" s="20" t="n">
        <x:f>E830^2*'Controls'!$B$52</x:f>
        <x:v>0.8877600000000001</x:v>
      </x:c>
      <x:c r="I830" s="20" t="n">
        <x:f>F830*G830*H830</x:f>
        <x:v>637.41168</x:v>
      </x:c>
      <x:c r="J830" s="7" t="str">
        <x:v>2 layers x 20 bars, split around 6 m opening</x:v>
      </x:c>
      <x:c r="K830" s="2"/>
      <x:c r="L830" s="2"/>
      <x:c r="M830" s="2"/>
      <x:c r="N830" s="2"/>
      <x:c r="O830" s="2"/>
      <x:c r="P830" s="2"/>
      <x:c r="Q830" s="2"/>
    </x:row>
    <x:row r="831" ht="22" customHeight="1">
      <x:c r="A831" s="2" t="str">
        <x:v>T5-L11-S5</x:v>
      </x:c>
      <x:c r="B831" s="2" t="str">
        <x:v>T5</x:v>
      </x:c>
      <x:c r="C831" s="2" t="str">
        <x:v>L11</x:v>
      </x:c>
      <x:c r="D831" s="2" t="str">
        <x:v>Opening trim bars</x:v>
      </x:c>
      <x:c r="E831" s="21" t="n">
        <x:v>16</x:v>
      </x:c>
      <x:c r="F831" s="21" t="n">
        <x:v>16</x:v>
      </x:c>
      <x:c r="G831" s="21" t="n">
        <x:v>7.2</x:v>
      </x:c>
      <x:c r="H831" s="21" t="n">
        <x:f>E831^2*'Controls'!$B$52</x:f>
        <x:v>1.57824</x:v>
      </x:c>
      <x:c r="I831" s="21" t="n">
        <x:f>F831*G831*H831</x:f>
        <x:v>181.81324800000002</x:v>
      </x:c>
      <x:c r="J831" s="2" t="str">
        <x:v>Trim allowance, explicit scheduled lengths</x:v>
      </x:c>
      <x:c r="K831" s="2"/>
      <x:c r="L831" s="2"/>
      <x:c r="M831" s="2"/>
      <x:c r="N831" s="2"/>
      <x:c r="O831" s="2"/>
      <x:c r="P831" s="2"/>
      <x:c r="Q831" s="2"/>
    </x:row>
    <x:row r="832" ht="22" customHeight="1">
      <x:c r="A832" s="7" t="str">
        <x:v>T5-L11-BX</x:v>
      </x:c>
      <x:c r="B832" s="7" t="str">
        <x:v>T5</x:v>
      </x:c>
      <x:c r="C832" s="7" t="str">
        <x:v>L11</x:v>
      </x:c>
      <x:c r="D832" s="7" t="str">
        <x:v>X beam longitudinal</x:v>
      </x:c>
      <x:c r="E832" s="20" t="n">
        <x:v>20</x:v>
      </x:c>
      <x:c r="F832" s="20" t="n">
        <x:v>150</x:v>
      </x:c>
      <x:c r="G832" s="20" t="n">
        <x:v>6.5</x:v>
      </x:c>
      <x:c r="H832" s="20" t="n">
        <x:f>E832^2*'Controls'!$B$52</x:f>
        <x:v>2.466</x:v>
      </x:c>
      <x:c r="I832" s="20" t="n">
        <x:f>F832*G832*H832</x:f>
        <x:v>2404.3500000000004</x:v>
      </x:c>
      <x:c r="J832" s="7" t="str">
        <x:v>25 spans x 6 bars incl. 1 m lap/anchorage provision</x:v>
      </x:c>
      <x:c r="K832" s="2"/>
      <x:c r="L832" s="2"/>
      <x:c r="M832" s="2"/>
      <x:c r="N832" s="2"/>
      <x:c r="O832" s="2"/>
      <x:c r="P832" s="2"/>
      <x:c r="Q832" s="2"/>
    </x:row>
    <x:row r="833" ht="22" customHeight="1">
      <x:c r="A833" s="2" t="str">
        <x:v>T5-L11-BY</x:v>
      </x:c>
      <x:c r="B833" s="2" t="str">
        <x:v>T5</x:v>
      </x:c>
      <x:c r="C833" s="2" t="str">
        <x:v>L11</x:v>
      </x:c>
      <x:c r="D833" s="2" t="str">
        <x:v>Y beam longitudinal</x:v>
      </x:c>
      <x:c r="E833" s="21" t="n">
        <x:v>20</x:v>
      </x:c>
      <x:c r="F833" s="21" t="n">
        <x:v>144</x:v>
      </x:c>
      <x:c r="G833" s="21" t="n">
        <x:v>6.5</x:v>
      </x:c>
      <x:c r="H833" s="21" t="n">
        <x:f>E833^2*'Controls'!$B$52</x:f>
        <x:v>2.466</x:v>
      </x:c>
      <x:c r="I833" s="21" t="n">
        <x:f>F833*G833*H833</x:f>
        <x:v>2308.1760000000004</x:v>
      </x:c>
      <x:c r="J833" s="2" t="str">
        <x:v>24 spans x 6 bars</x:v>
      </x:c>
      <x:c r="K833" s="2"/>
      <x:c r="L833" s="2"/>
      <x:c r="M833" s="2"/>
      <x:c r="N833" s="2"/>
      <x:c r="O833" s="2"/>
      <x:c r="P833" s="2"/>
      <x:c r="Q833" s="2"/>
    </x:row>
    <x:row r="834" ht="22" customHeight="1">
      <x:c r="A834" s="7" t="str">
        <x:v>T5-L11-BT</x:v>
      </x:c>
      <x:c r="B834" s="7" t="str">
        <x:v>T5</x:v>
      </x:c>
      <x:c r="C834" s="7" t="str">
        <x:v>L11</x:v>
      </x:c>
      <x:c r="D834" s="7" t="str">
        <x:v>Beam closed links</x:v>
      </x:c>
      <x:c r="E834" s="20" t="n">
        <x:v>10</x:v>
      </x:c>
      <x:c r="F834" s="20" t="n">
        <x:v>1421</x:v>
      </x:c>
      <x:c r="G834" s="20" t="n">
        <x:v>1.7</x:v>
      </x:c>
      <x:c r="H834" s="20" t="n">
        <x:f>E834^2*'Controls'!$B$52</x:f>
        <x:v>0.6165</x:v>
      </x:c>
      <x:c r="I834" s="20" t="n">
        <x:f>F834*G834*H834</x:f>
        <x:v>1489.27905</x:v>
      </x:c>
      <x:c r="J834" s="7" t="str">
        <x:v>49 beams x 29 links, 200 mm nominal</x:v>
      </x:c>
      <x:c r="K834" s="2"/>
      <x:c r="L834" s="2"/>
      <x:c r="M834" s="2"/>
      <x:c r="N834" s="2"/>
      <x:c r="O834" s="2"/>
      <x:c r="P834" s="2"/>
      <x:c r="Q834" s="2"/>
    </x:row>
    <x:row r="835" ht="22" customHeight="1">
      <x:c r="A835" s="2" t="str">
        <x:v>T5-L11-CL</x:v>
      </x:c>
      <x:c r="B835" s="2" t="str">
        <x:v>T5</x:v>
      </x:c>
      <x:c r="C835" s="2" t="str">
        <x:v>L11</x:v>
      </x:c>
      <x:c r="D835" s="2" t="str">
        <x:v>Column longitudinal</x:v>
      </x:c>
      <x:c r="E835" s="21" t="n">
        <x:v>25</x:v>
      </x:c>
      <x:c r="F835" s="21" t="n">
        <x:v>360</x:v>
      </x:c>
      <x:c r="G835" s="21" t="n">
        <x:v>3.9</x:v>
      </x:c>
      <x:c r="H835" s="21" t="n">
        <x:f>E835^2*'Controls'!$B$52</x:f>
        <x:v>3.8531250000000004</x:v>
      </x:c>
      <x:c r="I835" s="21" t="n">
        <x:f>F835*G835*H835</x:f>
        <x:v>5409.7875</x:v>
      </x:c>
      <x:c r="J835" s="2" t="str">
        <x:v>30 columns x 12 bars incl. lap</x:v>
      </x:c>
      <x:c r="K835" s="2"/>
      <x:c r="L835" s="2"/>
      <x:c r="M835" s="2"/>
      <x:c r="N835" s="2"/>
      <x:c r="O835" s="2"/>
      <x:c r="P835" s="2"/>
      <x:c r="Q835" s="2"/>
    </x:row>
    <x:row r="836" ht="22" customHeight="1">
      <x:c r="A836" s="7" t="str">
        <x:v>T5-L11-CT</x:v>
      </x:c>
      <x:c r="B836" s="7" t="str">
        <x:v>T5</x:v>
      </x:c>
      <x:c r="C836" s="7" t="str">
        <x:v>L11</x:v>
      </x:c>
      <x:c r="D836" s="7" t="str">
        <x:v>Column ties</x:v>
      </x:c>
      <x:c r="E836" s="20" t="n">
        <x:v>10</x:v>
      </x:c>
      <x:c r="F836" s="20" t="n">
        <x:v>510</x:v>
      </x:c>
      <x:c r="G836" s="20" t="n">
        <x:v>1.96</x:v>
      </x:c>
      <x:c r="H836" s="20" t="n">
        <x:f>E836^2*'Controls'!$B$52</x:f>
        <x:v>0.6165</x:v>
      </x:c>
      <x:c r="I836" s="20" t="n">
        <x:f>F836*G836*H836</x:f>
        <x:v>616.2534</x:v>
      </x:c>
      <x:c r="J836" s="7" t="str">
        <x:v>30 columns x 17 ties, cover and hooks included</x:v>
      </x:c>
      <x:c r="K836" s="2"/>
      <x:c r="L836" s="2"/>
      <x:c r="M836" s="2"/>
      <x:c r="N836" s="2"/>
      <x:c r="O836" s="2"/>
      <x:c r="P836" s="2"/>
      <x:c r="Q836" s="2"/>
    </x:row>
    <x:row r="837" ht="22" customHeight="1">
      <x:c r="A837" s="2" t="str">
        <x:v>T5-L11-CV</x:v>
      </x:c>
      <x:c r="B837" s="2" t="str">
        <x:v>T5</x:v>
      </x:c>
      <x:c r="C837" s="2" t="str">
        <x:v>L11</x:v>
      </x:c>
      <x:c r="D837" s="2" t="str">
        <x:v>Core vertical bars</x:v>
      </x:c>
      <x:c r="E837" s="21" t="n">
        <x:v>16</x:v>
      </x:c>
      <x:c r="F837" s="21" t="n">
        <x:v>244</x:v>
      </x:c>
      <x:c r="G837" s="21" t="n">
        <x:v>3.9</x:v>
      </x:c>
      <x:c r="H837" s="21" t="n">
        <x:f>E837^2*'Controls'!$B$52</x:f>
        <x:v>1.57824</x:v>
      </x:c>
      <x:c r="I837" s="21" t="n">
        <x:f>F837*G837*H837</x:f>
        <x:v>1501.853184</x:v>
      </x:c>
      <x:c r="J837" s="2" t="str">
        <x:v>Two faces, 200 mm nominal along 24 m net length</x:v>
      </x:c>
      <x:c r="K837" s="2"/>
      <x:c r="L837" s="2"/>
      <x:c r="M837" s="2"/>
      <x:c r="N837" s="2"/>
      <x:c r="O837" s="2"/>
      <x:c r="P837" s="2"/>
      <x:c r="Q837" s="2"/>
    </x:row>
    <x:row r="838" ht="22" customHeight="1">
      <x:c r="A838" s="7" t="str">
        <x:v>T5-L11-CH</x:v>
      </x:c>
      <x:c r="B838" s="7" t="str">
        <x:v>T5</x:v>
      </x:c>
      <x:c r="C838" s="7" t="str">
        <x:v>L11</x:v>
      </x:c>
      <x:c r="D838" s="7" t="str">
        <x:v>Core horizontal bars</x:v>
      </x:c>
      <x:c r="E838" s="20" t="n">
        <x:v>12</x:v>
      </x:c>
      <x:c r="F838" s="20" t="n">
        <x:v>32</x:v>
      </x:c>
      <x:c r="G838" s="20" t="n">
        <x:v>25</x:v>
      </x:c>
      <x:c r="H838" s="20" t="n">
        <x:f>E838^2*'Controls'!$B$52</x:f>
        <x:v>0.8877600000000001</x:v>
      </x:c>
      <x:c r="I838" s="20" t="n">
        <x:f>F838*G838*H838</x:f>
        <x:v>710.2080000000001</x:v>
      </x:c>
      <x:c r="J838" s="7" t="str">
        <x:v>Two faces x 16 layers incl. lap</x:v>
      </x:c>
      <x:c r="K838" s="2"/>
      <x:c r="L838" s="2"/>
      <x:c r="M838" s="2"/>
      <x:c r="N838" s="2"/>
      <x:c r="O838" s="2"/>
      <x:c r="P838" s="2"/>
      <x:c r="Q838" s="2"/>
    </x:row>
    <x:row r="839" ht="22" customHeight="1">
      <x:c r="A839" s="2" t="str">
        <x:v>T5-L11-ST</x:v>
      </x:c>
      <x:c r="B839" s="2" t="str">
        <x:v>T5</x:v>
      </x:c>
      <x:c r="C839" s="2" t="str">
        <x:v>L11</x:v>
      </x:c>
      <x:c r="D839" s="2" t="str">
        <x:v>Stair flights and landings</x:v>
      </x:c>
      <x:c r="E839" s="21" t="n">
        <x:v>12</x:v>
      </x:c>
      <x:c r="F839" s="21" t="n">
        <x:v>80</x:v>
      </x:c>
      <x:c r="G839" s="21" t="n">
        <x:v>4.8</x:v>
      </x:c>
      <x:c r="H839" s="21" t="n">
        <x:f>E839^2*'Controls'!$B$52</x:f>
        <x:v>0.8877600000000001</x:v>
      </x:c>
      <x:c r="I839" s="21" t="n">
        <x:f>F839*G839*H839</x:f>
        <x:v>340.89984000000004</x:v>
      </x:c>
      <x:c r="J839" s="2" t="str">
        <x:v>Separate stair reinforcement allowance</x:v>
      </x:c>
      <x:c r="K839" s="2"/>
      <x:c r="L839" s="2"/>
      <x:c r="M839" s="2"/>
      <x:c r="N839" s="2"/>
      <x:c r="O839" s="2"/>
      <x:c r="P839" s="2"/>
      <x:c r="Q839" s="2"/>
    </x:row>
    <x:row r="840" ht="22" customHeight="1">
      <x:c r="A840" s="7" t="str">
        <x:v>T5-L12-S1</x:v>
      </x:c>
      <x:c r="B840" s="7" t="str">
        <x:v>T5</x:v>
      </x:c>
      <x:c r="C840" s="7" t="str">
        <x:v>L12</x:v>
      </x:c>
      <x:c r="D840" s="7" t="str">
        <x:v>Slab X through strips</x:v>
      </x:c>
      <x:c r="E840" s="20" t="n">
        <x:v>12</x:v>
      </x:c>
      <x:c r="F840" s="20" t="n">
        <x:v>182</x:v>
      </x:c>
      <x:c r="G840" s="20" t="n">
        <x:v>29.95</x:v>
      </x:c>
      <x:c r="H840" s="20" t="n">
        <x:f>E840^2*'Controls'!$B$52</x:f>
        <x:v>0.8877600000000001</x:v>
      </x:c>
      <x:c r="I840" s="20" t="n">
        <x:f>F840*G840*H840</x:f>
        <x:v>4839.090984</x:v>
      </x:c>
      <x:c r="J840" s="7" t="str">
        <x:v>2 layers x 91 bars outside central opening band</x:v>
      </x:c>
      <x:c r="K840" s="2"/>
      <x:c r="L840" s="2"/>
      <x:c r="M840" s="2"/>
      <x:c r="N840" s="2"/>
      <x:c r="O840" s="2"/>
      <x:c r="P840" s="2"/>
      <x:c r="Q840" s="2"/>
    </x:row>
    <x:row r="841" ht="22" customHeight="1">
      <x:c r="A841" s="2" t="str">
        <x:v>T5-L12-S2</x:v>
      </x:c>
      <x:c r="B841" s="2" t="str">
        <x:v>T5</x:v>
      </x:c>
      <x:c r="C841" s="2" t="str">
        <x:v>L12</x:v>
      </x:c>
      <x:c r="D841" s="2" t="str">
        <x:v>Slab X split at core</x:v>
      </x:c>
      <x:c r="E841" s="21" t="n">
        <x:v>12</x:v>
      </x:c>
      <x:c r="F841" s="21" t="n">
        <x:v>60</x:v>
      </x:c>
      <x:c r="G841" s="21" t="n">
        <x:v>25.95</x:v>
      </x:c>
      <x:c r="H841" s="21" t="n">
        <x:f>E841^2*'Controls'!$B$52</x:f>
        <x:v>0.8877600000000001</x:v>
      </x:c>
      <x:c r="I841" s="21" t="n">
        <x:f>F841*G841*H841</x:f>
        <x:v>1382.24232</x:v>
      </x:c>
      <x:c r="J841" s="2" t="str">
        <x:v>2 layers x 30 bars, split lengths combined around 4 m opening</x:v>
      </x:c>
      <x:c r="K841" s="2"/>
      <x:c r="L841" s="2"/>
      <x:c r="M841" s="2"/>
      <x:c r="N841" s="2"/>
      <x:c r="O841" s="2"/>
      <x:c r="P841" s="2"/>
      <x:c r="Q841" s="2"/>
    </x:row>
    <x:row r="842" ht="22" customHeight="1">
      <x:c r="A842" s="7" t="str">
        <x:v>T5-L12-S3</x:v>
      </x:c>
      <x:c r="B842" s="7" t="str">
        <x:v>T5</x:v>
      </x:c>
      <x:c r="C842" s="7" t="str">
        <x:v>L12</x:v>
      </x:c>
      <x:c r="D842" s="7" t="str">
        <x:v>Slab Y through strips</x:v>
      </x:c>
      <x:c r="E842" s="20" t="n">
        <x:v>12</x:v>
      </x:c>
      <x:c r="F842" s="20" t="n">
        <x:v>262</x:v>
      </x:c>
      <x:c r="G842" s="20" t="n">
        <x:v>23.95</x:v>
      </x:c>
      <x:c r="H842" s="20" t="n">
        <x:f>E842^2*'Controls'!$B$52</x:f>
        <x:v>0.8877600000000001</x:v>
      </x:c>
      <x:c r="I842" s="20" t="n">
        <x:f>F842*G842*H842</x:f>
        <x:v>5570.605224</x:v>
      </x:c>
      <x:c r="J842" s="7" t="str">
        <x:v>2 layers x 131 bars outside central opening band</x:v>
      </x:c>
      <x:c r="K842" s="2"/>
      <x:c r="L842" s="2"/>
      <x:c r="M842" s="2"/>
      <x:c r="N842" s="2"/>
      <x:c r="O842" s="2"/>
      <x:c r="P842" s="2"/>
      <x:c r="Q842" s="2"/>
    </x:row>
    <x:row r="843" ht="22" customHeight="1">
      <x:c r="A843" s="2" t="str">
        <x:v>T5-L12-S4</x:v>
      </x:c>
      <x:c r="B843" s="2" t="str">
        <x:v>T5</x:v>
      </x:c>
      <x:c r="C843" s="2" t="str">
        <x:v>L12</x:v>
      </x:c>
      <x:c r="D843" s="2" t="str">
        <x:v>Slab Y split at core</x:v>
      </x:c>
      <x:c r="E843" s="21" t="n">
        <x:v>12</x:v>
      </x:c>
      <x:c r="F843" s="21" t="n">
        <x:v>40</x:v>
      </x:c>
      <x:c r="G843" s="21" t="n">
        <x:v>17.95</x:v>
      </x:c>
      <x:c r="H843" s="21" t="n">
        <x:f>E843^2*'Controls'!$B$52</x:f>
        <x:v>0.8877600000000001</x:v>
      </x:c>
      <x:c r="I843" s="21" t="n">
        <x:f>F843*G843*H843</x:f>
        <x:v>637.41168</x:v>
      </x:c>
      <x:c r="J843" s="2" t="str">
        <x:v>2 layers x 20 bars, split around 6 m opening</x:v>
      </x:c>
      <x:c r="K843" s="2"/>
      <x:c r="L843" s="2"/>
      <x:c r="M843" s="2"/>
      <x:c r="N843" s="2"/>
      <x:c r="O843" s="2"/>
      <x:c r="P843" s="2"/>
      <x:c r="Q843" s="2"/>
    </x:row>
    <x:row r="844" ht="22" customHeight="1">
      <x:c r="A844" s="7" t="str">
        <x:v>T5-L12-S5</x:v>
      </x:c>
      <x:c r="B844" s="7" t="str">
        <x:v>T5</x:v>
      </x:c>
      <x:c r="C844" s="7" t="str">
        <x:v>L12</x:v>
      </x:c>
      <x:c r="D844" s="7" t="str">
        <x:v>Opening trim bars</x:v>
      </x:c>
      <x:c r="E844" s="20" t="n">
        <x:v>16</x:v>
      </x:c>
      <x:c r="F844" s="20" t="n">
        <x:v>16</x:v>
      </x:c>
      <x:c r="G844" s="20" t="n">
        <x:v>7.2</x:v>
      </x:c>
      <x:c r="H844" s="20" t="n">
        <x:f>E844^2*'Controls'!$B$52</x:f>
        <x:v>1.57824</x:v>
      </x:c>
      <x:c r="I844" s="20" t="n">
        <x:f>F844*G844*H844</x:f>
        <x:v>181.81324800000002</x:v>
      </x:c>
      <x:c r="J844" s="7" t="str">
        <x:v>Trim allowance, explicit scheduled lengths</x:v>
      </x:c>
      <x:c r="K844" s="2"/>
      <x:c r="L844" s="2"/>
      <x:c r="M844" s="2"/>
      <x:c r="N844" s="2"/>
      <x:c r="O844" s="2"/>
      <x:c r="P844" s="2"/>
      <x:c r="Q844" s="2"/>
    </x:row>
    <x:row r="845" ht="22" customHeight="1">
      <x:c r="A845" s="2" t="str">
        <x:v>T5-L12-BX</x:v>
      </x:c>
      <x:c r="B845" s="2" t="str">
        <x:v>T5</x:v>
      </x:c>
      <x:c r="C845" s="2" t="str">
        <x:v>L12</x:v>
      </x:c>
      <x:c r="D845" s="2" t="str">
        <x:v>X beam longitudinal</x:v>
      </x:c>
      <x:c r="E845" s="21" t="n">
        <x:v>20</x:v>
      </x:c>
      <x:c r="F845" s="21" t="n">
        <x:v>150</x:v>
      </x:c>
      <x:c r="G845" s="21" t="n">
        <x:v>6.5</x:v>
      </x:c>
      <x:c r="H845" s="21" t="n">
        <x:f>E845^2*'Controls'!$B$52</x:f>
        <x:v>2.466</x:v>
      </x:c>
      <x:c r="I845" s="21" t="n">
        <x:f>F845*G845*H845</x:f>
        <x:v>2404.3500000000004</x:v>
      </x:c>
      <x:c r="J845" s="2" t="str">
        <x:v>25 spans x 6 bars incl. 1 m lap/anchorage provision</x:v>
      </x:c>
      <x:c r="K845" s="2"/>
      <x:c r="L845" s="2"/>
      <x:c r="M845" s="2"/>
      <x:c r="N845" s="2"/>
      <x:c r="O845" s="2"/>
      <x:c r="P845" s="2"/>
      <x:c r="Q845" s="2"/>
    </x:row>
    <x:row r="846" ht="22" customHeight="1">
      <x:c r="A846" s="7" t="str">
        <x:v>T5-L12-BY</x:v>
      </x:c>
      <x:c r="B846" s="7" t="str">
        <x:v>T5</x:v>
      </x:c>
      <x:c r="C846" s="7" t="str">
        <x:v>L12</x:v>
      </x:c>
      <x:c r="D846" s="7" t="str">
        <x:v>Y beam longitudinal</x:v>
      </x:c>
      <x:c r="E846" s="20" t="n">
        <x:v>20</x:v>
      </x:c>
      <x:c r="F846" s="20" t="n">
        <x:v>144</x:v>
      </x:c>
      <x:c r="G846" s="20" t="n">
        <x:v>6.5</x:v>
      </x:c>
      <x:c r="H846" s="20" t="n">
        <x:f>E846^2*'Controls'!$B$52</x:f>
        <x:v>2.466</x:v>
      </x:c>
      <x:c r="I846" s="20" t="n">
        <x:f>F846*G846*H846</x:f>
        <x:v>2308.1760000000004</x:v>
      </x:c>
      <x:c r="J846" s="7" t="str">
        <x:v>24 spans x 6 bars</x:v>
      </x:c>
      <x:c r="K846" s="2"/>
      <x:c r="L846" s="2"/>
      <x:c r="M846" s="2"/>
      <x:c r="N846" s="2"/>
      <x:c r="O846" s="2"/>
      <x:c r="P846" s="2"/>
      <x:c r="Q846" s="2"/>
    </x:row>
    <x:row r="847" ht="22" customHeight="1">
      <x:c r="A847" s="2" t="str">
        <x:v>T5-L12-BT</x:v>
      </x:c>
      <x:c r="B847" s="2" t="str">
        <x:v>T5</x:v>
      </x:c>
      <x:c r="C847" s="2" t="str">
        <x:v>L12</x:v>
      </x:c>
      <x:c r="D847" s="2" t="str">
        <x:v>Beam closed links</x:v>
      </x:c>
      <x:c r="E847" s="21" t="n">
        <x:v>10</x:v>
      </x:c>
      <x:c r="F847" s="21" t="n">
        <x:v>1421</x:v>
      </x:c>
      <x:c r="G847" s="21" t="n">
        <x:v>1.7</x:v>
      </x:c>
      <x:c r="H847" s="21" t="n">
        <x:f>E847^2*'Controls'!$B$52</x:f>
        <x:v>0.6165</x:v>
      </x:c>
      <x:c r="I847" s="21" t="n">
        <x:f>F847*G847*H847</x:f>
        <x:v>1489.27905</x:v>
      </x:c>
      <x:c r="J847" s="2" t="str">
        <x:v>49 beams x 29 links, 200 mm nominal</x:v>
      </x:c>
      <x:c r="K847" s="2"/>
      <x:c r="L847" s="2"/>
      <x:c r="M847" s="2"/>
      <x:c r="N847" s="2"/>
      <x:c r="O847" s="2"/>
      <x:c r="P847" s="2"/>
      <x:c r="Q847" s="2"/>
    </x:row>
    <x:row r="848" ht="22" customHeight="1">
      <x:c r="A848" s="7" t="str">
        <x:v>T5-L12-CL</x:v>
      </x:c>
      <x:c r="B848" s="7" t="str">
        <x:v>T5</x:v>
      </x:c>
      <x:c r="C848" s="7" t="str">
        <x:v>L12</x:v>
      </x:c>
      <x:c r="D848" s="7" t="str">
        <x:v>Column longitudinal</x:v>
      </x:c>
      <x:c r="E848" s="20" t="n">
        <x:v>25</x:v>
      </x:c>
      <x:c r="F848" s="20" t="n">
        <x:v>360</x:v>
      </x:c>
      <x:c r="G848" s="20" t="n">
        <x:v>3.9</x:v>
      </x:c>
      <x:c r="H848" s="20" t="n">
        <x:f>E848^2*'Controls'!$B$52</x:f>
        <x:v>3.8531250000000004</x:v>
      </x:c>
      <x:c r="I848" s="20" t="n">
        <x:f>F848*G848*H848</x:f>
        <x:v>5409.7875</x:v>
      </x:c>
      <x:c r="J848" s="7" t="str">
        <x:v>30 columns x 12 bars incl. lap</x:v>
      </x:c>
      <x:c r="K848" s="2"/>
      <x:c r="L848" s="2"/>
      <x:c r="M848" s="2"/>
      <x:c r="N848" s="2"/>
      <x:c r="O848" s="2"/>
      <x:c r="P848" s="2"/>
      <x:c r="Q848" s="2"/>
    </x:row>
    <x:row r="849" ht="22" customHeight="1">
      <x:c r="A849" s="2" t="str">
        <x:v>T5-L12-CT</x:v>
      </x:c>
      <x:c r="B849" s="2" t="str">
        <x:v>T5</x:v>
      </x:c>
      <x:c r="C849" s="2" t="str">
        <x:v>L12</x:v>
      </x:c>
      <x:c r="D849" s="2" t="str">
        <x:v>Column ties</x:v>
      </x:c>
      <x:c r="E849" s="21" t="n">
        <x:v>10</x:v>
      </x:c>
      <x:c r="F849" s="21" t="n">
        <x:v>510</x:v>
      </x:c>
      <x:c r="G849" s="21" t="n">
        <x:v>1.96</x:v>
      </x:c>
      <x:c r="H849" s="21" t="n">
        <x:f>E849^2*'Controls'!$B$52</x:f>
        <x:v>0.6165</x:v>
      </x:c>
      <x:c r="I849" s="21" t="n">
        <x:f>F849*G849*H849</x:f>
        <x:v>616.2534</x:v>
      </x:c>
      <x:c r="J849" s="2" t="str">
        <x:v>30 columns x 17 ties, cover and hooks included</x:v>
      </x:c>
      <x:c r="K849" s="2"/>
      <x:c r="L849" s="2"/>
      <x:c r="M849" s="2"/>
      <x:c r="N849" s="2"/>
      <x:c r="O849" s="2"/>
      <x:c r="P849" s="2"/>
      <x:c r="Q849" s="2"/>
    </x:row>
    <x:row r="850" ht="22" customHeight="1">
      <x:c r="A850" s="7" t="str">
        <x:v>T5-L12-CV</x:v>
      </x:c>
      <x:c r="B850" s="7" t="str">
        <x:v>T5</x:v>
      </x:c>
      <x:c r="C850" s="7" t="str">
        <x:v>L12</x:v>
      </x:c>
      <x:c r="D850" s="7" t="str">
        <x:v>Core vertical bars</x:v>
      </x:c>
      <x:c r="E850" s="20" t="n">
        <x:v>16</x:v>
      </x:c>
      <x:c r="F850" s="20" t="n">
        <x:v>244</x:v>
      </x:c>
      <x:c r="G850" s="20" t="n">
        <x:v>3.9</x:v>
      </x:c>
      <x:c r="H850" s="20" t="n">
        <x:f>E850^2*'Controls'!$B$52</x:f>
        <x:v>1.57824</x:v>
      </x:c>
      <x:c r="I850" s="20" t="n">
        <x:f>F850*G850*H850</x:f>
        <x:v>1501.853184</x:v>
      </x:c>
      <x:c r="J850" s="7" t="str">
        <x:v>Two faces, 200 mm nominal along 24 m net length</x:v>
      </x:c>
      <x:c r="K850" s="2"/>
      <x:c r="L850" s="2"/>
      <x:c r="M850" s="2"/>
      <x:c r="N850" s="2"/>
      <x:c r="O850" s="2"/>
      <x:c r="P850" s="2"/>
      <x:c r="Q850" s="2"/>
    </x:row>
    <x:row r="851" ht="22" customHeight="1">
      <x:c r="A851" s="2" t="str">
        <x:v>T5-L12-CH</x:v>
      </x:c>
      <x:c r="B851" s="2" t="str">
        <x:v>T5</x:v>
      </x:c>
      <x:c r="C851" s="2" t="str">
        <x:v>L12</x:v>
      </x:c>
      <x:c r="D851" s="2" t="str">
        <x:v>Core horizontal bars</x:v>
      </x:c>
      <x:c r="E851" s="21" t="n">
        <x:v>12</x:v>
      </x:c>
      <x:c r="F851" s="21" t="n">
        <x:v>32</x:v>
      </x:c>
      <x:c r="G851" s="21" t="n">
        <x:v>25</x:v>
      </x:c>
      <x:c r="H851" s="21" t="n">
        <x:f>E851^2*'Controls'!$B$52</x:f>
        <x:v>0.8877600000000001</x:v>
      </x:c>
      <x:c r="I851" s="21" t="n">
        <x:f>F851*G851*H851</x:f>
        <x:v>710.2080000000001</x:v>
      </x:c>
      <x:c r="J851" s="2" t="str">
        <x:v>Two faces x 16 layers incl. lap</x:v>
      </x:c>
      <x:c r="K851" s="2"/>
      <x:c r="L851" s="2"/>
      <x:c r="M851" s="2"/>
      <x:c r="N851" s="2"/>
      <x:c r="O851" s="2"/>
      <x:c r="P851" s="2"/>
      <x:c r="Q851" s="2"/>
    </x:row>
    <x:row r="852" ht="22" customHeight="1">
      <x:c r="A852" s="7" t="str">
        <x:v>T5-L12-ST</x:v>
      </x:c>
      <x:c r="B852" s="7" t="str">
        <x:v>T5</x:v>
      </x:c>
      <x:c r="C852" s="7" t="str">
        <x:v>L12</x:v>
      </x:c>
      <x:c r="D852" s="7" t="str">
        <x:v>Stair flights and landings</x:v>
      </x:c>
      <x:c r="E852" s="20" t="n">
        <x:v>12</x:v>
      </x:c>
      <x:c r="F852" s="20" t="n">
        <x:v>80</x:v>
      </x:c>
      <x:c r="G852" s="20" t="n">
        <x:v>4.8</x:v>
      </x:c>
      <x:c r="H852" s="20" t="n">
        <x:f>E852^2*'Controls'!$B$52</x:f>
        <x:v>0.8877600000000001</x:v>
      </x:c>
      <x:c r="I852" s="20" t="n">
        <x:f>F852*G852*H852</x:f>
        <x:v>340.89984000000004</x:v>
      </x:c>
      <x:c r="J852" s="7" t="str">
        <x:v>Separate stair reinforcement allowance</x:v>
      </x:c>
      <x:c r="K852" s="2"/>
      <x:c r="L852" s="2"/>
      <x:c r="M852" s="2"/>
      <x:c r="N852" s="2"/>
      <x:c r="O852" s="2"/>
      <x:c r="P852" s="2"/>
      <x:c r="Q852" s="2"/>
    </x:row>
    <x:row r="853" ht="22" customHeight="1">
      <x:c r="A853" s="2" t="str">
        <x:v>T6-L00-S1</x:v>
      </x:c>
      <x:c r="B853" s="2" t="str">
        <x:v>T6</x:v>
      </x:c>
      <x:c r="C853" s="2" t="str">
        <x:v>L00</x:v>
      </x:c>
      <x:c r="D853" s="2" t="str">
        <x:v>Slab X through strips</x:v>
      </x:c>
      <x:c r="E853" s="21" t="n">
        <x:v>12</x:v>
      </x:c>
      <x:c r="F853" s="21" t="n">
        <x:v>182</x:v>
      </x:c>
      <x:c r="G853" s="21" t="n">
        <x:v>29.95</x:v>
      </x:c>
      <x:c r="H853" s="21" t="n">
        <x:f>E853^2*'Controls'!$B$52</x:f>
        <x:v>0.8877600000000001</x:v>
      </x:c>
      <x:c r="I853" s="21" t="n">
        <x:f>F853*G853*H853</x:f>
        <x:v>4839.090984</x:v>
      </x:c>
      <x:c r="J853" s="2" t="str">
        <x:v>2 layers x 91 bars outside central opening band</x:v>
      </x:c>
      <x:c r="K853" s="2"/>
      <x:c r="L853" s="2"/>
      <x:c r="M853" s="2"/>
      <x:c r="N853" s="2"/>
      <x:c r="O853" s="2"/>
      <x:c r="P853" s="2"/>
      <x:c r="Q853" s="2"/>
    </x:row>
    <x:row r="854" ht="22" customHeight="1">
      <x:c r="A854" s="7" t="str">
        <x:v>T6-L00-S2</x:v>
      </x:c>
      <x:c r="B854" s="7" t="str">
        <x:v>T6</x:v>
      </x:c>
      <x:c r="C854" s="7" t="str">
        <x:v>L00</x:v>
      </x:c>
      <x:c r="D854" s="7" t="str">
        <x:v>Slab X split at core</x:v>
      </x:c>
      <x:c r="E854" s="20" t="n">
        <x:v>12</x:v>
      </x:c>
      <x:c r="F854" s="20" t="n">
        <x:v>60</x:v>
      </x:c>
      <x:c r="G854" s="20" t="n">
        <x:v>25.95</x:v>
      </x:c>
      <x:c r="H854" s="20" t="n">
        <x:f>E854^2*'Controls'!$B$52</x:f>
        <x:v>0.8877600000000001</x:v>
      </x:c>
      <x:c r="I854" s="20" t="n">
        <x:f>F854*G854*H854</x:f>
        <x:v>1382.24232</x:v>
      </x:c>
      <x:c r="J854" s="7" t="str">
        <x:v>2 layers x 30 bars, split lengths combined around 4 m opening</x:v>
      </x:c>
      <x:c r="K854" s="2"/>
      <x:c r="L854" s="2"/>
      <x:c r="M854" s="2"/>
      <x:c r="N854" s="2"/>
      <x:c r="O854" s="2"/>
      <x:c r="P854" s="2"/>
      <x:c r="Q854" s="2"/>
    </x:row>
    <x:row r="855" ht="22" customHeight="1">
      <x:c r="A855" s="2" t="str">
        <x:v>T6-L00-S3</x:v>
      </x:c>
      <x:c r="B855" s="2" t="str">
        <x:v>T6</x:v>
      </x:c>
      <x:c r="C855" s="2" t="str">
        <x:v>L00</x:v>
      </x:c>
      <x:c r="D855" s="2" t="str">
        <x:v>Slab Y through strips</x:v>
      </x:c>
      <x:c r="E855" s="21" t="n">
        <x:v>12</x:v>
      </x:c>
      <x:c r="F855" s="21" t="n">
        <x:v>262</x:v>
      </x:c>
      <x:c r="G855" s="21" t="n">
        <x:v>23.95</x:v>
      </x:c>
      <x:c r="H855" s="21" t="n">
        <x:f>E855^2*'Controls'!$B$52</x:f>
        <x:v>0.8877600000000001</x:v>
      </x:c>
      <x:c r="I855" s="21" t="n">
        <x:f>F855*G855*H855</x:f>
        <x:v>5570.605224</x:v>
      </x:c>
      <x:c r="J855" s="2" t="str">
        <x:v>2 layers x 131 bars outside central opening band</x:v>
      </x:c>
      <x:c r="K855" s="2"/>
      <x:c r="L855" s="2"/>
      <x:c r="M855" s="2"/>
      <x:c r="N855" s="2"/>
      <x:c r="O855" s="2"/>
      <x:c r="P855" s="2"/>
      <x:c r="Q855" s="2"/>
    </x:row>
    <x:row r="856" ht="22" customHeight="1">
      <x:c r="A856" s="7" t="str">
        <x:v>T6-L00-S4</x:v>
      </x:c>
      <x:c r="B856" s="7" t="str">
        <x:v>T6</x:v>
      </x:c>
      <x:c r="C856" s="7" t="str">
        <x:v>L00</x:v>
      </x:c>
      <x:c r="D856" s="7" t="str">
        <x:v>Slab Y split at core</x:v>
      </x:c>
      <x:c r="E856" s="20" t="n">
        <x:v>12</x:v>
      </x:c>
      <x:c r="F856" s="20" t="n">
        <x:v>40</x:v>
      </x:c>
      <x:c r="G856" s="20" t="n">
        <x:v>17.95</x:v>
      </x:c>
      <x:c r="H856" s="20" t="n">
        <x:f>E856^2*'Controls'!$B$52</x:f>
        <x:v>0.8877600000000001</x:v>
      </x:c>
      <x:c r="I856" s="20" t="n">
        <x:f>F856*G856*H856</x:f>
        <x:v>637.41168</x:v>
      </x:c>
      <x:c r="J856" s="7" t="str">
        <x:v>2 layers x 20 bars, split around 6 m opening</x:v>
      </x:c>
      <x:c r="K856" s="2"/>
      <x:c r="L856" s="2"/>
      <x:c r="M856" s="2"/>
      <x:c r="N856" s="2"/>
      <x:c r="O856" s="2"/>
      <x:c r="P856" s="2"/>
      <x:c r="Q856" s="2"/>
    </x:row>
    <x:row r="857" ht="22" customHeight="1">
      <x:c r="A857" s="2" t="str">
        <x:v>T6-L00-S5</x:v>
      </x:c>
      <x:c r="B857" s="2" t="str">
        <x:v>T6</x:v>
      </x:c>
      <x:c r="C857" s="2" t="str">
        <x:v>L00</x:v>
      </x:c>
      <x:c r="D857" s="2" t="str">
        <x:v>Opening trim bars</x:v>
      </x:c>
      <x:c r="E857" s="21" t="n">
        <x:v>16</x:v>
      </x:c>
      <x:c r="F857" s="21" t="n">
        <x:v>16</x:v>
      </x:c>
      <x:c r="G857" s="21" t="n">
        <x:v>7.2</x:v>
      </x:c>
      <x:c r="H857" s="21" t="n">
        <x:f>E857^2*'Controls'!$B$52</x:f>
        <x:v>1.57824</x:v>
      </x:c>
      <x:c r="I857" s="21" t="n">
        <x:f>F857*G857*H857</x:f>
        <x:v>181.81324800000002</x:v>
      </x:c>
      <x:c r="J857" s="2" t="str">
        <x:v>Trim allowance, explicit scheduled lengths</x:v>
      </x:c>
      <x:c r="K857" s="2"/>
      <x:c r="L857" s="2"/>
      <x:c r="M857" s="2"/>
      <x:c r="N857" s="2"/>
      <x:c r="O857" s="2"/>
      <x:c r="P857" s="2"/>
      <x:c r="Q857" s="2"/>
    </x:row>
    <x:row r="858" ht="22" customHeight="1">
      <x:c r="A858" s="7" t="str">
        <x:v>T6-L00-BX</x:v>
      </x:c>
      <x:c r="B858" s="7" t="str">
        <x:v>T6</x:v>
      </x:c>
      <x:c r="C858" s="7" t="str">
        <x:v>L00</x:v>
      </x:c>
      <x:c r="D858" s="7" t="str">
        <x:v>X beam longitudinal</x:v>
      </x:c>
      <x:c r="E858" s="20" t="n">
        <x:v>20</x:v>
      </x:c>
      <x:c r="F858" s="20" t="n">
        <x:v>150</x:v>
      </x:c>
      <x:c r="G858" s="20" t="n">
        <x:v>6.5</x:v>
      </x:c>
      <x:c r="H858" s="20" t="n">
        <x:f>E858^2*'Controls'!$B$52</x:f>
        <x:v>2.466</x:v>
      </x:c>
      <x:c r="I858" s="20" t="n">
        <x:f>F858*G858*H858</x:f>
        <x:v>2404.3500000000004</x:v>
      </x:c>
      <x:c r="J858" s="7" t="str">
        <x:v>25 spans x 6 bars incl. 1 m lap/anchorage provision</x:v>
      </x:c>
      <x:c r="K858" s="2"/>
      <x:c r="L858" s="2"/>
      <x:c r="M858" s="2"/>
      <x:c r="N858" s="2"/>
      <x:c r="O858" s="2"/>
      <x:c r="P858" s="2"/>
      <x:c r="Q858" s="2"/>
    </x:row>
    <x:row r="859" ht="22" customHeight="1">
      <x:c r="A859" s="2" t="str">
        <x:v>T6-L00-BY</x:v>
      </x:c>
      <x:c r="B859" s="2" t="str">
        <x:v>T6</x:v>
      </x:c>
      <x:c r="C859" s="2" t="str">
        <x:v>L00</x:v>
      </x:c>
      <x:c r="D859" s="2" t="str">
        <x:v>Y beam longitudinal</x:v>
      </x:c>
      <x:c r="E859" s="21" t="n">
        <x:v>20</x:v>
      </x:c>
      <x:c r="F859" s="21" t="n">
        <x:v>144</x:v>
      </x:c>
      <x:c r="G859" s="21" t="n">
        <x:v>6.5</x:v>
      </x:c>
      <x:c r="H859" s="21" t="n">
        <x:f>E859^2*'Controls'!$B$52</x:f>
        <x:v>2.466</x:v>
      </x:c>
      <x:c r="I859" s="21" t="n">
        <x:f>F859*G859*H859</x:f>
        <x:v>2308.1760000000004</x:v>
      </x:c>
      <x:c r="J859" s="2" t="str">
        <x:v>24 spans x 6 bars</x:v>
      </x:c>
      <x:c r="K859" s="2"/>
      <x:c r="L859" s="2"/>
      <x:c r="M859" s="2"/>
      <x:c r="N859" s="2"/>
      <x:c r="O859" s="2"/>
      <x:c r="P859" s="2"/>
      <x:c r="Q859" s="2"/>
    </x:row>
    <x:row r="860" ht="22" customHeight="1">
      <x:c r="A860" s="7" t="str">
        <x:v>T6-L00-BT</x:v>
      </x:c>
      <x:c r="B860" s="7" t="str">
        <x:v>T6</x:v>
      </x:c>
      <x:c r="C860" s="7" t="str">
        <x:v>L00</x:v>
      </x:c>
      <x:c r="D860" s="7" t="str">
        <x:v>Beam closed links</x:v>
      </x:c>
      <x:c r="E860" s="20" t="n">
        <x:v>10</x:v>
      </x:c>
      <x:c r="F860" s="20" t="n">
        <x:v>1421</x:v>
      </x:c>
      <x:c r="G860" s="20" t="n">
        <x:v>1.7</x:v>
      </x:c>
      <x:c r="H860" s="20" t="n">
        <x:f>E860^2*'Controls'!$B$52</x:f>
        <x:v>0.6165</x:v>
      </x:c>
      <x:c r="I860" s="20" t="n">
        <x:f>F860*G860*H860</x:f>
        <x:v>1489.27905</x:v>
      </x:c>
      <x:c r="J860" s="7" t="str">
        <x:v>49 beams x 29 links, 200 mm nominal</x:v>
      </x:c>
      <x:c r="K860" s="2"/>
      <x:c r="L860" s="2"/>
      <x:c r="M860" s="2"/>
      <x:c r="N860" s="2"/>
      <x:c r="O860" s="2"/>
      <x:c r="P860" s="2"/>
      <x:c r="Q860" s="2"/>
    </x:row>
    <x:row r="861" ht="22" customHeight="1">
      <x:c r="A861" s="2" t="str">
        <x:v>T6-L00-CL</x:v>
      </x:c>
      <x:c r="B861" s="2" t="str">
        <x:v>T6</x:v>
      </x:c>
      <x:c r="C861" s="2" t="str">
        <x:v>L00</x:v>
      </x:c>
      <x:c r="D861" s="2" t="str">
        <x:v>Column longitudinal</x:v>
      </x:c>
      <x:c r="E861" s="21" t="n">
        <x:v>25</x:v>
      </x:c>
      <x:c r="F861" s="21" t="n">
        <x:v>360</x:v>
      </x:c>
      <x:c r="G861" s="21" t="n">
        <x:v>3.9</x:v>
      </x:c>
      <x:c r="H861" s="21" t="n">
        <x:f>E861^2*'Controls'!$B$52</x:f>
        <x:v>3.8531250000000004</x:v>
      </x:c>
      <x:c r="I861" s="21" t="n">
        <x:f>F861*G861*H861</x:f>
        <x:v>5409.7875</x:v>
      </x:c>
      <x:c r="J861" s="2" t="str">
        <x:v>30 columns x 12 bars incl. lap</x:v>
      </x:c>
      <x:c r="K861" s="2"/>
      <x:c r="L861" s="2"/>
      <x:c r="M861" s="2"/>
      <x:c r="N861" s="2"/>
      <x:c r="O861" s="2"/>
      <x:c r="P861" s="2"/>
      <x:c r="Q861" s="2"/>
    </x:row>
    <x:row r="862" ht="22" customHeight="1">
      <x:c r="A862" s="7" t="str">
        <x:v>T6-L00-CT</x:v>
      </x:c>
      <x:c r="B862" s="7" t="str">
        <x:v>T6</x:v>
      </x:c>
      <x:c r="C862" s="7" t="str">
        <x:v>L00</x:v>
      </x:c>
      <x:c r="D862" s="7" t="str">
        <x:v>Column ties</x:v>
      </x:c>
      <x:c r="E862" s="20" t="n">
        <x:v>10</x:v>
      </x:c>
      <x:c r="F862" s="20" t="n">
        <x:v>510</x:v>
      </x:c>
      <x:c r="G862" s="20" t="n">
        <x:v>1.96</x:v>
      </x:c>
      <x:c r="H862" s="20" t="n">
        <x:f>E862^2*'Controls'!$B$52</x:f>
        <x:v>0.6165</x:v>
      </x:c>
      <x:c r="I862" s="20" t="n">
        <x:f>F862*G862*H862</x:f>
        <x:v>616.2534</x:v>
      </x:c>
      <x:c r="J862" s="7" t="str">
        <x:v>30 columns x 17 ties, cover and hooks included</x:v>
      </x:c>
      <x:c r="K862" s="2"/>
      <x:c r="L862" s="2"/>
      <x:c r="M862" s="2"/>
      <x:c r="N862" s="2"/>
      <x:c r="O862" s="2"/>
      <x:c r="P862" s="2"/>
      <x:c r="Q862" s="2"/>
    </x:row>
    <x:row r="863" ht="22" customHeight="1">
      <x:c r="A863" s="2" t="str">
        <x:v>T6-L00-CV</x:v>
      </x:c>
      <x:c r="B863" s="2" t="str">
        <x:v>T6</x:v>
      </x:c>
      <x:c r="C863" s="2" t="str">
        <x:v>L00</x:v>
      </x:c>
      <x:c r="D863" s="2" t="str">
        <x:v>Core vertical bars</x:v>
      </x:c>
      <x:c r="E863" s="21" t="n">
        <x:v>16</x:v>
      </x:c>
      <x:c r="F863" s="21" t="n">
        <x:v>244</x:v>
      </x:c>
      <x:c r="G863" s="21" t="n">
        <x:v>3.9</x:v>
      </x:c>
      <x:c r="H863" s="21" t="n">
        <x:f>E863^2*'Controls'!$B$52</x:f>
        <x:v>1.57824</x:v>
      </x:c>
      <x:c r="I863" s="21" t="n">
        <x:f>F863*G863*H863</x:f>
        <x:v>1501.853184</x:v>
      </x:c>
      <x:c r="J863" s="2" t="str">
        <x:v>Two faces, 200 mm nominal along 24 m net length</x:v>
      </x:c>
      <x:c r="K863" s="2"/>
      <x:c r="L863" s="2"/>
      <x:c r="M863" s="2"/>
      <x:c r="N863" s="2"/>
      <x:c r="O863" s="2"/>
      <x:c r="P863" s="2"/>
      <x:c r="Q863" s="2"/>
    </x:row>
    <x:row r="864" ht="22" customHeight="1">
      <x:c r="A864" s="7" t="str">
        <x:v>T6-L00-CH</x:v>
      </x:c>
      <x:c r="B864" s="7" t="str">
        <x:v>T6</x:v>
      </x:c>
      <x:c r="C864" s="7" t="str">
        <x:v>L00</x:v>
      </x:c>
      <x:c r="D864" s="7" t="str">
        <x:v>Core horizontal bars</x:v>
      </x:c>
      <x:c r="E864" s="20" t="n">
        <x:v>12</x:v>
      </x:c>
      <x:c r="F864" s="20" t="n">
        <x:v>32</x:v>
      </x:c>
      <x:c r="G864" s="20" t="n">
        <x:v>25</x:v>
      </x:c>
      <x:c r="H864" s="20" t="n">
        <x:f>E864^2*'Controls'!$B$52</x:f>
        <x:v>0.8877600000000001</x:v>
      </x:c>
      <x:c r="I864" s="20" t="n">
        <x:f>F864*G864*H864</x:f>
        <x:v>710.2080000000001</x:v>
      </x:c>
      <x:c r="J864" s="7" t="str">
        <x:v>Two faces x 16 layers incl. lap</x:v>
      </x:c>
      <x:c r="K864" s="2"/>
      <x:c r="L864" s="2"/>
      <x:c r="M864" s="2"/>
      <x:c r="N864" s="2"/>
      <x:c r="O864" s="2"/>
      <x:c r="P864" s="2"/>
      <x:c r="Q864" s="2"/>
    </x:row>
    <x:row r="865" ht="22" customHeight="1">
      <x:c r="A865" s="2" t="str">
        <x:v>T6-L00-ST</x:v>
      </x:c>
      <x:c r="B865" s="2" t="str">
        <x:v>T6</x:v>
      </x:c>
      <x:c r="C865" s="2" t="str">
        <x:v>L00</x:v>
      </x:c>
      <x:c r="D865" s="2" t="str">
        <x:v>Stair flights and landings</x:v>
      </x:c>
      <x:c r="E865" s="21" t="n">
        <x:v>12</x:v>
      </x:c>
      <x:c r="F865" s="21" t="n">
        <x:v>80</x:v>
      </x:c>
      <x:c r="G865" s="21" t="n">
        <x:v>4.8</x:v>
      </x:c>
      <x:c r="H865" s="21" t="n">
        <x:f>E865^2*'Controls'!$B$52</x:f>
        <x:v>0.8877600000000001</x:v>
      </x:c>
      <x:c r="I865" s="21" t="n">
        <x:f>F865*G865*H865</x:f>
        <x:v>340.89984000000004</x:v>
      </x:c>
      <x:c r="J865" s="2" t="str">
        <x:v>Separate stair reinforcement allowance</x:v>
      </x:c>
      <x:c r="K865" s="2"/>
      <x:c r="L865" s="2"/>
      <x:c r="M865" s="2"/>
      <x:c r="N865" s="2"/>
      <x:c r="O865" s="2"/>
      <x:c r="P865" s="2"/>
      <x:c r="Q865" s="2"/>
    </x:row>
    <x:row r="866" ht="22" customHeight="1">
      <x:c r="A866" s="7" t="str">
        <x:v>T6-L01-S1</x:v>
      </x:c>
      <x:c r="B866" s="7" t="str">
        <x:v>T6</x:v>
      </x:c>
      <x:c r="C866" s="7" t="str">
        <x:v>L01</x:v>
      </x:c>
      <x:c r="D866" s="7" t="str">
        <x:v>Slab X through strips</x:v>
      </x:c>
      <x:c r="E866" s="20" t="n">
        <x:v>12</x:v>
      </x:c>
      <x:c r="F866" s="20" t="n">
        <x:v>182</x:v>
      </x:c>
      <x:c r="G866" s="20" t="n">
        <x:v>29.95</x:v>
      </x:c>
      <x:c r="H866" s="20" t="n">
        <x:f>E866^2*'Controls'!$B$52</x:f>
        <x:v>0.8877600000000001</x:v>
      </x:c>
      <x:c r="I866" s="20" t="n">
        <x:f>F866*G866*H866</x:f>
        <x:v>4839.090984</x:v>
      </x:c>
      <x:c r="J866" s="7" t="str">
        <x:v>2 layers x 91 bars outside central opening band</x:v>
      </x:c>
      <x:c r="K866" s="2"/>
      <x:c r="L866" s="2"/>
      <x:c r="M866" s="2"/>
      <x:c r="N866" s="2"/>
      <x:c r="O866" s="2"/>
      <x:c r="P866" s="2"/>
      <x:c r="Q866" s="2"/>
    </x:row>
    <x:row r="867" ht="22" customHeight="1">
      <x:c r="A867" s="2" t="str">
        <x:v>T6-L01-S2</x:v>
      </x:c>
      <x:c r="B867" s="2" t="str">
        <x:v>T6</x:v>
      </x:c>
      <x:c r="C867" s="2" t="str">
        <x:v>L01</x:v>
      </x:c>
      <x:c r="D867" s="2" t="str">
        <x:v>Slab X split at core</x:v>
      </x:c>
      <x:c r="E867" s="21" t="n">
        <x:v>12</x:v>
      </x:c>
      <x:c r="F867" s="21" t="n">
        <x:v>60</x:v>
      </x:c>
      <x:c r="G867" s="21" t="n">
        <x:v>25.95</x:v>
      </x:c>
      <x:c r="H867" s="21" t="n">
        <x:f>E867^2*'Controls'!$B$52</x:f>
        <x:v>0.8877600000000001</x:v>
      </x:c>
      <x:c r="I867" s="21" t="n">
        <x:f>F867*G867*H867</x:f>
        <x:v>1382.24232</x:v>
      </x:c>
      <x:c r="J867" s="2" t="str">
        <x:v>2 layers x 30 bars, split lengths combined around 4 m opening</x:v>
      </x:c>
      <x:c r="K867" s="2"/>
      <x:c r="L867" s="2"/>
      <x:c r="M867" s="2"/>
      <x:c r="N867" s="2"/>
      <x:c r="O867" s="2"/>
      <x:c r="P867" s="2"/>
      <x:c r="Q867" s="2"/>
    </x:row>
    <x:row r="868" ht="22" customHeight="1">
      <x:c r="A868" s="7" t="str">
        <x:v>T6-L01-S3</x:v>
      </x:c>
      <x:c r="B868" s="7" t="str">
        <x:v>T6</x:v>
      </x:c>
      <x:c r="C868" s="7" t="str">
        <x:v>L01</x:v>
      </x:c>
      <x:c r="D868" s="7" t="str">
        <x:v>Slab Y through strips</x:v>
      </x:c>
      <x:c r="E868" s="20" t="n">
        <x:v>12</x:v>
      </x:c>
      <x:c r="F868" s="20" t="n">
        <x:v>262</x:v>
      </x:c>
      <x:c r="G868" s="20" t="n">
        <x:v>23.95</x:v>
      </x:c>
      <x:c r="H868" s="20" t="n">
        <x:f>E868^2*'Controls'!$B$52</x:f>
        <x:v>0.8877600000000001</x:v>
      </x:c>
      <x:c r="I868" s="20" t="n">
        <x:f>F868*G868*H868</x:f>
        <x:v>5570.605224</x:v>
      </x:c>
      <x:c r="J868" s="7" t="str">
        <x:v>2 layers x 131 bars outside central opening band</x:v>
      </x:c>
      <x:c r="K868" s="2"/>
      <x:c r="L868" s="2"/>
      <x:c r="M868" s="2"/>
      <x:c r="N868" s="2"/>
      <x:c r="O868" s="2"/>
      <x:c r="P868" s="2"/>
      <x:c r="Q868" s="2"/>
    </x:row>
    <x:row r="869" ht="22" customHeight="1">
      <x:c r="A869" s="2" t="str">
        <x:v>T6-L01-S4</x:v>
      </x:c>
      <x:c r="B869" s="2" t="str">
        <x:v>T6</x:v>
      </x:c>
      <x:c r="C869" s="2" t="str">
        <x:v>L01</x:v>
      </x:c>
      <x:c r="D869" s="2" t="str">
        <x:v>Slab Y split at core</x:v>
      </x:c>
      <x:c r="E869" s="21" t="n">
        <x:v>12</x:v>
      </x:c>
      <x:c r="F869" s="21" t="n">
        <x:v>40</x:v>
      </x:c>
      <x:c r="G869" s="21" t="n">
        <x:v>17.95</x:v>
      </x:c>
      <x:c r="H869" s="21" t="n">
        <x:f>E869^2*'Controls'!$B$52</x:f>
        <x:v>0.8877600000000001</x:v>
      </x:c>
      <x:c r="I869" s="21" t="n">
        <x:f>F869*G869*H869</x:f>
        <x:v>637.41168</x:v>
      </x:c>
      <x:c r="J869" s="2" t="str">
        <x:v>2 layers x 20 bars, split around 6 m opening</x:v>
      </x:c>
      <x:c r="K869" s="2"/>
      <x:c r="L869" s="2"/>
      <x:c r="M869" s="2"/>
      <x:c r="N869" s="2"/>
      <x:c r="O869" s="2"/>
      <x:c r="P869" s="2"/>
      <x:c r="Q869" s="2"/>
    </x:row>
    <x:row r="870" ht="22" customHeight="1">
      <x:c r="A870" s="7" t="str">
        <x:v>T6-L01-S5</x:v>
      </x:c>
      <x:c r="B870" s="7" t="str">
        <x:v>T6</x:v>
      </x:c>
      <x:c r="C870" s="7" t="str">
        <x:v>L01</x:v>
      </x:c>
      <x:c r="D870" s="7" t="str">
        <x:v>Opening trim bars</x:v>
      </x:c>
      <x:c r="E870" s="20" t="n">
        <x:v>16</x:v>
      </x:c>
      <x:c r="F870" s="20" t="n">
        <x:v>16</x:v>
      </x:c>
      <x:c r="G870" s="20" t="n">
        <x:v>7.2</x:v>
      </x:c>
      <x:c r="H870" s="20" t="n">
        <x:f>E870^2*'Controls'!$B$52</x:f>
        <x:v>1.57824</x:v>
      </x:c>
      <x:c r="I870" s="20" t="n">
        <x:f>F870*G870*H870</x:f>
        <x:v>181.81324800000002</x:v>
      </x:c>
      <x:c r="J870" s="7" t="str">
        <x:v>Trim allowance, explicit scheduled lengths</x:v>
      </x:c>
      <x:c r="K870" s="2"/>
      <x:c r="L870" s="2"/>
      <x:c r="M870" s="2"/>
      <x:c r="N870" s="2"/>
      <x:c r="O870" s="2"/>
      <x:c r="P870" s="2"/>
      <x:c r="Q870" s="2"/>
    </x:row>
    <x:row r="871" ht="22" customHeight="1">
      <x:c r="A871" s="2" t="str">
        <x:v>T6-L01-BX</x:v>
      </x:c>
      <x:c r="B871" s="2" t="str">
        <x:v>T6</x:v>
      </x:c>
      <x:c r="C871" s="2" t="str">
        <x:v>L01</x:v>
      </x:c>
      <x:c r="D871" s="2" t="str">
        <x:v>X beam longitudinal</x:v>
      </x:c>
      <x:c r="E871" s="21" t="n">
        <x:v>20</x:v>
      </x:c>
      <x:c r="F871" s="21" t="n">
        <x:v>150</x:v>
      </x:c>
      <x:c r="G871" s="21" t="n">
        <x:v>6.5</x:v>
      </x:c>
      <x:c r="H871" s="21" t="n">
        <x:f>E871^2*'Controls'!$B$52</x:f>
        <x:v>2.466</x:v>
      </x:c>
      <x:c r="I871" s="21" t="n">
        <x:f>F871*G871*H871</x:f>
        <x:v>2404.3500000000004</x:v>
      </x:c>
      <x:c r="J871" s="2" t="str">
        <x:v>25 spans x 6 bars incl. 1 m lap/anchorage provision</x:v>
      </x:c>
      <x:c r="K871" s="2"/>
      <x:c r="L871" s="2"/>
      <x:c r="M871" s="2"/>
      <x:c r="N871" s="2"/>
      <x:c r="O871" s="2"/>
      <x:c r="P871" s="2"/>
      <x:c r="Q871" s="2"/>
    </x:row>
    <x:row r="872" ht="22" customHeight="1">
      <x:c r="A872" s="7" t="str">
        <x:v>T6-L01-BY</x:v>
      </x:c>
      <x:c r="B872" s="7" t="str">
        <x:v>T6</x:v>
      </x:c>
      <x:c r="C872" s="7" t="str">
        <x:v>L01</x:v>
      </x:c>
      <x:c r="D872" s="7" t="str">
        <x:v>Y beam longitudinal</x:v>
      </x:c>
      <x:c r="E872" s="20" t="n">
        <x:v>20</x:v>
      </x:c>
      <x:c r="F872" s="20" t="n">
        <x:v>144</x:v>
      </x:c>
      <x:c r="G872" s="20" t="n">
        <x:v>6.5</x:v>
      </x:c>
      <x:c r="H872" s="20" t="n">
        <x:f>E872^2*'Controls'!$B$52</x:f>
        <x:v>2.466</x:v>
      </x:c>
      <x:c r="I872" s="20" t="n">
        <x:f>F872*G872*H872</x:f>
        <x:v>2308.1760000000004</x:v>
      </x:c>
      <x:c r="J872" s="7" t="str">
        <x:v>24 spans x 6 bars</x:v>
      </x:c>
      <x:c r="K872" s="2"/>
      <x:c r="L872" s="2"/>
      <x:c r="M872" s="2"/>
      <x:c r="N872" s="2"/>
      <x:c r="O872" s="2"/>
      <x:c r="P872" s="2"/>
      <x:c r="Q872" s="2"/>
    </x:row>
    <x:row r="873" ht="22" customHeight="1">
      <x:c r="A873" s="2" t="str">
        <x:v>T6-L01-BT</x:v>
      </x:c>
      <x:c r="B873" s="2" t="str">
        <x:v>T6</x:v>
      </x:c>
      <x:c r="C873" s="2" t="str">
        <x:v>L01</x:v>
      </x:c>
      <x:c r="D873" s="2" t="str">
        <x:v>Beam closed links</x:v>
      </x:c>
      <x:c r="E873" s="21" t="n">
        <x:v>10</x:v>
      </x:c>
      <x:c r="F873" s="21" t="n">
        <x:v>1421</x:v>
      </x:c>
      <x:c r="G873" s="21" t="n">
        <x:v>1.7</x:v>
      </x:c>
      <x:c r="H873" s="21" t="n">
        <x:f>E873^2*'Controls'!$B$52</x:f>
        <x:v>0.6165</x:v>
      </x:c>
      <x:c r="I873" s="21" t="n">
        <x:f>F873*G873*H873</x:f>
        <x:v>1489.27905</x:v>
      </x:c>
      <x:c r="J873" s="2" t="str">
        <x:v>49 beams x 29 links, 200 mm nominal</x:v>
      </x:c>
      <x:c r="K873" s="2"/>
      <x:c r="L873" s="2"/>
      <x:c r="M873" s="2"/>
      <x:c r="N873" s="2"/>
      <x:c r="O873" s="2"/>
      <x:c r="P873" s="2"/>
      <x:c r="Q873" s="2"/>
    </x:row>
    <x:row r="874" ht="22" customHeight="1">
      <x:c r="A874" s="7" t="str">
        <x:v>T6-L01-CL</x:v>
      </x:c>
      <x:c r="B874" s="7" t="str">
        <x:v>T6</x:v>
      </x:c>
      <x:c r="C874" s="7" t="str">
        <x:v>L01</x:v>
      </x:c>
      <x:c r="D874" s="7" t="str">
        <x:v>Column longitudinal</x:v>
      </x:c>
      <x:c r="E874" s="20" t="n">
        <x:v>25</x:v>
      </x:c>
      <x:c r="F874" s="20" t="n">
        <x:v>360</x:v>
      </x:c>
      <x:c r="G874" s="20" t="n">
        <x:v>3.9</x:v>
      </x:c>
      <x:c r="H874" s="20" t="n">
        <x:f>E874^2*'Controls'!$B$52</x:f>
        <x:v>3.8531250000000004</x:v>
      </x:c>
      <x:c r="I874" s="20" t="n">
        <x:f>F874*G874*H874</x:f>
        <x:v>5409.7875</x:v>
      </x:c>
      <x:c r="J874" s="7" t="str">
        <x:v>30 columns x 12 bars incl. lap</x:v>
      </x:c>
      <x:c r="K874" s="2"/>
      <x:c r="L874" s="2"/>
      <x:c r="M874" s="2"/>
      <x:c r="N874" s="2"/>
      <x:c r="O874" s="2"/>
      <x:c r="P874" s="2"/>
      <x:c r="Q874" s="2"/>
    </x:row>
    <x:row r="875" ht="22" customHeight="1">
      <x:c r="A875" s="2" t="str">
        <x:v>T6-L01-CT</x:v>
      </x:c>
      <x:c r="B875" s="2" t="str">
        <x:v>T6</x:v>
      </x:c>
      <x:c r="C875" s="2" t="str">
        <x:v>L01</x:v>
      </x:c>
      <x:c r="D875" s="2" t="str">
        <x:v>Column ties</x:v>
      </x:c>
      <x:c r="E875" s="21" t="n">
        <x:v>10</x:v>
      </x:c>
      <x:c r="F875" s="21" t="n">
        <x:v>510</x:v>
      </x:c>
      <x:c r="G875" s="21" t="n">
        <x:v>1.96</x:v>
      </x:c>
      <x:c r="H875" s="21" t="n">
        <x:f>E875^2*'Controls'!$B$52</x:f>
        <x:v>0.6165</x:v>
      </x:c>
      <x:c r="I875" s="21" t="n">
        <x:f>F875*G875*H875</x:f>
        <x:v>616.2534</x:v>
      </x:c>
      <x:c r="J875" s="2" t="str">
        <x:v>30 columns x 17 ties, cover and hooks included</x:v>
      </x:c>
      <x:c r="K875" s="2"/>
      <x:c r="L875" s="2"/>
      <x:c r="M875" s="2"/>
      <x:c r="N875" s="2"/>
      <x:c r="O875" s="2"/>
      <x:c r="P875" s="2"/>
      <x:c r="Q875" s="2"/>
    </x:row>
    <x:row r="876" ht="22" customHeight="1">
      <x:c r="A876" s="7" t="str">
        <x:v>T6-L01-CV</x:v>
      </x:c>
      <x:c r="B876" s="7" t="str">
        <x:v>T6</x:v>
      </x:c>
      <x:c r="C876" s="7" t="str">
        <x:v>L01</x:v>
      </x:c>
      <x:c r="D876" s="7" t="str">
        <x:v>Core vertical bars</x:v>
      </x:c>
      <x:c r="E876" s="20" t="n">
        <x:v>16</x:v>
      </x:c>
      <x:c r="F876" s="20" t="n">
        <x:v>244</x:v>
      </x:c>
      <x:c r="G876" s="20" t="n">
        <x:v>3.9</x:v>
      </x:c>
      <x:c r="H876" s="20" t="n">
        <x:f>E876^2*'Controls'!$B$52</x:f>
        <x:v>1.57824</x:v>
      </x:c>
      <x:c r="I876" s="20" t="n">
        <x:f>F876*G876*H876</x:f>
        <x:v>1501.853184</x:v>
      </x:c>
      <x:c r="J876" s="7" t="str">
        <x:v>Two faces, 200 mm nominal along 24 m net length</x:v>
      </x:c>
      <x:c r="K876" s="2"/>
      <x:c r="L876" s="2"/>
      <x:c r="M876" s="2"/>
      <x:c r="N876" s="2"/>
      <x:c r="O876" s="2"/>
      <x:c r="P876" s="2"/>
      <x:c r="Q876" s="2"/>
    </x:row>
    <x:row r="877" ht="22" customHeight="1">
      <x:c r="A877" s="2" t="str">
        <x:v>T6-L01-CH</x:v>
      </x:c>
      <x:c r="B877" s="2" t="str">
        <x:v>T6</x:v>
      </x:c>
      <x:c r="C877" s="2" t="str">
        <x:v>L01</x:v>
      </x:c>
      <x:c r="D877" s="2" t="str">
        <x:v>Core horizontal bars</x:v>
      </x:c>
      <x:c r="E877" s="21" t="n">
        <x:v>12</x:v>
      </x:c>
      <x:c r="F877" s="21" t="n">
        <x:v>32</x:v>
      </x:c>
      <x:c r="G877" s="21" t="n">
        <x:v>25</x:v>
      </x:c>
      <x:c r="H877" s="21" t="n">
        <x:f>E877^2*'Controls'!$B$52</x:f>
        <x:v>0.8877600000000001</x:v>
      </x:c>
      <x:c r="I877" s="21" t="n">
        <x:f>F877*G877*H877</x:f>
        <x:v>710.2080000000001</x:v>
      </x:c>
      <x:c r="J877" s="2" t="str">
        <x:v>Two faces x 16 layers incl. lap</x:v>
      </x:c>
      <x:c r="K877" s="2"/>
      <x:c r="L877" s="2"/>
      <x:c r="M877" s="2"/>
      <x:c r="N877" s="2"/>
      <x:c r="O877" s="2"/>
      <x:c r="P877" s="2"/>
      <x:c r="Q877" s="2"/>
    </x:row>
    <x:row r="878" ht="22" customHeight="1">
      <x:c r="A878" s="7" t="str">
        <x:v>T6-L01-ST</x:v>
      </x:c>
      <x:c r="B878" s="7" t="str">
        <x:v>T6</x:v>
      </x:c>
      <x:c r="C878" s="7" t="str">
        <x:v>L01</x:v>
      </x:c>
      <x:c r="D878" s="7" t="str">
        <x:v>Stair flights and landings</x:v>
      </x:c>
      <x:c r="E878" s="20" t="n">
        <x:v>12</x:v>
      </x:c>
      <x:c r="F878" s="20" t="n">
        <x:v>80</x:v>
      </x:c>
      <x:c r="G878" s="20" t="n">
        <x:v>4.8</x:v>
      </x:c>
      <x:c r="H878" s="20" t="n">
        <x:f>E878^2*'Controls'!$B$52</x:f>
        <x:v>0.8877600000000001</x:v>
      </x:c>
      <x:c r="I878" s="20" t="n">
        <x:f>F878*G878*H878</x:f>
        <x:v>340.89984000000004</x:v>
      </x:c>
      <x:c r="J878" s="7" t="str">
        <x:v>Separate stair reinforcement allowance</x:v>
      </x:c>
      <x:c r="K878" s="2"/>
      <x:c r="L878" s="2"/>
      <x:c r="M878" s="2"/>
      <x:c r="N878" s="2"/>
      <x:c r="O878" s="2"/>
      <x:c r="P878" s="2"/>
      <x:c r="Q878" s="2"/>
    </x:row>
    <x:row r="879" ht="22" customHeight="1">
      <x:c r="A879" s="2" t="str">
        <x:v>T6-L02-S1</x:v>
      </x:c>
      <x:c r="B879" s="2" t="str">
        <x:v>T6</x:v>
      </x:c>
      <x:c r="C879" s="2" t="str">
        <x:v>L02</x:v>
      </x:c>
      <x:c r="D879" s="2" t="str">
        <x:v>Slab X through strips</x:v>
      </x:c>
      <x:c r="E879" s="21" t="n">
        <x:v>12</x:v>
      </x:c>
      <x:c r="F879" s="21" t="n">
        <x:v>182</x:v>
      </x:c>
      <x:c r="G879" s="21" t="n">
        <x:v>29.95</x:v>
      </x:c>
      <x:c r="H879" s="21" t="n">
        <x:f>E879^2*'Controls'!$B$52</x:f>
        <x:v>0.8877600000000001</x:v>
      </x:c>
      <x:c r="I879" s="21" t="n">
        <x:f>F879*G879*H879</x:f>
        <x:v>4839.090984</x:v>
      </x:c>
      <x:c r="J879" s="2" t="str">
        <x:v>2 layers x 91 bars outside central opening band</x:v>
      </x:c>
      <x:c r="K879" s="2"/>
      <x:c r="L879" s="2"/>
      <x:c r="M879" s="2"/>
      <x:c r="N879" s="2"/>
      <x:c r="O879" s="2"/>
      <x:c r="P879" s="2"/>
      <x:c r="Q879" s="2"/>
    </x:row>
    <x:row r="880" ht="22" customHeight="1">
      <x:c r="A880" s="7" t="str">
        <x:v>T6-L02-S2</x:v>
      </x:c>
      <x:c r="B880" s="7" t="str">
        <x:v>T6</x:v>
      </x:c>
      <x:c r="C880" s="7" t="str">
        <x:v>L02</x:v>
      </x:c>
      <x:c r="D880" s="7" t="str">
        <x:v>Slab X split at core</x:v>
      </x:c>
      <x:c r="E880" s="20" t="n">
        <x:v>12</x:v>
      </x:c>
      <x:c r="F880" s="20" t="n">
        <x:v>60</x:v>
      </x:c>
      <x:c r="G880" s="20" t="n">
        <x:v>25.95</x:v>
      </x:c>
      <x:c r="H880" s="20" t="n">
        <x:f>E880^2*'Controls'!$B$52</x:f>
        <x:v>0.8877600000000001</x:v>
      </x:c>
      <x:c r="I880" s="20" t="n">
        <x:f>F880*G880*H880</x:f>
        <x:v>1382.24232</x:v>
      </x:c>
      <x:c r="J880" s="7" t="str">
        <x:v>2 layers x 30 bars, split lengths combined around 4 m opening</x:v>
      </x:c>
      <x:c r="K880" s="2"/>
      <x:c r="L880" s="2"/>
      <x:c r="M880" s="2"/>
      <x:c r="N880" s="2"/>
      <x:c r="O880" s="2"/>
      <x:c r="P880" s="2"/>
      <x:c r="Q880" s="2"/>
    </x:row>
    <x:row r="881" ht="22" customHeight="1">
      <x:c r="A881" s="2" t="str">
        <x:v>T6-L02-S3</x:v>
      </x:c>
      <x:c r="B881" s="2" t="str">
        <x:v>T6</x:v>
      </x:c>
      <x:c r="C881" s="2" t="str">
        <x:v>L02</x:v>
      </x:c>
      <x:c r="D881" s="2" t="str">
        <x:v>Slab Y through strips</x:v>
      </x:c>
      <x:c r="E881" s="21" t="n">
        <x:v>12</x:v>
      </x:c>
      <x:c r="F881" s="21" t="n">
        <x:v>262</x:v>
      </x:c>
      <x:c r="G881" s="21" t="n">
        <x:v>23.95</x:v>
      </x:c>
      <x:c r="H881" s="21" t="n">
        <x:f>E881^2*'Controls'!$B$52</x:f>
        <x:v>0.8877600000000001</x:v>
      </x:c>
      <x:c r="I881" s="21" t="n">
        <x:f>F881*G881*H881</x:f>
        <x:v>5570.605224</x:v>
      </x:c>
      <x:c r="J881" s="2" t="str">
        <x:v>2 layers x 131 bars outside central opening band</x:v>
      </x:c>
      <x:c r="K881" s="2"/>
      <x:c r="L881" s="2"/>
      <x:c r="M881" s="2"/>
      <x:c r="N881" s="2"/>
      <x:c r="O881" s="2"/>
      <x:c r="P881" s="2"/>
      <x:c r="Q881" s="2"/>
    </x:row>
    <x:row r="882" ht="22" customHeight="1">
      <x:c r="A882" s="7" t="str">
        <x:v>T6-L02-S4</x:v>
      </x:c>
      <x:c r="B882" s="7" t="str">
        <x:v>T6</x:v>
      </x:c>
      <x:c r="C882" s="7" t="str">
        <x:v>L02</x:v>
      </x:c>
      <x:c r="D882" s="7" t="str">
        <x:v>Slab Y split at core</x:v>
      </x:c>
      <x:c r="E882" s="20" t="n">
        <x:v>12</x:v>
      </x:c>
      <x:c r="F882" s="20" t="n">
        <x:v>40</x:v>
      </x:c>
      <x:c r="G882" s="20" t="n">
        <x:v>17.95</x:v>
      </x:c>
      <x:c r="H882" s="20" t="n">
        <x:f>E882^2*'Controls'!$B$52</x:f>
        <x:v>0.8877600000000001</x:v>
      </x:c>
      <x:c r="I882" s="20" t="n">
        <x:f>F882*G882*H882</x:f>
        <x:v>637.41168</x:v>
      </x:c>
      <x:c r="J882" s="7" t="str">
        <x:v>2 layers x 20 bars, split around 6 m opening</x:v>
      </x:c>
      <x:c r="K882" s="2"/>
      <x:c r="L882" s="2"/>
      <x:c r="M882" s="2"/>
      <x:c r="N882" s="2"/>
      <x:c r="O882" s="2"/>
      <x:c r="P882" s="2"/>
      <x:c r="Q882" s="2"/>
    </x:row>
    <x:row r="883" ht="22" customHeight="1">
      <x:c r="A883" s="2" t="str">
        <x:v>T6-L02-S5</x:v>
      </x:c>
      <x:c r="B883" s="2" t="str">
        <x:v>T6</x:v>
      </x:c>
      <x:c r="C883" s="2" t="str">
        <x:v>L02</x:v>
      </x:c>
      <x:c r="D883" s="2" t="str">
        <x:v>Opening trim bars</x:v>
      </x:c>
      <x:c r="E883" s="21" t="n">
        <x:v>16</x:v>
      </x:c>
      <x:c r="F883" s="21" t="n">
        <x:v>16</x:v>
      </x:c>
      <x:c r="G883" s="21" t="n">
        <x:v>7.2</x:v>
      </x:c>
      <x:c r="H883" s="21" t="n">
        <x:f>E883^2*'Controls'!$B$52</x:f>
        <x:v>1.57824</x:v>
      </x:c>
      <x:c r="I883" s="21" t="n">
        <x:f>F883*G883*H883</x:f>
        <x:v>181.81324800000002</x:v>
      </x:c>
      <x:c r="J883" s="2" t="str">
        <x:v>Trim allowance, explicit scheduled lengths</x:v>
      </x:c>
      <x:c r="K883" s="2"/>
      <x:c r="L883" s="2"/>
      <x:c r="M883" s="2"/>
      <x:c r="N883" s="2"/>
      <x:c r="O883" s="2"/>
      <x:c r="P883" s="2"/>
      <x:c r="Q883" s="2"/>
    </x:row>
    <x:row r="884" ht="22" customHeight="1">
      <x:c r="A884" s="7" t="str">
        <x:v>T6-L02-BX</x:v>
      </x:c>
      <x:c r="B884" s="7" t="str">
        <x:v>T6</x:v>
      </x:c>
      <x:c r="C884" s="7" t="str">
        <x:v>L02</x:v>
      </x:c>
      <x:c r="D884" s="7" t="str">
        <x:v>X beam longitudinal</x:v>
      </x:c>
      <x:c r="E884" s="20" t="n">
        <x:v>20</x:v>
      </x:c>
      <x:c r="F884" s="20" t="n">
        <x:v>150</x:v>
      </x:c>
      <x:c r="G884" s="20" t="n">
        <x:v>6.5</x:v>
      </x:c>
      <x:c r="H884" s="20" t="n">
        <x:f>E884^2*'Controls'!$B$52</x:f>
        <x:v>2.466</x:v>
      </x:c>
      <x:c r="I884" s="20" t="n">
        <x:f>F884*G884*H884</x:f>
        <x:v>2404.3500000000004</x:v>
      </x:c>
      <x:c r="J884" s="7" t="str">
        <x:v>25 spans x 6 bars incl. 1 m lap/anchorage provision</x:v>
      </x:c>
      <x:c r="K884" s="2"/>
      <x:c r="L884" s="2"/>
      <x:c r="M884" s="2"/>
      <x:c r="N884" s="2"/>
      <x:c r="O884" s="2"/>
      <x:c r="P884" s="2"/>
      <x:c r="Q884" s="2"/>
    </x:row>
    <x:row r="885" ht="22" customHeight="1">
      <x:c r="A885" s="2" t="str">
        <x:v>T6-L02-BY</x:v>
      </x:c>
      <x:c r="B885" s="2" t="str">
        <x:v>T6</x:v>
      </x:c>
      <x:c r="C885" s="2" t="str">
        <x:v>L02</x:v>
      </x:c>
      <x:c r="D885" s="2" t="str">
        <x:v>Y beam longitudinal</x:v>
      </x:c>
      <x:c r="E885" s="21" t="n">
        <x:v>20</x:v>
      </x:c>
      <x:c r="F885" s="21" t="n">
        <x:v>144</x:v>
      </x:c>
      <x:c r="G885" s="21" t="n">
        <x:v>6.5</x:v>
      </x:c>
      <x:c r="H885" s="21" t="n">
        <x:f>E885^2*'Controls'!$B$52</x:f>
        <x:v>2.466</x:v>
      </x:c>
      <x:c r="I885" s="21" t="n">
        <x:f>F885*G885*H885</x:f>
        <x:v>2308.1760000000004</x:v>
      </x:c>
      <x:c r="J885" s="2" t="str">
        <x:v>24 spans x 6 bars</x:v>
      </x:c>
      <x:c r="K885" s="2"/>
      <x:c r="L885" s="2"/>
      <x:c r="M885" s="2"/>
      <x:c r="N885" s="2"/>
      <x:c r="O885" s="2"/>
      <x:c r="P885" s="2"/>
      <x:c r="Q885" s="2"/>
    </x:row>
    <x:row r="886" ht="22" customHeight="1">
      <x:c r="A886" s="7" t="str">
        <x:v>T6-L02-BT</x:v>
      </x:c>
      <x:c r="B886" s="7" t="str">
        <x:v>T6</x:v>
      </x:c>
      <x:c r="C886" s="7" t="str">
        <x:v>L02</x:v>
      </x:c>
      <x:c r="D886" s="7" t="str">
        <x:v>Beam closed links</x:v>
      </x:c>
      <x:c r="E886" s="20" t="n">
        <x:v>10</x:v>
      </x:c>
      <x:c r="F886" s="20" t="n">
        <x:v>1421</x:v>
      </x:c>
      <x:c r="G886" s="20" t="n">
        <x:v>1.7</x:v>
      </x:c>
      <x:c r="H886" s="20" t="n">
        <x:f>E886^2*'Controls'!$B$52</x:f>
        <x:v>0.6165</x:v>
      </x:c>
      <x:c r="I886" s="20" t="n">
        <x:f>F886*G886*H886</x:f>
        <x:v>1489.27905</x:v>
      </x:c>
      <x:c r="J886" s="7" t="str">
        <x:v>49 beams x 29 links, 200 mm nominal</x:v>
      </x:c>
      <x:c r="K886" s="2"/>
      <x:c r="L886" s="2"/>
      <x:c r="M886" s="2"/>
      <x:c r="N886" s="2"/>
      <x:c r="O886" s="2"/>
      <x:c r="P886" s="2"/>
      <x:c r="Q886" s="2"/>
    </x:row>
    <x:row r="887" ht="22" customHeight="1">
      <x:c r="A887" s="2" t="str">
        <x:v>T6-L02-CL</x:v>
      </x:c>
      <x:c r="B887" s="2" t="str">
        <x:v>T6</x:v>
      </x:c>
      <x:c r="C887" s="2" t="str">
        <x:v>L02</x:v>
      </x:c>
      <x:c r="D887" s="2" t="str">
        <x:v>Column longitudinal</x:v>
      </x:c>
      <x:c r="E887" s="21" t="n">
        <x:v>25</x:v>
      </x:c>
      <x:c r="F887" s="21" t="n">
        <x:v>360</x:v>
      </x:c>
      <x:c r="G887" s="21" t="n">
        <x:v>3.9</x:v>
      </x:c>
      <x:c r="H887" s="21" t="n">
        <x:f>E887^2*'Controls'!$B$52</x:f>
        <x:v>3.8531250000000004</x:v>
      </x:c>
      <x:c r="I887" s="21" t="n">
        <x:f>F887*G887*H887</x:f>
        <x:v>5409.7875</x:v>
      </x:c>
      <x:c r="J887" s="2" t="str">
        <x:v>30 columns x 12 bars incl. lap</x:v>
      </x:c>
      <x:c r="K887" s="2"/>
      <x:c r="L887" s="2"/>
      <x:c r="M887" s="2"/>
      <x:c r="N887" s="2"/>
      <x:c r="O887" s="2"/>
      <x:c r="P887" s="2"/>
      <x:c r="Q887" s="2"/>
    </x:row>
    <x:row r="888" ht="22" customHeight="1">
      <x:c r="A888" s="7" t="str">
        <x:v>T6-L02-CT</x:v>
      </x:c>
      <x:c r="B888" s="7" t="str">
        <x:v>T6</x:v>
      </x:c>
      <x:c r="C888" s="7" t="str">
        <x:v>L02</x:v>
      </x:c>
      <x:c r="D888" s="7" t="str">
        <x:v>Column ties</x:v>
      </x:c>
      <x:c r="E888" s="20" t="n">
        <x:v>10</x:v>
      </x:c>
      <x:c r="F888" s="20" t="n">
        <x:v>510</x:v>
      </x:c>
      <x:c r="G888" s="20" t="n">
        <x:v>1.96</x:v>
      </x:c>
      <x:c r="H888" s="20" t="n">
        <x:f>E888^2*'Controls'!$B$52</x:f>
        <x:v>0.6165</x:v>
      </x:c>
      <x:c r="I888" s="20" t="n">
        <x:f>F888*G888*H888</x:f>
        <x:v>616.2534</x:v>
      </x:c>
      <x:c r="J888" s="7" t="str">
        <x:v>30 columns x 17 ties, cover and hooks included</x:v>
      </x:c>
      <x:c r="K888" s="2"/>
      <x:c r="L888" s="2"/>
      <x:c r="M888" s="2"/>
      <x:c r="N888" s="2"/>
      <x:c r="O888" s="2"/>
      <x:c r="P888" s="2"/>
      <x:c r="Q888" s="2"/>
    </x:row>
    <x:row r="889" ht="22" customHeight="1">
      <x:c r="A889" s="2" t="str">
        <x:v>T6-L02-CV</x:v>
      </x:c>
      <x:c r="B889" s="2" t="str">
        <x:v>T6</x:v>
      </x:c>
      <x:c r="C889" s="2" t="str">
        <x:v>L02</x:v>
      </x:c>
      <x:c r="D889" s="2" t="str">
        <x:v>Core vertical bars</x:v>
      </x:c>
      <x:c r="E889" s="21" t="n">
        <x:v>16</x:v>
      </x:c>
      <x:c r="F889" s="21" t="n">
        <x:v>244</x:v>
      </x:c>
      <x:c r="G889" s="21" t="n">
        <x:v>3.9</x:v>
      </x:c>
      <x:c r="H889" s="21" t="n">
        <x:f>E889^2*'Controls'!$B$52</x:f>
        <x:v>1.57824</x:v>
      </x:c>
      <x:c r="I889" s="21" t="n">
        <x:f>F889*G889*H889</x:f>
        <x:v>1501.853184</x:v>
      </x:c>
      <x:c r="J889" s="2" t="str">
        <x:v>Two faces, 200 mm nominal along 24 m net length</x:v>
      </x:c>
      <x:c r="K889" s="2"/>
      <x:c r="L889" s="2"/>
      <x:c r="M889" s="2"/>
      <x:c r="N889" s="2"/>
      <x:c r="O889" s="2"/>
      <x:c r="P889" s="2"/>
      <x:c r="Q889" s="2"/>
    </x:row>
    <x:row r="890" ht="22" customHeight="1">
      <x:c r="A890" s="7" t="str">
        <x:v>T6-L02-CH</x:v>
      </x:c>
      <x:c r="B890" s="7" t="str">
        <x:v>T6</x:v>
      </x:c>
      <x:c r="C890" s="7" t="str">
        <x:v>L02</x:v>
      </x:c>
      <x:c r="D890" s="7" t="str">
        <x:v>Core horizontal bars</x:v>
      </x:c>
      <x:c r="E890" s="20" t="n">
        <x:v>12</x:v>
      </x:c>
      <x:c r="F890" s="20" t="n">
        <x:v>32</x:v>
      </x:c>
      <x:c r="G890" s="20" t="n">
        <x:v>25</x:v>
      </x:c>
      <x:c r="H890" s="20" t="n">
        <x:f>E890^2*'Controls'!$B$52</x:f>
        <x:v>0.8877600000000001</x:v>
      </x:c>
      <x:c r="I890" s="20" t="n">
        <x:f>F890*G890*H890</x:f>
        <x:v>710.2080000000001</x:v>
      </x:c>
      <x:c r="J890" s="7" t="str">
        <x:v>Two faces x 16 layers incl. lap</x:v>
      </x:c>
      <x:c r="K890" s="2"/>
      <x:c r="L890" s="2"/>
      <x:c r="M890" s="2"/>
      <x:c r="N890" s="2"/>
      <x:c r="O890" s="2"/>
      <x:c r="P890" s="2"/>
      <x:c r="Q890" s="2"/>
    </x:row>
    <x:row r="891" ht="22" customHeight="1">
      <x:c r="A891" s="2" t="str">
        <x:v>T6-L02-ST</x:v>
      </x:c>
      <x:c r="B891" s="2" t="str">
        <x:v>T6</x:v>
      </x:c>
      <x:c r="C891" s="2" t="str">
        <x:v>L02</x:v>
      </x:c>
      <x:c r="D891" s="2" t="str">
        <x:v>Stair flights and landings</x:v>
      </x:c>
      <x:c r="E891" s="21" t="n">
        <x:v>12</x:v>
      </x:c>
      <x:c r="F891" s="21" t="n">
        <x:v>80</x:v>
      </x:c>
      <x:c r="G891" s="21" t="n">
        <x:v>4.8</x:v>
      </x:c>
      <x:c r="H891" s="21" t="n">
        <x:f>E891^2*'Controls'!$B$52</x:f>
        <x:v>0.8877600000000001</x:v>
      </x:c>
      <x:c r="I891" s="21" t="n">
        <x:f>F891*G891*H891</x:f>
        <x:v>340.89984000000004</x:v>
      </x:c>
      <x:c r="J891" s="2" t="str">
        <x:v>Separate stair reinforcement allowance</x:v>
      </x:c>
      <x:c r="K891" s="2"/>
      <x:c r="L891" s="2"/>
      <x:c r="M891" s="2"/>
      <x:c r="N891" s="2"/>
      <x:c r="O891" s="2"/>
      <x:c r="P891" s="2"/>
      <x:c r="Q891" s="2"/>
    </x:row>
    <x:row r="892" ht="22" customHeight="1">
      <x:c r="A892" s="7" t="str">
        <x:v>T6-L03-S1</x:v>
      </x:c>
      <x:c r="B892" s="7" t="str">
        <x:v>T6</x:v>
      </x:c>
      <x:c r="C892" s="7" t="str">
        <x:v>L03</x:v>
      </x:c>
      <x:c r="D892" s="7" t="str">
        <x:v>Slab X through strips</x:v>
      </x:c>
      <x:c r="E892" s="20" t="n">
        <x:v>12</x:v>
      </x:c>
      <x:c r="F892" s="20" t="n">
        <x:v>182</x:v>
      </x:c>
      <x:c r="G892" s="20" t="n">
        <x:v>29.95</x:v>
      </x:c>
      <x:c r="H892" s="20" t="n">
        <x:f>E892^2*'Controls'!$B$52</x:f>
        <x:v>0.8877600000000001</x:v>
      </x:c>
      <x:c r="I892" s="20" t="n">
        <x:f>F892*G892*H892</x:f>
        <x:v>4839.090984</x:v>
      </x:c>
      <x:c r="J892" s="7" t="str">
        <x:v>2 layers x 91 bars outside central opening band</x:v>
      </x:c>
      <x:c r="K892" s="2"/>
      <x:c r="L892" s="2"/>
      <x:c r="M892" s="2"/>
      <x:c r="N892" s="2"/>
      <x:c r="O892" s="2"/>
      <x:c r="P892" s="2"/>
      <x:c r="Q892" s="2"/>
    </x:row>
    <x:row r="893" ht="22" customHeight="1">
      <x:c r="A893" s="2" t="str">
        <x:v>T6-L03-S2</x:v>
      </x:c>
      <x:c r="B893" s="2" t="str">
        <x:v>T6</x:v>
      </x:c>
      <x:c r="C893" s="2" t="str">
        <x:v>L03</x:v>
      </x:c>
      <x:c r="D893" s="2" t="str">
        <x:v>Slab X split at core</x:v>
      </x:c>
      <x:c r="E893" s="21" t="n">
        <x:v>12</x:v>
      </x:c>
      <x:c r="F893" s="21" t="n">
        <x:v>60</x:v>
      </x:c>
      <x:c r="G893" s="21" t="n">
        <x:v>25.95</x:v>
      </x:c>
      <x:c r="H893" s="21" t="n">
        <x:f>E893^2*'Controls'!$B$52</x:f>
        <x:v>0.8877600000000001</x:v>
      </x:c>
      <x:c r="I893" s="21" t="n">
        <x:f>F893*G893*H893</x:f>
        <x:v>1382.24232</x:v>
      </x:c>
      <x:c r="J893" s="2" t="str">
        <x:v>2 layers x 30 bars, split lengths combined around 4 m opening</x:v>
      </x:c>
      <x:c r="K893" s="2"/>
      <x:c r="L893" s="2"/>
      <x:c r="M893" s="2"/>
      <x:c r="N893" s="2"/>
      <x:c r="O893" s="2"/>
      <x:c r="P893" s="2"/>
      <x:c r="Q893" s="2"/>
    </x:row>
    <x:row r="894" ht="22" customHeight="1">
      <x:c r="A894" s="7" t="str">
        <x:v>T6-L03-S3</x:v>
      </x:c>
      <x:c r="B894" s="7" t="str">
        <x:v>T6</x:v>
      </x:c>
      <x:c r="C894" s="7" t="str">
        <x:v>L03</x:v>
      </x:c>
      <x:c r="D894" s="7" t="str">
        <x:v>Slab Y through strips</x:v>
      </x:c>
      <x:c r="E894" s="20" t="n">
        <x:v>12</x:v>
      </x:c>
      <x:c r="F894" s="20" t="n">
        <x:v>262</x:v>
      </x:c>
      <x:c r="G894" s="20" t="n">
        <x:v>23.95</x:v>
      </x:c>
      <x:c r="H894" s="20" t="n">
        <x:f>E894^2*'Controls'!$B$52</x:f>
        <x:v>0.8877600000000001</x:v>
      </x:c>
      <x:c r="I894" s="20" t="n">
        <x:f>F894*G894*H894</x:f>
        <x:v>5570.605224</x:v>
      </x:c>
      <x:c r="J894" s="7" t="str">
        <x:v>2 layers x 131 bars outside central opening band</x:v>
      </x:c>
      <x:c r="K894" s="2"/>
      <x:c r="L894" s="2"/>
      <x:c r="M894" s="2"/>
      <x:c r="N894" s="2"/>
      <x:c r="O894" s="2"/>
      <x:c r="P894" s="2"/>
      <x:c r="Q894" s="2"/>
    </x:row>
    <x:row r="895" ht="22" customHeight="1">
      <x:c r="A895" s="2" t="str">
        <x:v>T6-L03-S4</x:v>
      </x:c>
      <x:c r="B895" s="2" t="str">
        <x:v>T6</x:v>
      </x:c>
      <x:c r="C895" s="2" t="str">
        <x:v>L03</x:v>
      </x:c>
      <x:c r="D895" s="2" t="str">
        <x:v>Slab Y split at core</x:v>
      </x:c>
      <x:c r="E895" s="21" t="n">
        <x:v>12</x:v>
      </x:c>
      <x:c r="F895" s="21" t="n">
        <x:v>40</x:v>
      </x:c>
      <x:c r="G895" s="21" t="n">
        <x:v>17.95</x:v>
      </x:c>
      <x:c r="H895" s="21" t="n">
        <x:f>E895^2*'Controls'!$B$52</x:f>
        <x:v>0.8877600000000001</x:v>
      </x:c>
      <x:c r="I895" s="21" t="n">
        <x:f>F895*G895*H895</x:f>
        <x:v>637.41168</x:v>
      </x:c>
      <x:c r="J895" s="2" t="str">
        <x:v>2 layers x 20 bars, split around 6 m opening</x:v>
      </x:c>
      <x:c r="K895" s="2"/>
      <x:c r="L895" s="2"/>
      <x:c r="M895" s="2"/>
      <x:c r="N895" s="2"/>
      <x:c r="O895" s="2"/>
      <x:c r="P895" s="2"/>
      <x:c r="Q895" s="2"/>
    </x:row>
    <x:row r="896" ht="22" customHeight="1">
      <x:c r="A896" s="7" t="str">
        <x:v>T6-L03-S5</x:v>
      </x:c>
      <x:c r="B896" s="7" t="str">
        <x:v>T6</x:v>
      </x:c>
      <x:c r="C896" s="7" t="str">
        <x:v>L03</x:v>
      </x:c>
      <x:c r="D896" s="7" t="str">
        <x:v>Opening trim bars</x:v>
      </x:c>
      <x:c r="E896" s="20" t="n">
        <x:v>16</x:v>
      </x:c>
      <x:c r="F896" s="20" t="n">
        <x:v>16</x:v>
      </x:c>
      <x:c r="G896" s="20" t="n">
        <x:v>7.2</x:v>
      </x:c>
      <x:c r="H896" s="20" t="n">
        <x:f>E896^2*'Controls'!$B$52</x:f>
        <x:v>1.57824</x:v>
      </x:c>
      <x:c r="I896" s="20" t="n">
        <x:f>F896*G896*H896</x:f>
        <x:v>181.81324800000002</x:v>
      </x:c>
      <x:c r="J896" s="7" t="str">
        <x:v>Trim allowance, explicit scheduled lengths</x:v>
      </x:c>
      <x:c r="K896" s="2"/>
      <x:c r="L896" s="2"/>
      <x:c r="M896" s="2"/>
      <x:c r="N896" s="2"/>
      <x:c r="O896" s="2"/>
      <x:c r="P896" s="2"/>
      <x:c r="Q896" s="2"/>
    </x:row>
    <x:row r="897" ht="22" customHeight="1">
      <x:c r="A897" s="2" t="str">
        <x:v>T6-L03-BX</x:v>
      </x:c>
      <x:c r="B897" s="2" t="str">
        <x:v>T6</x:v>
      </x:c>
      <x:c r="C897" s="2" t="str">
        <x:v>L03</x:v>
      </x:c>
      <x:c r="D897" s="2" t="str">
        <x:v>X beam longitudinal</x:v>
      </x:c>
      <x:c r="E897" s="21" t="n">
        <x:v>20</x:v>
      </x:c>
      <x:c r="F897" s="21" t="n">
        <x:v>150</x:v>
      </x:c>
      <x:c r="G897" s="21" t="n">
        <x:v>6.5</x:v>
      </x:c>
      <x:c r="H897" s="21" t="n">
        <x:f>E897^2*'Controls'!$B$52</x:f>
        <x:v>2.466</x:v>
      </x:c>
      <x:c r="I897" s="21" t="n">
        <x:f>F897*G897*H897</x:f>
        <x:v>2404.3500000000004</x:v>
      </x:c>
      <x:c r="J897" s="2" t="str">
        <x:v>25 spans x 6 bars incl. 1 m lap/anchorage provision</x:v>
      </x:c>
      <x:c r="K897" s="2"/>
      <x:c r="L897" s="2"/>
      <x:c r="M897" s="2"/>
      <x:c r="N897" s="2"/>
      <x:c r="O897" s="2"/>
      <x:c r="P897" s="2"/>
      <x:c r="Q897" s="2"/>
    </x:row>
    <x:row r="898" ht="22" customHeight="1">
      <x:c r="A898" s="7" t="str">
        <x:v>T6-L03-BY</x:v>
      </x:c>
      <x:c r="B898" s="7" t="str">
        <x:v>T6</x:v>
      </x:c>
      <x:c r="C898" s="7" t="str">
        <x:v>L03</x:v>
      </x:c>
      <x:c r="D898" s="7" t="str">
        <x:v>Y beam longitudinal</x:v>
      </x:c>
      <x:c r="E898" s="20" t="n">
        <x:v>20</x:v>
      </x:c>
      <x:c r="F898" s="20" t="n">
        <x:v>144</x:v>
      </x:c>
      <x:c r="G898" s="20" t="n">
        <x:v>6.5</x:v>
      </x:c>
      <x:c r="H898" s="20" t="n">
        <x:f>E898^2*'Controls'!$B$52</x:f>
        <x:v>2.466</x:v>
      </x:c>
      <x:c r="I898" s="20" t="n">
        <x:f>F898*G898*H898</x:f>
        <x:v>2308.1760000000004</x:v>
      </x:c>
      <x:c r="J898" s="7" t="str">
        <x:v>24 spans x 6 bars</x:v>
      </x:c>
      <x:c r="K898" s="2"/>
      <x:c r="L898" s="2"/>
      <x:c r="M898" s="2"/>
      <x:c r="N898" s="2"/>
      <x:c r="O898" s="2"/>
      <x:c r="P898" s="2"/>
      <x:c r="Q898" s="2"/>
    </x:row>
    <x:row r="899" ht="22" customHeight="1">
      <x:c r="A899" s="2" t="str">
        <x:v>T6-L03-BT</x:v>
      </x:c>
      <x:c r="B899" s="2" t="str">
        <x:v>T6</x:v>
      </x:c>
      <x:c r="C899" s="2" t="str">
        <x:v>L03</x:v>
      </x:c>
      <x:c r="D899" s="2" t="str">
        <x:v>Beam closed links</x:v>
      </x:c>
      <x:c r="E899" s="21" t="n">
        <x:v>10</x:v>
      </x:c>
      <x:c r="F899" s="21" t="n">
        <x:v>1421</x:v>
      </x:c>
      <x:c r="G899" s="21" t="n">
        <x:v>1.7</x:v>
      </x:c>
      <x:c r="H899" s="21" t="n">
        <x:f>E899^2*'Controls'!$B$52</x:f>
        <x:v>0.6165</x:v>
      </x:c>
      <x:c r="I899" s="21" t="n">
        <x:f>F899*G899*H899</x:f>
        <x:v>1489.27905</x:v>
      </x:c>
      <x:c r="J899" s="2" t="str">
        <x:v>49 beams x 29 links, 200 mm nominal</x:v>
      </x:c>
      <x:c r="K899" s="2"/>
      <x:c r="L899" s="2"/>
      <x:c r="M899" s="2"/>
      <x:c r="N899" s="2"/>
      <x:c r="O899" s="2"/>
      <x:c r="P899" s="2"/>
      <x:c r="Q899" s="2"/>
    </x:row>
    <x:row r="900" ht="22" customHeight="1">
      <x:c r="A900" s="7" t="str">
        <x:v>T6-L03-CL</x:v>
      </x:c>
      <x:c r="B900" s="7" t="str">
        <x:v>T6</x:v>
      </x:c>
      <x:c r="C900" s="7" t="str">
        <x:v>L03</x:v>
      </x:c>
      <x:c r="D900" s="7" t="str">
        <x:v>Column longitudinal</x:v>
      </x:c>
      <x:c r="E900" s="20" t="n">
        <x:v>25</x:v>
      </x:c>
      <x:c r="F900" s="20" t="n">
        <x:v>360</x:v>
      </x:c>
      <x:c r="G900" s="20" t="n">
        <x:v>3.9</x:v>
      </x:c>
      <x:c r="H900" s="20" t="n">
        <x:f>E900^2*'Controls'!$B$52</x:f>
        <x:v>3.8531250000000004</x:v>
      </x:c>
      <x:c r="I900" s="20" t="n">
        <x:f>F900*G900*H900</x:f>
        <x:v>5409.7875</x:v>
      </x:c>
      <x:c r="J900" s="7" t="str">
        <x:v>30 columns x 12 bars incl. lap</x:v>
      </x:c>
      <x:c r="K900" s="2"/>
      <x:c r="L900" s="2"/>
      <x:c r="M900" s="2"/>
      <x:c r="N900" s="2"/>
      <x:c r="O900" s="2"/>
      <x:c r="P900" s="2"/>
      <x:c r="Q900" s="2"/>
    </x:row>
    <x:row r="901" ht="22" customHeight="1">
      <x:c r="A901" s="2" t="str">
        <x:v>T6-L03-CT</x:v>
      </x:c>
      <x:c r="B901" s="2" t="str">
        <x:v>T6</x:v>
      </x:c>
      <x:c r="C901" s="2" t="str">
        <x:v>L03</x:v>
      </x:c>
      <x:c r="D901" s="2" t="str">
        <x:v>Column ties</x:v>
      </x:c>
      <x:c r="E901" s="21" t="n">
        <x:v>10</x:v>
      </x:c>
      <x:c r="F901" s="21" t="n">
        <x:v>510</x:v>
      </x:c>
      <x:c r="G901" s="21" t="n">
        <x:v>1.96</x:v>
      </x:c>
      <x:c r="H901" s="21" t="n">
        <x:f>E901^2*'Controls'!$B$52</x:f>
        <x:v>0.6165</x:v>
      </x:c>
      <x:c r="I901" s="21" t="n">
        <x:f>F901*G901*H901</x:f>
        <x:v>616.2534</x:v>
      </x:c>
      <x:c r="J901" s="2" t="str">
        <x:v>30 columns x 17 ties, cover and hooks included</x:v>
      </x:c>
      <x:c r="K901" s="2"/>
      <x:c r="L901" s="2"/>
      <x:c r="M901" s="2"/>
      <x:c r="N901" s="2"/>
      <x:c r="O901" s="2"/>
      <x:c r="P901" s="2"/>
      <x:c r="Q901" s="2"/>
    </x:row>
    <x:row r="902" ht="22" customHeight="1">
      <x:c r="A902" s="7" t="str">
        <x:v>T6-L03-CV</x:v>
      </x:c>
      <x:c r="B902" s="7" t="str">
        <x:v>T6</x:v>
      </x:c>
      <x:c r="C902" s="7" t="str">
        <x:v>L03</x:v>
      </x:c>
      <x:c r="D902" s="7" t="str">
        <x:v>Core vertical bars</x:v>
      </x:c>
      <x:c r="E902" s="20" t="n">
        <x:v>16</x:v>
      </x:c>
      <x:c r="F902" s="20" t="n">
        <x:v>244</x:v>
      </x:c>
      <x:c r="G902" s="20" t="n">
        <x:v>3.9</x:v>
      </x:c>
      <x:c r="H902" s="20" t="n">
        <x:f>E902^2*'Controls'!$B$52</x:f>
        <x:v>1.57824</x:v>
      </x:c>
      <x:c r="I902" s="20" t="n">
        <x:f>F902*G902*H902</x:f>
        <x:v>1501.853184</x:v>
      </x:c>
      <x:c r="J902" s="7" t="str">
        <x:v>Two faces, 200 mm nominal along 24 m net length</x:v>
      </x:c>
      <x:c r="K902" s="2"/>
      <x:c r="L902" s="2"/>
      <x:c r="M902" s="2"/>
      <x:c r="N902" s="2"/>
      <x:c r="O902" s="2"/>
      <x:c r="P902" s="2"/>
      <x:c r="Q902" s="2"/>
    </x:row>
    <x:row r="903" ht="22" customHeight="1">
      <x:c r="A903" s="2" t="str">
        <x:v>T6-L03-CH</x:v>
      </x:c>
      <x:c r="B903" s="2" t="str">
        <x:v>T6</x:v>
      </x:c>
      <x:c r="C903" s="2" t="str">
        <x:v>L03</x:v>
      </x:c>
      <x:c r="D903" s="2" t="str">
        <x:v>Core horizontal bars</x:v>
      </x:c>
      <x:c r="E903" s="21" t="n">
        <x:v>12</x:v>
      </x:c>
      <x:c r="F903" s="21" t="n">
        <x:v>32</x:v>
      </x:c>
      <x:c r="G903" s="21" t="n">
        <x:v>25</x:v>
      </x:c>
      <x:c r="H903" s="21" t="n">
        <x:f>E903^2*'Controls'!$B$52</x:f>
        <x:v>0.8877600000000001</x:v>
      </x:c>
      <x:c r="I903" s="21" t="n">
        <x:f>F903*G903*H903</x:f>
        <x:v>710.2080000000001</x:v>
      </x:c>
      <x:c r="J903" s="2" t="str">
        <x:v>Two faces x 16 layers incl. lap</x:v>
      </x:c>
      <x:c r="K903" s="2"/>
      <x:c r="L903" s="2"/>
      <x:c r="M903" s="2"/>
      <x:c r="N903" s="2"/>
      <x:c r="O903" s="2"/>
      <x:c r="P903" s="2"/>
      <x:c r="Q903" s="2"/>
    </x:row>
    <x:row r="904" ht="22" customHeight="1">
      <x:c r="A904" s="7" t="str">
        <x:v>T6-L03-ST</x:v>
      </x:c>
      <x:c r="B904" s="7" t="str">
        <x:v>T6</x:v>
      </x:c>
      <x:c r="C904" s="7" t="str">
        <x:v>L03</x:v>
      </x:c>
      <x:c r="D904" s="7" t="str">
        <x:v>Stair flights and landings</x:v>
      </x:c>
      <x:c r="E904" s="20" t="n">
        <x:v>12</x:v>
      </x:c>
      <x:c r="F904" s="20" t="n">
        <x:v>80</x:v>
      </x:c>
      <x:c r="G904" s="20" t="n">
        <x:v>4.8</x:v>
      </x:c>
      <x:c r="H904" s="20" t="n">
        <x:f>E904^2*'Controls'!$B$52</x:f>
        <x:v>0.8877600000000001</x:v>
      </x:c>
      <x:c r="I904" s="20" t="n">
        <x:f>F904*G904*H904</x:f>
        <x:v>340.89984000000004</x:v>
      </x:c>
      <x:c r="J904" s="7" t="str">
        <x:v>Separate stair reinforcement allowance</x:v>
      </x:c>
      <x:c r="K904" s="2"/>
      <x:c r="L904" s="2"/>
      <x:c r="M904" s="2"/>
      <x:c r="N904" s="2"/>
      <x:c r="O904" s="2"/>
      <x:c r="P904" s="2"/>
      <x:c r="Q904" s="2"/>
    </x:row>
    <x:row r="905" ht="22" customHeight="1">
      <x:c r="A905" s="2" t="str">
        <x:v>T6-L04-S1</x:v>
      </x:c>
      <x:c r="B905" s="2" t="str">
        <x:v>T6</x:v>
      </x:c>
      <x:c r="C905" s="2" t="str">
        <x:v>L04</x:v>
      </x:c>
      <x:c r="D905" s="2" t="str">
        <x:v>Slab X through strips</x:v>
      </x:c>
      <x:c r="E905" s="21" t="n">
        <x:v>12</x:v>
      </x:c>
      <x:c r="F905" s="21" t="n">
        <x:v>182</x:v>
      </x:c>
      <x:c r="G905" s="21" t="n">
        <x:v>29.95</x:v>
      </x:c>
      <x:c r="H905" s="21" t="n">
        <x:f>E905^2*'Controls'!$B$52</x:f>
        <x:v>0.8877600000000001</x:v>
      </x:c>
      <x:c r="I905" s="21" t="n">
        <x:f>F905*G905*H905</x:f>
        <x:v>4839.090984</x:v>
      </x:c>
      <x:c r="J905" s="2" t="str">
        <x:v>2 layers x 91 bars outside central opening band</x:v>
      </x:c>
      <x:c r="K905" s="2"/>
      <x:c r="L905" s="2"/>
      <x:c r="M905" s="2"/>
      <x:c r="N905" s="2"/>
      <x:c r="O905" s="2"/>
      <x:c r="P905" s="2"/>
      <x:c r="Q905" s="2"/>
    </x:row>
    <x:row r="906" ht="22" customHeight="1">
      <x:c r="A906" s="7" t="str">
        <x:v>T6-L04-S2</x:v>
      </x:c>
      <x:c r="B906" s="7" t="str">
        <x:v>T6</x:v>
      </x:c>
      <x:c r="C906" s="7" t="str">
        <x:v>L04</x:v>
      </x:c>
      <x:c r="D906" s="7" t="str">
        <x:v>Slab X split at core</x:v>
      </x:c>
      <x:c r="E906" s="20" t="n">
        <x:v>12</x:v>
      </x:c>
      <x:c r="F906" s="20" t="n">
        <x:v>60</x:v>
      </x:c>
      <x:c r="G906" s="20" t="n">
        <x:v>25.95</x:v>
      </x:c>
      <x:c r="H906" s="20" t="n">
        <x:f>E906^2*'Controls'!$B$52</x:f>
        <x:v>0.8877600000000001</x:v>
      </x:c>
      <x:c r="I906" s="20" t="n">
        <x:f>F906*G906*H906</x:f>
        <x:v>1382.24232</x:v>
      </x:c>
      <x:c r="J906" s="7" t="str">
        <x:v>2 layers x 30 bars, split lengths combined around 4 m opening</x:v>
      </x:c>
      <x:c r="K906" s="2"/>
      <x:c r="L906" s="2"/>
      <x:c r="M906" s="2"/>
      <x:c r="N906" s="2"/>
      <x:c r="O906" s="2"/>
      <x:c r="P906" s="2"/>
      <x:c r="Q906" s="2"/>
    </x:row>
    <x:row r="907" ht="22" customHeight="1">
      <x:c r="A907" s="2" t="str">
        <x:v>T6-L04-S3</x:v>
      </x:c>
      <x:c r="B907" s="2" t="str">
        <x:v>T6</x:v>
      </x:c>
      <x:c r="C907" s="2" t="str">
        <x:v>L04</x:v>
      </x:c>
      <x:c r="D907" s="2" t="str">
        <x:v>Slab Y through strips</x:v>
      </x:c>
      <x:c r="E907" s="21" t="n">
        <x:v>12</x:v>
      </x:c>
      <x:c r="F907" s="21" t="n">
        <x:v>262</x:v>
      </x:c>
      <x:c r="G907" s="21" t="n">
        <x:v>23.95</x:v>
      </x:c>
      <x:c r="H907" s="21" t="n">
        <x:f>E907^2*'Controls'!$B$52</x:f>
        <x:v>0.8877600000000001</x:v>
      </x:c>
      <x:c r="I907" s="21" t="n">
        <x:f>F907*G907*H907</x:f>
        <x:v>5570.605224</x:v>
      </x:c>
      <x:c r="J907" s="2" t="str">
        <x:v>2 layers x 131 bars outside central opening band</x:v>
      </x:c>
      <x:c r="K907" s="2"/>
      <x:c r="L907" s="2"/>
      <x:c r="M907" s="2"/>
      <x:c r="N907" s="2"/>
      <x:c r="O907" s="2"/>
      <x:c r="P907" s="2"/>
      <x:c r="Q907" s="2"/>
    </x:row>
    <x:row r="908" ht="22" customHeight="1">
      <x:c r="A908" s="7" t="str">
        <x:v>T6-L04-S4</x:v>
      </x:c>
      <x:c r="B908" s="7" t="str">
        <x:v>T6</x:v>
      </x:c>
      <x:c r="C908" s="7" t="str">
        <x:v>L04</x:v>
      </x:c>
      <x:c r="D908" s="7" t="str">
        <x:v>Slab Y split at core</x:v>
      </x:c>
      <x:c r="E908" s="20" t="n">
        <x:v>12</x:v>
      </x:c>
      <x:c r="F908" s="20" t="n">
        <x:v>40</x:v>
      </x:c>
      <x:c r="G908" s="20" t="n">
        <x:v>17.95</x:v>
      </x:c>
      <x:c r="H908" s="20" t="n">
        <x:f>E908^2*'Controls'!$B$52</x:f>
        <x:v>0.8877600000000001</x:v>
      </x:c>
      <x:c r="I908" s="20" t="n">
        <x:f>F908*G908*H908</x:f>
        <x:v>637.41168</x:v>
      </x:c>
      <x:c r="J908" s="7" t="str">
        <x:v>2 layers x 20 bars, split around 6 m opening</x:v>
      </x:c>
      <x:c r="K908" s="2"/>
      <x:c r="L908" s="2"/>
      <x:c r="M908" s="2"/>
      <x:c r="N908" s="2"/>
      <x:c r="O908" s="2"/>
      <x:c r="P908" s="2"/>
      <x:c r="Q908" s="2"/>
    </x:row>
    <x:row r="909" ht="22" customHeight="1">
      <x:c r="A909" s="2" t="str">
        <x:v>T6-L04-S5</x:v>
      </x:c>
      <x:c r="B909" s="2" t="str">
        <x:v>T6</x:v>
      </x:c>
      <x:c r="C909" s="2" t="str">
        <x:v>L04</x:v>
      </x:c>
      <x:c r="D909" s="2" t="str">
        <x:v>Opening trim bars</x:v>
      </x:c>
      <x:c r="E909" s="21" t="n">
        <x:v>16</x:v>
      </x:c>
      <x:c r="F909" s="21" t="n">
        <x:v>16</x:v>
      </x:c>
      <x:c r="G909" s="21" t="n">
        <x:v>7.2</x:v>
      </x:c>
      <x:c r="H909" s="21" t="n">
        <x:f>E909^2*'Controls'!$B$52</x:f>
        <x:v>1.57824</x:v>
      </x:c>
      <x:c r="I909" s="21" t="n">
        <x:f>F909*G909*H909</x:f>
        <x:v>181.81324800000002</x:v>
      </x:c>
      <x:c r="J909" s="2" t="str">
        <x:v>Trim allowance, explicit scheduled lengths</x:v>
      </x:c>
      <x:c r="K909" s="2"/>
      <x:c r="L909" s="2"/>
      <x:c r="M909" s="2"/>
      <x:c r="N909" s="2"/>
      <x:c r="O909" s="2"/>
      <x:c r="P909" s="2"/>
      <x:c r="Q909" s="2"/>
    </x:row>
    <x:row r="910" ht="22" customHeight="1">
      <x:c r="A910" s="7" t="str">
        <x:v>T6-L04-BX</x:v>
      </x:c>
      <x:c r="B910" s="7" t="str">
        <x:v>T6</x:v>
      </x:c>
      <x:c r="C910" s="7" t="str">
        <x:v>L04</x:v>
      </x:c>
      <x:c r="D910" s="7" t="str">
        <x:v>X beam longitudinal</x:v>
      </x:c>
      <x:c r="E910" s="20" t="n">
        <x:v>20</x:v>
      </x:c>
      <x:c r="F910" s="20" t="n">
        <x:v>150</x:v>
      </x:c>
      <x:c r="G910" s="20" t="n">
        <x:v>6.5</x:v>
      </x:c>
      <x:c r="H910" s="20" t="n">
        <x:f>E910^2*'Controls'!$B$52</x:f>
        <x:v>2.466</x:v>
      </x:c>
      <x:c r="I910" s="20" t="n">
        <x:f>F910*G910*H910</x:f>
        <x:v>2404.3500000000004</x:v>
      </x:c>
      <x:c r="J910" s="7" t="str">
        <x:v>25 spans x 6 bars incl. 1 m lap/anchorage provision</x:v>
      </x:c>
      <x:c r="K910" s="2"/>
      <x:c r="L910" s="2"/>
      <x:c r="M910" s="2"/>
      <x:c r="N910" s="2"/>
      <x:c r="O910" s="2"/>
      <x:c r="P910" s="2"/>
      <x:c r="Q910" s="2"/>
    </x:row>
    <x:row r="911" ht="22" customHeight="1">
      <x:c r="A911" s="2" t="str">
        <x:v>T6-L04-BY</x:v>
      </x:c>
      <x:c r="B911" s="2" t="str">
        <x:v>T6</x:v>
      </x:c>
      <x:c r="C911" s="2" t="str">
        <x:v>L04</x:v>
      </x:c>
      <x:c r="D911" s="2" t="str">
        <x:v>Y beam longitudinal</x:v>
      </x:c>
      <x:c r="E911" s="21" t="n">
        <x:v>20</x:v>
      </x:c>
      <x:c r="F911" s="21" t="n">
        <x:v>144</x:v>
      </x:c>
      <x:c r="G911" s="21" t="n">
        <x:v>6.5</x:v>
      </x:c>
      <x:c r="H911" s="21" t="n">
        <x:f>E911^2*'Controls'!$B$52</x:f>
        <x:v>2.466</x:v>
      </x:c>
      <x:c r="I911" s="21" t="n">
        <x:f>F911*G911*H911</x:f>
        <x:v>2308.1760000000004</x:v>
      </x:c>
      <x:c r="J911" s="2" t="str">
        <x:v>24 spans x 6 bars</x:v>
      </x:c>
      <x:c r="K911" s="2"/>
      <x:c r="L911" s="2"/>
      <x:c r="M911" s="2"/>
      <x:c r="N911" s="2"/>
      <x:c r="O911" s="2"/>
      <x:c r="P911" s="2"/>
      <x:c r="Q911" s="2"/>
    </x:row>
    <x:row r="912" ht="22" customHeight="1">
      <x:c r="A912" s="7" t="str">
        <x:v>T6-L04-BT</x:v>
      </x:c>
      <x:c r="B912" s="7" t="str">
        <x:v>T6</x:v>
      </x:c>
      <x:c r="C912" s="7" t="str">
        <x:v>L04</x:v>
      </x:c>
      <x:c r="D912" s="7" t="str">
        <x:v>Beam closed links</x:v>
      </x:c>
      <x:c r="E912" s="20" t="n">
        <x:v>10</x:v>
      </x:c>
      <x:c r="F912" s="20" t="n">
        <x:v>1421</x:v>
      </x:c>
      <x:c r="G912" s="20" t="n">
        <x:v>1.7</x:v>
      </x:c>
      <x:c r="H912" s="20" t="n">
        <x:f>E912^2*'Controls'!$B$52</x:f>
        <x:v>0.6165</x:v>
      </x:c>
      <x:c r="I912" s="20" t="n">
        <x:f>F912*G912*H912</x:f>
        <x:v>1489.27905</x:v>
      </x:c>
      <x:c r="J912" s="7" t="str">
        <x:v>49 beams x 29 links, 200 mm nominal</x:v>
      </x:c>
      <x:c r="K912" s="2"/>
      <x:c r="L912" s="2"/>
      <x:c r="M912" s="2"/>
      <x:c r="N912" s="2"/>
      <x:c r="O912" s="2"/>
      <x:c r="P912" s="2"/>
      <x:c r="Q912" s="2"/>
    </x:row>
    <x:row r="913" ht="22" customHeight="1">
      <x:c r="A913" s="2" t="str">
        <x:v>T6-L04-CL</x:v>
      </x:c>
      <x:c r="B913" s="2" t="str">
        <x:v>T6</x:v>
      </x:c>
      <x:c r="C913" s="2" t="str">
        <x:v>L04</x:v>
      </x:c>
      <x:c r="D913" s="2" t="str">
        <x:v>Column longitudinal</x:v>
      </x:c>
      <x:c r="E913" s="21" t="n">
        <x:v>25</x:v>
      </x:c>
      <x:c r="F913" s="21" t="n">
        <x:v>360</x:v>
      </x:c>
      <x:c r="G913" s="21" t="n">
        <x:v>3.9</x:v>
      </x:c>
      <x:c r="H913" s="21" t="n">
        <x:f>E913^2*'Controls'!$B$52</x:f>
        <x:v>3.8531250000000004</x:v>
      </x:c>
      <x:c r="I913" s="21" t="n">
        <x:f>F913*G913*H913</x:f>
        <x:v>5409.7875</x:v>
      </x:c>
      <x:c r="J913" s="2" t="str">
        <x:v>30 columns x 12 bars incl. lap</x:v>
      </x:c>
      <x:c r="K913" s="2"/>
      <x:c r="L913" s="2"/>
      <x:c r="M913" s="2"/>
      <x:c r="N913" s="2"/>
      <x:c r="O913" s="2"/>
      <x:c r="P913" s="2"/>
      <x:c r="Q913" s="2"/>
    </x:row>
    <x:row r="914" ht="22" customHeight="1">
      <x:c r="A914" s="7" t="str">
        <x:v>T6-L04-CT</x:v>
      </x:c>
      <x:c r="B914" s="7" t="str">
        <x:v>T6</x:v>
      </x:c>
      <x:c r="C914" s="7" t="str">
        <x:v>L04</x:v>
      </x:c>
      <x:c r="D914" s="7" t="str">
        <x:v>Column ties</x:v>
      </x:c>
      <x:c r="E914" s="20" t="n">
        <x:v>10</x:v>
      </x:c>
      <x:c r="F914" s="20" t="n">
        <x:v>510</x:v>
      </x:c>
      <x:c r="G914" s="20" t="n">
        <x:v>1.96</x:v>
      </x:c>
      <x:c r="H914" s="20" t="n">
        <x:f>E914^2*'Controls'!$B$52</x:f>
        <x:v>0.6165</x:v>
      </x:c>
      <x:c r="I914" s="20" t="n">
        <x:f>F914*G914*H914</x:f>
        <x:v>616.2534</x:v>
      </x:c>
      <x:c r="J914" s="7" t="str">
        <x:v>30 columns x 17 ties, cover and hooks included</x:v>
      </x:c>
      <x:c r="K914" s="2"/>
      <x:c r="L914" s="2"/>
      <x:c r="M914" s="2"/>
      <x:c r="N914" s="2"/>
      <x:c r="O914" s="2"/>
      <x:c r="P914" s="2"/>
      <x:c r="Q914" s="2"/>
    </x:row>
    <x:row r="915" ht="22" customHeight="1">
      <x:c r="A915" s="2" t="str">
        <x:v>T6-L04-CV</x:v>
      </x:c>
      <x:c r="B915" s="2" t="str">
        <x:v>T6</x:v>
      </x:c>
      <x:c r="C915" s="2" t="str">
        <x:v>L04</x:v>
      </x:c>
      <x:c r="D915" s="2" t="str">
        <x:v>Core vertical bars</x:v>
      </x:c>
      <x:c r="E915" s="21" t="n">
        <x:v>16</x:v>
      </x:c>
      <x:c r="F915" s="21" t="n">
        <x:v>244</x:v>
      </x:c>
      <x:c r="G915" s="21" t="n">
        <x:v>3.9</x:v>
      </x:c>
      <x:c r="H915" s="21" t="n">
        <x:f>E915^2*'Controls'!$B$52</x:f>
        <x:v>1.57824</x:v>
      </x:c>
      <x:c r="I915" s="21" t="n">
        <x:f>F915*G915*H915</x:f>
        <x:v>1501.853184</x:v>
      </x:c>
      <x:c r="J915" s="2" t="str">
        <x:v>Two faces, 200 mm nominal along 24 m net length</x:v>
      </x:c>
      <x:c r="K915" s="2"/>
      <x:c r="L915" s="2"/>
      <x:c r="M915" s="2"/>
      <x:c r="N915" s="2"/>
      <x:c r="O915" s="2"/>
      <x:c r="P915" s="2"/>
      <x:c r="Q915" s="2"/>
    </x:row>
    <x:row r="916" ht="22" customHeight="1">
      <x:c r="A916" s="7" t="str">
        <x:v>T6-L04-CH</x:v>
      </x:c>
      <x:c r="B916" s="7" t="str">
        <x:v>T6</x:v>
      </x:c>
      <x:c r="C916" s="7" t="str">
        <x:v>L04</x:v>
      </x:c>
      <x:c r="D916" s="7" t="str">
        <x:v>Core horizontal bars</x:v>
      </x:c>
      <x:c r="E916" s="20" t="n">
        <x:v>12</x:v>
      </x:c>
      <x:c r="F916" s="20" t="n">
        <x:v>32</x:v>
      </x:c>
      <x:c r="G916" s="20" t="n">
        <x:v>25</x:v>
      </x:c>
      <x:c r="H916" s="20" t="n">
        <x:f>E916^2*'Controls'!$B$52</x:f>
        <x:v>0.8877600000000001</x:v>
      </x:c>
      <x:c r="I916" s="20" t="n">
        <x:f>F916*G916*H916</x:f>
        <x:v>710.2080000000001</x:v>
      </x:c>
      <x:c r="J916" s="7" t="str">
        <x:v>Two faces x 16 layers incl. lap</x:v>
      </x:c>
      <x:c r="K916" s="2"/>
      <x:c r="L916" s="2"/>
      <x:c r="M916" s="2"/>
      <x:c r="N916" s="2"/>
      <x:c r="O916" s="2"/>
      <x:c r="P916" s="2"/>
      <x:c r="Q916" s="2"/>
    </x:row>
    <x:row r="917" ht="22" customHeight="1">
      <x:c r="A917" s="2" t="str">
        <x:v>T6-L04-ST</x:v>
      </x:c>
      <x:c r="B917" s="2" t="str">
        <x:v>T6</x:v>
      </x:c>
      <x:c r="C917" s="2" t="str">
        <x:v>L04</x:v>
      </x:c>
      <x:c r="D917" s="2" t="str">
        <x:v>Stair flights and landings</x:v>
      </x:c>
      <x:c r="E917" s="21" t="n">
        <x:v>12</x:v>
      </x:c>
      <x:c r="F917" s="21" t="n">
        <x:v>80</x:v>
      </x:c>
      <x:c r="G917" s="21" t="n">
        <x:v>4.8</x:v>
      </x:c>
      <x:c r="H917" s="21" t="n">
        <x:f>E917^2*'Controls'!$B$52</x:f>
        <x:v>0.8877600000000001</x:v>
      </x:c>
      <x:c r="I917" s="21" t="n">
        <x:f>F917*G917*H917</x:f>
        <x:v>340.89984000000004</x:v>
      </x:c>
      <x:c r="J917" s="2" t="str">
        <x:v>Separate stair reinforcement allowance</x:v>
      </x:c>
      <x:c r="K917" s="2"/>
      <x:c r="L917" s="2"/>
      <x:c r="M917" s="2"/>
      <x:c r="N917" s="2"/>
      <x:c r="O917" s="2"/>
      <x:c r="P917" s="2"/>
      <x:c r="Q917" s="2"/>
    </x:row>
    <x:row r="918" ht="22" customHeight="1">
      <x:c r="A918" s="7" t="str">
        <x:v>T6-L05-S1</x:v>
      </x:c>
      <x:c r="B918" s="7" t="str">
        <x:v>T6</x:v>
      </x:c>
      <x:c r="C918" s="7" t="str">
        <x:v>L05</x:v>
      </x:c>
      <x:c r="D918" s="7" t="str">
        <x:v>Slab X through strips</x:v>
      </x:c>
      <x:c r="E918" s="20" t="n">
        <x:v>12</x:v>
      </x:c>
      <x:c r="F918" s="20" t="n">
        <x:v>182</x:v>
      </x:c>
      <x:c r="G918" s="20" t="n">
        <x:v>29.95</x:v>
      </x:c>
      <x:c r="H918" s="20" t="n">
        <x:f>E918^2*'Controls'!$B$52</x:f>
        <x:v>0.8877600000000001</x:v>
      </x:c>
      <x:c r="I918" s="20" t="n">
        <x:f>F918*G918*H918</x:f>
        <x:v>4839.090984</x:v>
      </x:c>
      <x:c r="J918" s="7" t="str">
        <x:v>2 layers x 91 bars outside central opening band</x:v>
      </x:c>
      <x:c r="K918" s="2"/>
      <x:c r="L918" s="2"/>
      <x:c r="M918" s="2"/>
      <x:c r="N918" s="2"/>
      <x:c r="O918" s="2"/>
      <x:c r="P918" s="2"/>
      <x:c r="Q918" s="2"/>
    </x:row>
    <x:row r="919" ht="22" customHeight="1">
      <x:c r="A919" s="2" t="str">
        <x:v>T6-L05-S2</x:v>
      </x:c>
      <x:c r="B919" s="2" t="str">
        <x:v>T6</x:v>
      </x:c>
      <x:c r="C919" s="2" t="str">
        <x:v>L05</x:v>
      </x:c>
      <x:c r="D919" s="2" t="str">
        <x:v>Slab X split at core</x:v>
      </x:c>
      <x:c r="E919" s="21" t="n">
        <x:v>12</x:v>
      </x:c>
      <x:c r="F919" s="21" t="n">
        <x:v>60</x:v>
      </x:c>
      <x:c r="G919" s="21" t="n">
        <x:v>25.95</x:v>
      </x:c>
      <x:c r="H919" s="21" t="n">
        <x:f>E919^2*'Controls'!$B$52</x:f>
        <x:v>0.8877600000000001</x:v>
      </x:c>
      <x:c r="I919" s="21" t="n">
        <x:f>F919*G919*H919</x:f>
        <x:v>1382.24232</x:v>
      </x:c>
      <x:c r="J919" s="2" t="str">
        <x:v>2 layers x 30 bars, split lengths combined around 4 m opening</x:v>
      </x:c>
      <x:c r="K919" s="2"/>
      <x:c r="L919" s="2"/>
      <x:c r="M919" s="2"/>
      <x:c r="N919" s="2"/>
      <x:c r="O919" s="2"/>
      <x:c r="P919" s="2"/>
      <x:c r="Q919" s="2"/>
    </x:row>
    <x:row r="920" ht="22" customHeight="1">
      <x:c r="A920" s="7" t="str">
        <x:v>T6-L05-S3</x:v>
      </x:c>
      <x:c r="B920" s="7" t="str">
        <x:v>T6</x:v>
      </x:c>
      <x:c r="C920" s="7" t="str">
        <x:v>L05</x:v>
      </x:c>
      <x:c r="D920" s="7" t="str">
        <x:v>Slab Y through strips</x:v>
      </x:c>
      <x:c r="E920" s="20" t="n">
        <x:v>12</x:v>
      </x:c>
      <x:c r="F920" s="20" t="n">
        <x:v>262</x:v>
      </x:c>
      <x:c r="G920" s="20" t="n">
        <x:v>23.95</x:v>
      </x:c>
      <x:c r="H920" s="20" t="n">
        <x:f>E920^2*'Controls'!$B$52</x:f>
        <x:v>0.8877600000000001</x:v>
      </x:c>
      <x:c r="I920" s="20" t="n">
        <x:f>F920*G920*H920</x:f>
        <x:v>5570.605224</x:v>
      </x:c>
      <x:c r="J920" s="7" t="str">
        <x:v>2 layers x 131 bars outside central opening band</x:v>
      </x:c>
      <x:c r="K920" s="2"/>
      <x:c r="L920" s="2"/>
      <x:c r="M920" s="2"/>
      <x:c r="N920" s="2"/>
      <x:c r="O920" s="2"/>
      <x:c r="P920" s="2"/>
      <x:c r="Q920" s="2"/>
    </x:row>
    <x:row r="921" ht="22" customHeight="1">
      <x:c r="A921" s="2" t="str">
        <x:v>T6-L05-S4</x:v>
      </x:c>
      <x:c r="B921" s="2" t="str">
        <x:v>T6</x:v>
      </x:c>
      <x:c r="C921" s="2" t="str">
        <x:v>L05</x:v>
      </x:c>
      <x:c r="D921" s="2" t="str">
        <x:v>Slab Y split at core</x:v>
      </x:c>
      <x:c r="E921" s="21" t="n">
        <x:v>12</x:v>
      </x:c>
      <x:c r="F921" s="21" t="n">
        <x:v>40</x:v>
      </x:c>
      <x:c r="G921" s="21" t="n">
        <x:v>17.95</x:v>
      </x:c>
      <x:c r="H921" s="21" t="n">
        <x:f>E921^2*'Controls'!$B$52</x:f>
        <x:v>0.8877600000000001</x:v>
      </x:c>
      <x:c r="I921" s="21" t="n">
        <x:f>F921*G921*H921</x:f>
        <x:v>637.41168</x:v>
      </x:c>
      <x:c r="J921" s="2" t="str">
        <x:v>2 layers x 20 bars, split around 6 m opening</x:v>
      </x:c>
      <x:c r="K921" s="2"/>
      <x:c r="L921" s="2"/>
      <x:c r="M921" s="2"/>
      <x:c r="N921" s="2"/>
      <x:c r="O921" s="2"/>
      <x:c r="P921" s="2"/>
      <x:c r="Q921" s="2"/>
    </x:row>
    <x:row r="922" ht="22" customHeight="1">
      <x:c r="A922" s="7" t="str">
        <x:v>T6-L05-S5</x:v>
      </x:c>
      <x:c r="B922" s="7" t="str">
        <x:v>T6</x:v>
      </x:c>
      <x:c r="C922" s="7" t="str">
        <x:v>L05</x:v>
      </x:c>
      <x:c r="D922" s="7" t="str">
        <x:v>Opening trim bars</x:v>
      </x:c>
      <x:c r="E922" s="20" t="n">
        <x:v>16</x:v>
      </x:c>
      <x:c r="F922" s="20" t="n">
        <x:v>16</x:v>
      </x:c>
      <x:c r="G922" s="20" t="n">
        <x:v>7.2</x:v>
      </x:c>
      <x:c r="H922" s="20" t="n">
        <x:f>E922^2*'Controls'!$B$52</x:f>
        <x:v>1.57824</x:v>
      </x:c>
      <x:c r="I922" s="20" t="n">
        <x:f>F922*G922*H922</x:f>
        <x:v>181.81324800000002</x:v>
      </x:c>
      <x:c r="J922" s="7" t="str">
        <x:v>Trim allowance, explicit scheduled lengths</x:v>
      </x:c>
      <x:c r="K922" s="2"/>
      <x:c r="L922" s="2"/>
      <x:c r="M922" s="2"/>
      <x:c r="N922" s="2"/>
      <x:c r="O922" s="2"/>
      <x:c r="P922" s="2"/>
      <x:c r="Q922" s="2"/>
    </x:row>
    <x:row r="923" ht="22" customHeight="1">
      <x:c r="A923" s="2" t="str">
        <x:v>T6-L05-BX</x:v>
      </x:c>
      <x:c r="B923" s="2" t="str">
        <x:v>T6</x:v>
      </x:c>
      <x:c r="C923" s="2" t="str">
        <x:v>L05</x:v>
      </x:c>
      <x:c r="D923" s="2" t="str">
        <x:v>X beam longitudinal</x:v>
      </x:c>
      <x:c r="E923" s="21" t="n">
        <x:v>20</x:v>
      </x:c>
      <x:c r="F923" s="21" t="n">
        <x:v>150</x:v>
      </x:c>
      <x:c r="G923" s="21" t="n">
        <x:v>6.5</x:v>
      </x:c>
      <x:c r="H923" s="21" t="n">
        <x:f>E923^2*'Controls'!$B$52</x:f>
        <x:v>2.466</x:v>
      </x:c>
      <x:c r="I923" s="21" t="n">
        <x:f>F923*G923*H923</x:f>
        <x:v>2404.3500000000004</x:v>
      </x:c>
      <x:c r="J923" s="2" t="str">
        <x:v>25 spans x 6 bars incl. 1 m lap/anchorage provision</x:v>
      </x:c>
      <x:c r="K923" s="2"/>
      <x:c r="L923" s="2"/>
      <x:c r="M923" s="2"/>
      <x:c r="N923" s="2"/>
      <x:c r="O923" s="2"/>
      <x:c r="P923" s="2"/>
      <x:c r="Q923" s="2"/>
    </x:row>
    <x:row r="924" ht="22" customHeight="1">
      <x:c r="A924" s="7" t="str">
        <x:v>T6-L05-BY</x:v>
      </x:c>
      <x:c r="B924" s="7" t="str">
        <x:v>T6</x:v>
      </x:c>
      <x:c r="C924" s="7" t="str">
        <x:v>L05</x:v>
      </x:c>
      <x:c r="D924" s="7" t="str">
        <x:v>Y beam longitudinal</x:v>
      </x:c>
      <x:c r="E924" s="20" t="n">
        <x:v>20</x:v>
      </x:c>
      <x:c r="F924" s="20" t="n">
        <x:v>144</x:v>
      </x:c>
      <x:c r="G924" s="20" t="n">
        <x:v>6.5</x:v>
      </x:c>
      <x:c r="H924" s="20" t="n">
        <x:f>E924^2*'Controls'!$B$52</x:f>
        <x:v>2.466</x:v>
      </x:c>
      <x:c r="I924" s="20" t="n">
        <x:f>F924*G924*H924</x:f>
        <x:v>2308.1760000000004</x:v>
      </x:c>
      <x:c r="J924" s="7" t="str">
        <x:v>24 spans x 6 bars</x:v>
      </x:c>
      <x:c r="K924" s="2"/>
      <x:c r="L924" s="2"/>
      <x:c r="M924" s="2"/>
      <x:c r="N924" s="2"/>
      <x:c r="O924" s="2"/>
      <x:c r="P924" s="2"/>
      <x:c r="Q924" s="2"/>
    </x:row>
    <x:row r="925" ht="22" customHeight="1">
      <x:c r="A925" s="2" t="str">
        <x:v>T6-L05-BT</x:v>
      </x:c>
      <x:c r="B925" s="2" t="str">
        <x:v>T6</x:v>
      </x:c>
      <x:c r="C925" s="2" t="str">
        <x:v>L05</x:v>
      </x:c>
      <x:c r="D925" s="2" t="str">
        <x:v>Beam closed links</x:v>
      </x:c>
      <x:c r="E925" s="21" t="n">
        <x:v>10</x:v>
      </x:c>
      <x:c r="F925" s="21" t="n">
        <x:v>1421</x:v>
      </x:c>
      <x:c r="G925" s="21" t="n">
        <x:v>1.7</x:v>
      </x:c>
      <x:c r="H925" s="21" t="n">
        <x:f>E925^2*'Controls'!$B$52</x:f>
        <x:v>0.6165</x:v>
      </x:c>
      <x:c r="I925" s="21" t="n">
        <x:f>F925*G925*H925</x:f>
        <x:v>1489.27905</x:v>
      </x:c>
      <x:c r="J925" s="2" t="str">
        <x:v>49 beams x 29 links, 200 mm nominal</x:v>
      </x:c>
      <x:c r="K925" s="2"/>
      <x:c r="L925" s="2"/>
      <x:c r="M925" s="2"/>
      <x:c r="N925" s="2"/>
      <x:c r="O925" s="2"/>
      <x:c r="P925" s="2"/>
      <x:c r="Q925" s="2"/>
    </x:row>
    <x:row r="926" ht="22" customHeight="1">
      <x:c r="A926" s="7" t="str">
        <x:v>T6-L05-CL</x:v>
      </x:c>
      <x:c r="B926" s="7" t="str">
        <x:v>T6</x:v>
      </x:c>
      <x:c r="C926" s="7" t="str">
        <x:v>L05</x:v>
      </x:c>
      <x:c r="D926" s="7" t="str">
        <x:v>Column longitudinal</x:v>
      </x:c>
      <x:c r="E926" s="20" t="n">
        <x:v>25</x:v>
      </x:c>
      <x:c r="F926" s="20" t="n">
        <x:v>360</x:v>
      </x:c>
      <x:c r="G926" s="20" t="n">
        <x:v>3.9</x:v>
      </x:c>
      <x:c r="H926" s="20" t="n">
        <x:f>E926^2*'Controls'!$B$52</x:f>
        <x:v>3.8531250000000004</x:v>
      </x:c>
      <x:c r="I926" s="20" t="n">
        <x:f>F926*G926*H926</x:f>
        <x:v>5409.7875</x:v>
      </x:c>
      <x:c r="J926" s="7" t="str">
        <x:v>30 columns x 12 bars incl. lap</x:v>
      </x:c>
      <x:c r="K926" s="2"/>
      <x:c r="L926" s="2"/>
      <x:c r="M926" s="2"/>
      <x:c r="N926" s="2"/>
      <x:c r="O926" s="2"/>
      <x:c r="P926" s="2"/>
      <x:c r="Q926" s="2"/>
    </x:row>
    <x:row r="927" ht="22" customHeight="1">
      <x:c r="A927" s="2" t="str">
        <x:v>T6-L05-CT</x:v>
      </x:c>
      <x:c r="B927" s="2" t="str">
        <x:v>T6</x:v>
      </x:c>
      <x:c r="C927" s="2" t="str">
        <x:v>L05</x:v>
      </x:c>
      <x:c r="D927" s="2" t="str">
        <x:v>Column ties</x:v>
      </x:c>
      <x:c r="E927" s="21" t="n">
        <x:v>10</x:v>
      </x:c>
      <x:c r="F927" s="21" t="n">
        <x:v>510</x:v>
      </x:c>
      <x:c r="G927" s="21" t="n">
        <x:v>1.96</x:v>
      </x:c>
      <x:c r="H927" s="21" t="n">
        <x:f>E927^2*'Controls'!$B$52</x:f>
        <x:v>0.6165</x:v>
      </x:c>
      <x:c r="I927" s="21" t="n">
        <x:f>F927*G927*H927</x:f>
        <x:v>616.2534</x:v>
      </x:c>
      <x:c r="J927" s="2" t="str">
        <x:v>30 columns x 17 ties, cover and hooks included</x:v>
      </x:c>
      <x:c r="K927" s="2"/>
      <x:c r="L927" s="2"/>
      <x:c r="M927" s="2"/>
      <x:c r="N927" s="2"/>
      <x:c r="O927" s="2"/>
      <x:c r="P927" s="2"/>
      <x:c r="Q927" s="2"/>
    </x:row>
    <x:row r="928" ht="22" customHeight="1">
      <x:c r="A928" s="7" t="str">
        <x:v>T6-L05-CV</x:v>
      </x:c>
      <x:c r="B928" s="7" t="str">
        <x:v>T6</x:v>
      </x:c>
      <x:c r="C928" s="7" t="str">
        <x:v>L05</x:v>
      </x:c>
      <x:c r="D928" s="7" t="str">
        <x:v>Core vertical bars</x:v>
      </x:c>
      <x:c r="E928" s="20" t="n">
        <x:v>16</x:v>
      </x:c>
      <x:c r="F928" s="20" t="n">
        <x:v>244</x:v>
      </x:c>
      <x:c r="G928" s="20" t="n">
        <x:v>3.9</x:v>
      </x:c>
      <x:c r="H928" s="20" t="n">
        <x:f>E928^2*'Controls'!$B$52</x:f>
        <x:v>1.57824</x:v>
      </x:c>
      <x:c r="I928" s="20" t="n">
        <x:f>F928*G928*H928</x:f>
        <x:v>1501.853184</x:v>
      </x:c>
      <x:c r="J928" s="7" t="str">
        <x:v>Two faces, 200 mm nominal along 24 m net length</x:v>
      </x:c>
      <x:c r="K928" s="2"/>
      <x:c r="L928" s="2"/>
      <x:c r="M928" s="2"/>
      <x:c r="N928" s="2"/>
      <x:c r="O928" s="2"/>
      <x:c r="P928" s="2"/>
      <x:c r="Q928" s="2"/>
    </x:row>
    <x:row r="929" ht="22" customHeight="1">
      <x:c r="A929" s="2" t="str">
        <x:v>T6-L05-CH</x:v>
      </x:c>
      <x:c r="B929" s="2" t="str">
        <x:v>T6</x:v>
      </x:c>
      <x:c r="C929" s="2" t="str">
        <x:v>L05</x:v>
      </x:c>
      <x:c r="D929" s="2" t="str">
        <x:v>Core horizontal bars</x:v>
      </x:c>
      <x:c r="E929" s="21" t="n">
        <x:v>12</x:v>
      </x:c>
      <x:c r="F929" s="21" t="n">
        <x:v>32</x:v>
      </x:c>
      <x:c r="G929" s="21" t="n">
        <x:v>25</x:v>
      </x:c>
      <x:c r="H929" s="21" t="n">
        <x:f>E929^2*'Controls'!$B$52</x:f>
        <x:v>0.8877600000000001</x:v>
      </x:c>
      <x:c r="I929" s="21" t="n">
        <x:f>F929*G929*H929</x:f>
        <x:v>710.2080000000001</x:v>
      </x:c>
      <x:c r="J929" s="2" t="str">
        <x:v>Two faces x 16 layers incl. lap</x:v>
      </x:c>
      <x:c r="K929" s="2"/>
      <x:c r="L929" s="2"/>
      <x:c r="M929" s="2"/>
      <x:c r="N929" s="2"/>
      <x:c r="O929" s="2"/>
      <x:c r="P929" s="2"/>
      <x:c r="Q929" s="2"/>
    </x:row>
    <x:row r="930" ht="22" customHeight="1">
      <x:c r="A930" s="7" t="str">
        <x:v>T6-L05-ST</x:v>
      </x:c>
      <x:c r="B930" s="7" t="str">
        <x:v>T6</x:v>
      </x:c>
      <x:c r="C930" s="7" t="str">
        <x:v>L05</x:v>
      </x:c>
      <x:c r="D930" s="7" t="str">
        <x:v>Stair flights and landings</x:v>
      </x:c>
      <x:c r="E930" s="20" t="n">
        <x:v>12</x:v>
      </x:c>
      <x:c r="F930" s="20" t="n">
        <x:v>80</x:v>
      </x:c>
      <x:c r="G930" s="20" t="n">
        <x:v>4.8</x:v>
      </x:c>
      <x:c r="H930" s="20" t="n">
        <x:f>E930^2*'Controls'!$B$52</x:f>
        <x:v>0.8877600000000001</x:v>
      </x:c>
      <x:c r="I930" s="20" t="n">
        <x:f>F930*G930*H930</x:f>
        <x:v>340.89984000000004</x:v>
      </x:c>
      <x:c r="J930" s="7" t="str">
        <x:v>Separate stair reinforcement allowance</x:v>
      </x:c>
      <x:c r="K930" s="2"/>
      <x:c r="L930" s="2"/>
      <x:c r="M930" s="2"/>
      <x:c r="N930" s="2"/>
      <x:c r="O930" s="2"/>
      <x:c r="P930" s="2"/>
      <x:c r="Q930" s="2"/>
    </x:row>
    <x:row r="931" ht="22" customHeight="1">
      <x:c r="A931" s="2" t="str">
        <x:v>T6-L06-S1</x:v>
      </x:c>
      <x:c r="B931" s="2" t="str">
        <x:v>T6</x:v>
      </x:c>
      <x:c r="C931" s="2" t="str">
        <x:v>L06</x:v>
      </x:c>
      <x:c r="D931" s="2" t="str">
        <x:v>Slab X through strips</x:v>
      </x:c>
      <x:c r="E931" s="21" t="n">
        <x:v>12</x:v>
      </x:c>
      <x:c r="F931" s="21" t="n">
        <x:v>182</x:v>
      </x:c>
      <x:c r="G931" s="21" t="n">
        <x:v>29.95</x:v>
      </x:c>
      <x:c r="H931" s="21" t="n">
        <x:f>E931^2*'Controls'!$B$52</x:f>
        <x:v>0.8877600000000001</x:v>
      </x:c>
      <x:c r="I931" s="21" t="n">
        <x:f>F931*G931*H931</x:f>
        <x:v>4839.090984</x:v>
      </x:c>
      <x:c r="J931" s="2" t="str">
        <x:v>2 layers x 91 bars outside central opening band</x:v>
      </x:c>
      <x:c r="K931" s="2"/>
      <x:c r="L931" s="2"/>
      <x:c r="M931" s="2"/>
      <x:c r="N931" s="2"/>
      <x:c r="O931" s="2"/>
      <x:c r="P931" s="2"/>
      <x:c r="Q931" s="2"/>
    </x:row>
    <x:row r="932" ht="22" customHeight="1">
      <x:c r="A932" s="7" t="str">
        <x:v>T6-L06-S2</x:v>
      </x:c>
      <x:c r="B932" s="7" t="str">
        <x:v>T6</x:v>
      </x:c>
      <x:c r="C932" s="7" t="str">
        <x:v>L06</x:v>
      </x:c>
      <x:c r="D932" s="7" t="str">
        <x:v>Slab X split at core</x:v>
      </x:c>
      <x:c r="E932" s="20" t="n">
        <x:v>12</x:v>
      </x:c>
      <x:c r="F932" s="20" t="n">
        <x:v>60</x:v>
      </x:c>
      <x:c r="G932" s="20" t="n">
        <x:v>25.95</x:v>
      </x:c>
      <x:c r="H932" s="20" t="n">
        <x:f>E932^2*'Controls'!$B$52</x:f>
        <x:v>0.8877600000000001</x:v>
      </x:c>
      <x:c r="I932" s="20" t="n">
        <x:f>F932*G932*H932</x:f>
        <x:v>1382.24232</x:v>
      </x:c>
      <x:c r="J932" s="7" t="str">
        <x:v>2 layers x 30 bars, split lengths combined around 4 m opening</x:v>
      </x:c>
      <x:c r="K932" s="2"/>
      <x:c r="L932" s="2"/>
      <x:c r="M932" s="2"/>
      <x:c r="N932" s="2"/>
      <x:c r="O932" s="2"/>
      <x:c r="P932" s="2"/>
      <x:c r="Q932" s="2"/>
    </x:row>
    <x:row r="933" ht="22" customHeight="1">
      <x:c r="A933" s="2" t="str">
        <x:v>T6-L06-S3</x:v>
      </x:c>
      <x:c r="B933" s="2" t="str">
        <x:v>T6</x:v>
      </x:c>
      <x:c r="C933" s="2" t="str">
        <x:v>L06</x:v>
      </x:c>
      <x:c r="D933" s="2" t="str">
        <x:v>Slab Y through strips</x:v>
      </x:c>
      <x:c r="E933" s="21" t="n">
        <x:v>12</x:v>
      </x:c>
      <x:c r="F933" s="21" t="n">
        <x:v>262</x:v>
      </x:c>
      <x:c r="G933" s="21" t="n">
        <x:v>23.95</x:v>
      </x:c>
      <x:c r="H933" s="21" t="n">
        <x:f>E933^2*'Controls'!$B$52</x:f>
        <x:v>0.8877600000000001</x:v>
      </x:c>
      <x:c r="I933" s="21" t="n">
        <x:f>F933*G933*H933</x:f>
        <x:v>5570.605224</x:v>
      </x:c>
      <x:c r="J933" s="2" t="str">
        <x:v>2 layers x 131 bars outside central opening band</x:v>
      </x:c>
      <x:c r="K933" s="2"/>
      <x:c r="L933" s="2"/>
      <x:c r="M933" s="2"/>
      <x:c r="N933" s="2"/>
      <x:c r="O933" s="2"/>
      <x:c r="P933" s="2"/>
      <x:c r="Q933" s="2"/>
    </x:row>
    <x:row r="934" ht="22" customHeight="1">
      <x:c r="A934" s="7" t="str">
        <x:v>T6-L06-S4</x:v>
      </x:c>
      <x:c r="B934" s="7" t="str">
        <x:v>T6</x:v>
      </x:c>
      <x:c r="C934" s="7" t="str">
        <x:v>L06</x:v>
      </x:c>
      <x:c r="D934" s="7" t="str">
        <x:v>Slab Y split at core</x:v>
      </x:c>
      <x:c r="E934" s="20" t="n">
        <x:v>12</x:v>
      </x:c>
      <x:c r="F934" s="20" t="n">
        <x:v>40</x:v>
      </x:c>
      <x:c r="G934" s="20" t="n">
        <x:v>17.95</x:v>
      </x:c>
      <x:c r="H934" s="20" t="n">
        <x:f>E934^2*'Controls'!$B$52</x:f>
        <x:v>0.8877600000000001</x:v>
      </x:c>
      <x:c r="I934" s="20" t="n">
        <x:f>F934*G934*H934</x:f>
        <x:v>637.41168</x:v>
      </x:c>
      <x:c r="J934" s="7" t="str">
        <x:v>2 layers x 20 bars, split around 6 m opening</x:v>
      </x:c>
      <x:c r="K934" s="2"/>
      <x:c r="L934" s="2"/>
      <x:c r="M934" s="2"/>
      <x:c r="N934" s="2"/>
      <x:c r="O934" s="2"/>
      <x:c r="P934" s="2"/>
      <x:c r="Q934" s="2"/>
    </x:row>
    <x:row r="935" ht="22" customHeight="1">
      <x:c r="A935" s="2" t="str">
        <x:v>T6-L06-S5</x:v>
      </x:c>
      <x:c r="B935" s="2" t="str">
        <x:v>T6</x:v>
      </x:c>
      <x:c r="C935" s="2" t="str">
        <x:v>L06</x:v>
      </x:c>
      <x:c r="D935" s="2" t="str">
        <x:v>Opening trim bars</x:v>
      </x:c>
      <x:c r="E935" s="21" t="n">
        <x:v>16</x:v>
      </x:c>
      <x:c r="F935" s="21" t="n">
        <x:v>16</x:v>
      </x:c>
      <x:c r="G935" s="21" t="n">
        <x:v>7.2</x:v>
      </x:c>
      <x:c r="H935" s="21" t="n">
        <x:f>E935^2*'Controls'!$B$52</x:f>
        <x:v>1.57824</x:v>
      </x:c>
      <x:c r="I935" s="21" t="n">
        <x:f>F935*G935*H935</x:f>
        <x:v>181.81324800000002</x:v>
      </x:c>
      <x:c r="J935" s="2" t="str">
        <x:v>Trim allowance, explicit scheduled lengths</x:v>
      </x:c>
      <x:c r="K935" s="2"/>
      <x:c r="L935" s="2"/>
      <x:c r="M935" s="2"/>
      <x:c r="N935" s="2"/>
      <x:c r="O935" s="2"/>
      <x:c r="P935" s="2"/>
      <x:c r="Q935" s="2"/>
    </x:row>
    <x:row r="936" ht="22" customHeight="1">
      <x:c r="A936" s="7" t="str">
        <x:v>T6-L06-BX</x:v>
      </x:c>
      <x:c r="B936" s="7" t="str">
        <x:v>T6</x:v>
      </x:c>
      <x:c r="C936" s="7" t="str">
        <x:v>L06</x:v>
      </x:c>
      <x:c r="D936" s="7" t="str">
        <x:v>X beam longitudinal</x:v>
      </x:c>
      <x:c r="E936" s="20" t="n">
        <x:v>20</x:v>
      </x:c>
      <x:c r="F936" s="20" t="n">
        <x:v>150</x:v>
      </x:c>
      <x:c r="G936" s="20" t="n">
        <x:v>6.5</x:v>
      </x:c>
      <x:c r="H936" s="20" t="n">
        <x:f>E936^2*'Controls'!$B$52</x:f>
        <x:v>2.466</x:v>
      </x:c>
      <x:c r="I936" s="20" t="n">
        <x:f>F936*G936*H936</x:f>
        <x:v>2404.3500000000004</x:v>
      </x:c>
      <x:c r="J936" s="7" t="str">
        <x:v>25 spans x 6 bars incl. 1 m lap/anchorage provision</x:v>
      </x:c>
      <x:c r="K936" s="2"/>
      <x:c r="L936" s="2"/>
      <x:c r="M936" s="2"/>
      <x:c r="N936" s="2"/>
      <x:c r="O936" s="2"/>
      <x:c r="P936" s="2"/>
      <x:c r="Q936" s="2"/>
    </x:row>
    <x:row r="937" ht="22" customHeight="1">
      <x:c r="A937" s="2" t="str">
        <x:v>T6-L06-BY</x:v>
      </x:c>
      <x:c r="B937" s="2" t="str">
        <x:v>T6</x:v>
      </x:c>
      <x:c r="C937" s="2" t="str">
        <x:v>L06</x:v>
      </x:c>
      <x:c r="D937" s="2" t="str">
        <x:v>Y beam longitudinal</x:v>
      </x:c>
      <x:c r="E937" s="21" t="n">
        <x:v>20</x:v>
      </x:c>
      <x:c r="F937" s="21" t="n">
        <x:v>144</x:v>
      </x:c>
      <x:c r="G937" s="21" t="n">
        <x:v>6.5</x:v>
      </x:c>
      <x:c r="H937" s="21" t="n">
        <x:f>E937^2*'Controls'!$B$52</x:f>
        <x:v>2.466</x:v>
      </x:c>
      <x:c r="I937" s="21" t="n">
        <x:f>F937*G937*H937</x:f>
        <x:v>2308.1760000000004</x:v>
      </x:c>
      <x:c r="J937" s="2" t="str">
        <x:v>24 spans x 6 bars</x:v>
      </x:c>
      <x:c r="K937" s="2"/>
      <x:c r="L937" s="2"/>
      <x:c r="M937" s="2"/>
      <x:c r="N937" s="2"/>
      <x:c r="O937" s="2"/>
      <x:c r="P937" s="2"/>
      <x:c r="Q937" s="2"/>
    </x:row>
    <x:row r="938" ht="22" customHeight="1">
      <x:c r="A938" s="7" t="str">
        <x:v>T6-L06-BT</x:v>
      </x:c>
      <x:c r="B938" s="7" t="str">
        <x:v>T6</x:v>
      </x:c>
      <x:c r="C938" s="7" t="str">
        <x:v>L06</x:v>
      </x:c>
      <x:c r="D938" s="7" t="str">
        <x:v>Beam closed links</x:v>
      </x:c>
      <x:c r="E938" s="20" t="n">
        <x:v>10</x:v>
      </x:c>
      <x:c r="F938" s="20" t="n">
        <x:v>1421</x:v>
      </x:c>
      <x:c r="G938" s="20" t="n">
        <x:v>1.7</x:v>
      </x:c>
      <x:c r="H938" s="20" t="n">
        <x:f>E938^2*'Controls'!$B$52</x:f>
        <x:v>0.6165</x:v>
      </x:c>
      <x:c r="I938" s="20" t="n">
        <x:f>F938*G938*H938</x:f>
        <x:v>1489.27905</x:v>
      </x:c>
      <x:c r="J938" s="7" t="str">
        <x:v>49 beams x 29 links, 200 mm nominal</x:v>
      </x:c>
      <x:c r="K938" s="2"/>
      <x:c r="L938" s="2"/>
      <x:c r="M938" s="2"/>
      <x:c r="N938" s="2"/>
      <x:c r="O938" s="2"/>
      <x:c r="P938" s="2"/>
      <x:c r="Q938" s="2"/>
    </x:row>
    <x:row r="939" ht="22" customHeight="1">
      <x:c r="A939" s="2" t="str">
        <x:v>T6-L06-CL</x:v>
      </x:c>
      <x:c r="B939" s="2" t="str">
        <x:v>T6</x:v>
      </x:c>
      <x:c r="C939" s="2" t="str">
        <x:v>L06</x:v>
      </x:c>
      <x:c r="D939" s="2" t="str">
        <x:v>Column longitudinal</x:v>
      </x:c>
      <x:c r="E939" s="21" t="n">
        <x:v>25</x:v>
      </x:c>
      <x:c r="F939" s="21" t="n">
        <x:v>360</x:v>
      </x:c>
      <x:c r="G939" s="21" t="n">
        <x:v>3.9</x:v>
      </x:c>
      <x:c r="H939" s="21" t="n">
        <x:f>E939^2*'Controls'!$B$52</x:f>
        <x:v>3.8531250000000004</x:v>
      </x:c>
      <x:c r="I939" s="21" t="n">
        <x:f>F939*G939*H939</x:f>
        <x:v>5409.7875</x:v>
      </x:c>
      <x:c r="J939" s="2" t="str">
        <x:v>30 columns x 12 bars incl. lap</x:v>
      </x:c>
      <x:c r="K939" s="2"/>
      <x:c r="L939" s="2"/>
      <x:c r="M939" s="2"/>
      <x:c r="N939" s="2"/>
      <x:c r="O939" s="2"/>
      <x:c r="P939" s="2"/>
      <x:c r="Q939" s="2"/>
    </x:row>
    <x:row r="940" ht="22" customHeight="1">
      <x:c r="A940" s="7" t="str">
        <x:v>T6-L06-CT</x:v>
      </x:c>
      <x:c r="B940" s="7" t="str">
        <x:v>T6</x:v>
      </x:c>
      <x:c r="C940" s="7" t="str">
        <x:v>L06</x:v>
      </x:c>
      <x:c r="D940" s="7" t="str">
        <x:v>Column ties</x:v>
      </x:c>
      <x:c r="E940" s="20" t="n">
        <x:v>10</x:v>
      </x:c>
      <x:c r="F940" s="20" t="n">
        <x:v>510</x:v>
      </x:c>
      <x:c r="G940" s="20" t="n">
        <x:v>1.96</x:v>
      </x:c>
      <x:c r="H940" s="20" t="n">
        <x:f>E940^2*'Controls'!$B$52</x:f>
        <x:v>0.6165</x:v>
      </x:c>
      <x:c r="I940" s="20" t="n">
        <x:f>F940*G940*H940</x:f>
        <x:v>616.2534</x:v>
      </x:c>
      <x:c r="J940" s="7" t="str">
        <x:v>30 columns x 17 ties, cover and hooks included</x:v>
      </x:c>
      <x:c r="K940" s="2"/>
      <x:c r="L940" s="2"/>
      <x:c r="M940" s="2"/>
      <x:c r="N940" s="2"/>
      <x:c r="O940" s="2"/>
      <x:c r="P940" s="2"/>
      <x:c r="Q940" s="2"/>
    </x:row>
    <x:row r="941" ht="22" customHeight="1">
      <x:c r="A941" s="2" t="str">
        <x:v>T6-L06-CV</x:v>
      </x:c>
      <x:c r="B941" s="2" t="str">
        <x:v>T6</x:v>
      </x:c>
      <x:c r="C941" s="2" t="str">
        <x:v>L06</x:v>
      </x:c>
      <x:c r="D941" s="2" t="str">
        <x:v>Core vertical bars</x:v>
      </x:c>
      <x:c r="E941" s="21" t="n">
        <x:v>16</x:v>
      </x:c>
      <x:c r="F941" s="21" t="n">
        <x:v>244</x:v>
      </x:c>
      <x:c r="G941" s="21" t="n">
        <x:v>3.9</x:v>
      </x:c>
      <x:c r="H941" s="21" t="n">
        <x:f>E941^2*'Controls'!$B$52</x:f>
        <x:v>1.57824</x:v>
      </x:c>
      <x:c r="I941" s="21" t="n">
        <x:f>F941*G941*H941</x:f>
        <x:v>1501.853184</x:v>
      </x:c>
      <x:c r="J941" s="2" t="str">
        <x:v>Two faces, 200 mm nominal along 24 m net length</x:v>
      </x:c>
      <x:c r="K941" s="2"/>
      <x:c r="L941" s="2"/>
      <x:c r="M941" s="2"/>
      <x:c r="N941" s="2"/>
      <x:c r="O941" s="2"/>
      <x:c r="P941" s="2"/>
      <x:c r="Q941" s="2"/>
    </x:row>
    <x:row r="942" ht="22" customHeight="1">
      <x:c r="A942" s="7" t="str">
        <x:v>T6-L06-CH</x:v>
      </x:c>
      <x:c r="B942" s="7" t="str">
        <x:v>T6</x:v>
      </x:c>
      <x:c r="C942" s="7" t="str">
        <x:v>L06</x:v>
      </x:c>
      <x:c r="D942" s="7" t="str">
        <x:v>Core horizontal bars</x:v>
      </x:c>
      <x:c r="E942" s="20" t="n">
        <x:v>12</x:v>
      </x:c>
      <x:c r="F942" s="20" t="n">
        <x:v>32</x:v>
      </x:c>
      <x:c r="G942" s="20" t="n">
        <x:v>25</x:v>
      </x:c>
      <x:c r="H942" s="20" t="n">
        <x:f>E942^2*'Controls'!$B$52</x:f>
        <x:v>0.8877600000000001</x:v>
      </x:c>
      <x:c r="I942" s="20" t="n">
        <x:f>F942*G942*H942</x:f>
        <x:v>710.2080000000001</x:v>
      </x:c>
      <x:c r="J942" s="7" t="str">
        <x:v>Two faces x 16 layers incl. lap</x:v>
      </x:c>
      <x:c r="K942" s="2"/>
      <x:c r="L942" s="2"/>
      <x:c r="M942" s="2"/>
      <x:c r="N942" s="2"/>
      <x:c r="O942" s="2"/>
      <x:c r="P942" s="2"/>
      <x:c r="Q942" s="2"/>
    </x:row>
    <x:row r="943" ht="22" customHeight="1">
      <x:c r="A943" s="2" t="str">
        <x:v>T6-L06-ST</x:v>
      </x:c>
      <x:c r="B943" s="2" t="str">
        <x:v>T6</x:v>
      </x:c>
      <x:c r="C943" s="2" t="str">
        <x:v>L06</x:v>
      </x:c>
      <x:c r="D943" s="2" t="str">
        <x:v>Stair flights and landings</x:v>
      </x:c>
      <x:c r="E943" s="21" t="n">
        <x:v>12</x:v>
      </x:c>
      <x:c r="F943" s="21" t="n">
        <x:v>80</x:v>
      </x:c>
      <x:c r="G943" s="21" t="n">
        <x:v>4.8</x:v>
      </x:c>
      <x:c r="H943" s="21" t="n">
        <x:f>E943^2*'Controls'!$B$52</x:f>
        <x:v>0.8877600000000001</x:v>
      </x:c>
      <x:c r="I943" s="21" t="n">
        <x:f>F943*G943*H943</x:f>
        <x:v>340.89984000000004</x:v>
      </x:c>
      <x:c r="J943" s="2" t="str">
        <x:v>Separate stair reinforcement allowance</x:v>
      </x:c>
      <x:c r="K943" s="2"/>
      <x:c r="L943" s="2"/>
      <x:c r="M943" s="2"/>
      <x:c r="N943" s="2"/>
      <x:c r="O943" s="2"/>
      <x:c r="P943" s="2"/>
      <x:c r="Q943" s="2"/>
    </x:row>
    <x:row r="944" ht="22" customHeight="1">
      <x:c r="A944" s="7" t="str">
        <x:v>T6-L07-S1</x:v>
      </x:c>
      <x:c r="B944" s="7" t="str">
        <x:v>T6</x:v>
      </x:c>
      <x:c r="C944" s="7" t="str">
        <x:v>L07</x:v>
      </x:c>
      <x:c r="D944" s="7" t="str">
        <x:v>Slab X through strips</x:v>
      </x:c>
      <x:c r="E944" s="20" t="n">
        <x:v>12</x:v>
      </x:c>
      <x:c r="F944" s="20" t="n">
        <x:v>182</x:v>
      </x:c>
      <x:c r="G944" s="20" t="n">
        <x:v>29.95</x:v>
      </x:c>
      <x:c r="H944" s="20" t="n">
        <x:f>E944^2*'Controls'!$B$52</x:f>
        <x:v>0.8877600000000001</x:v>
      </x:c>
      <x:c r="I944" s="20" t="n">
        <x:f>F944*G944*H944</x:f>
        <x:v>4839.090984</x:v>
      </x:c>
      <x:c r="J944" s="7" t="str">
        <x:v>2 layers x 91 bars outside central opening band</x:v>
      </x:c>
      <x:c r="K944" s="2"/>
      <x:c r="L944" s="2"/>
      <x:c r="M944" s="2"/>
      <x:c r="N944" s="2"/>
      <x:c r="O944" s="2"/>
      <x:c r="P944" s="2"/>
      <x:c r="Q944" s="2"/>
    </x:row>
    <x:row r="945" ht="22" customHeight="1">
      <x:c r="A945" s="2" t="str">
        <x:v>T6-L07-S2</x:v>
      </x:c>
      <x:c r="B945" s="2" t="str">
        <x:v>T6</x:v>
      </x:c>
      <x:c r="C945" s="2" t="str">
        <x:v>L07</x:v>
      </x:c>
      <x:c r="D945" s="2" t="str">
        <x:v>Slab X split at core</x:v>
      </x:c>
      <x:c r="E945" s="21" t="n">
        <x:v>12</x:v>
      </x:c>
      <x:c r="F945" s="21" t="n">
        <x:v>60</x:v>
      </x:c>
      <x:c r="G945" s="21" t="n">
        <x:v>25.95</x:v>
      </x:c>
      <x:c r="H945" s="21" t="n">
        <x:f>E945^2*'Controls'!$B$52</x:f>
        <x:v>0.8877600000000001</x:v>
      </x:c>
      <x:c r="I945" s="21" t="n">
        <x:f>F945*G945*H945</x:f>
        <x:v>1382.24232</x:v>
      </x:c>
      <x:c r="J945" s="2" t="str">
        <x:v>2 layers x 30 bars, split lengths combined around 4 m opening</x:v>
      </x:c>
      <x:c r="K945" s="2"/>
      <x:c r="L945" s="2"/>
      <x:c r="M945" s="2"/>
      <x:c r="N945" s="2"/>
      <x:c r="O945" s="2"/>
      <x:c r="P945" s="2"/>
      <x:c r="Q945" s="2"/>
    </x:row>
    <x:row r="946" ht="22" customHeight="1">
      <x:c r="A946" s="7" t="str">
        <x:v>T6-L07-S3</x:v>
      </x:c>
      <x:c r="B946" s="7" t="str">
        <x:v>T6</x:v>
      </x:c>
      <x:c r="C946" s="7" t="str">
        <x:v>L07</x:v>
      </x:c>
      <x:c r="D946" s="7" t="str">
        <x:v>Slab Y through strips</x:v>
      </x:c>
      <x:c r="E946" s="20" t="n">
        <x:v>12</x:v>
      </x:c>
      <x:c r="F946" s="20" t="n">
        <x:v>262</x:v>
      </x:c>
      <x:c r="G946" s="20" t="n">
        <x:v>23.95</x:v>
      </x:c>
      <x:c r="H946" s="20" t="n">
        <x:f>E946^2*'Controls'!$B$52</x:f>
        <x:v>0.8877600000000001</x:v>
      </x:c>
      <x:c r="I946" s="20" t="n">
        <x:f>F946*G946*H946</x:f>
        <x:v>5570.605224</x:v>
      </x:c>
      <x:c r="J946" s="7" t="str">
        <x:v>2 layers x 131 bars outside central opening band</x:v>
      </x:c>
      <x:c r="K946" s="2"/>
      <x:c r="L946" s="2"/>
      <x:c r="M946" s="2"/>
      <x:c r="N946" s="2"/>
      <x:c r="O946" s="2"/>
      <x:c r="P946" s="2"/>
      <x:c r="Q946" s="2"/>
    </x:row>
    <x:row r="947" ht="22" customHeight="1">
      <x:c r="A947" s="2" t="str">
        <x:v>T6-L07-S4</x:v>
      </x:c>
      <x:c r="B947" s="2" t="str">
        <x:v>T6</x:v>
      </x:c>
      <x:c r="C947" s="2" t="str">
        <x:v>L07</x:v>
      </x:c>
      <x:c r="D947" s="2" t="str">
        <x:v>Slab Y split at core</x:v>
      </x:c>
      <x:c r="E947" s="21" t="n">
        <x:v>12</x:v>
      </x:c>
      <x:c r="F947" s="21" t="n">
        <x:v>40</x:v>
      </x:c>
      <x:c r="G947" s="21" t="n">
        <x:v>17.95</x:v>
      </x:c>
      <x:c r="H947" s="21" t="n">
        <x:f>E947^2*'Controls'!$B$52</x:f>
        <x:v>0.8877600000000001</x:v>
      </x:c>
      <x:c r="I947" s="21" t="n">
        <x:f>F947*G947*H947</x:f>
        <x:v>637.41168</x:v>
      </x:c>
      <x:c r="J947" s="2" t="str">
        <x:v>2 layers x 20 bars, split around 6 m opening</x:v>
      </x:c>
      <x:c r="K947" s="2"/>
      <x:c r="L947" s="2"/>
      <x:c r="M947" s="2"/>
      <x:c r="N947" s="2"/>
      <x:c r="O947" s="2"/>
      <x:c r="P947" s="2"/>
      <x:c r="Q947" s="2"/>
    </x:row>
    <x:row r="948" ht="22" customHeight="1">
      <x:c r="A948" s="7" t="str">
        <x:v>T6-L07-S5</x:v>
      </x:c>
      <x:c r="B948" s="7" t="str">
        <x:v>T6</x:v>
      </x:c>
      <x:c r="C948" s="7" t="str">
        <x:v>L07</x:v>
      </x:c>
      <x:c r="D948" s="7" t="str">
        <x:v>Opening trim bars</x:v>
      </x:c>
      <x:c r="E948" s="20" t="n">
        <x:v>16</x:v>
      </x:c>
      <x:c r="F948" s="20" t="n">
        <x:v>16</x:v>
      </x:c>
      <x:c r="G948" s="20" t="n">
        <x:v>7.2</x:v>
      </x:c>
      <x:c r="H948" s="20" t="n">
        <x:f>E948^2*'Controls'!$B$52</x:f>
        <x:v>1.57824</x:v>
      </x:c>
      <x:c r="I948" s="20" t="n">
        <x:f>F948*G948*H948</x:f>
        <x:v>181.81324800000002</x:v>
      </x:c>
      <x:c r="J948" s="7" t="str">
        <x:v>Trim allowance, explicit scheduled lengths</x:v>
      </x:c>
      <x:c r="K948" s="2"/>
      <x:c r="L948" s="2"/>
      <x:c r="M948" s="2"/>
      <x:c r="N948" s="2"/>
      <x:c r="O948" s="2"/>
      <x:c r="P948" s="2"/>
      <x:c r="Q948" s="2"/>
    </x:row>
    <x:row r="949" ht="22" customHeight="1">
      <x:c r="A949" s="2" t="str">
        <x:v>T6-L07-BX</x:v>
      </x:c>
      <x:c r="B949" s="2" t="str">
        <x:v>T6</x:v>
      </x:c>
      <x:c r="C949" s="2" t="str">
        <x:v>L07</x:v>
      </x:c>
      <x:c r="D949" s="2" t="str">
        <x:v>X beam longitudinal</x:v>
      </x:c>
      <x:c r="E949" s="21" t="n">
        <x:v>20</x:v>
      </x:c>
      <x:c r="F949" s="21" t="n">
        <x:v>150</x:v>
      </x:c>
      <x:c r="G949" s="21" t="n">
        <x:v>6.5</x:v>
      </x:c>
      <x:c r="H949" s="21" t="n">
        <x:f>E949^2*'Controls'!$B$52</x:f>
        <x:v>2.466</x:v>
      </x:c>
      <x:c r="I949" s="21" t="n">
        <x:f>F949*G949*H949</x:f>
        <x:v>2404.3500000000004</x:v>
      </x:c>
      <x:c r="J949" s="2" t="str">
        <x:v>25 spans x 6 bars incl. 1 m lap/anchorage provision</x:v>
      </x:c>
      <x:c r="K949" s="2"/>
      <x:c r="L949" s="2"/>
      <x:c r="M949" s="2"/>
      <x:c r="N949" s="2"/>
      <x:c r="O949" s="2"/>
      <x:c r="P949" s="2"/>
      <x:c r="Q949" s="2"/>
    </x:row>
    <x:row r="950" ht="22" customHeight="1">
      <x:c r="A950" s="7" t="str">
        <x:v>T6-L07-BY</x:v>
      </x:c>
      <x:c r="B950" s="7" t="str">
        <x:v>T6</x:v>
      </x:c>
      <x:c r="C950" s="7" t="str">
        <x:v>L07</x:v>
      </x:c>
      <x:c r="D950" s="7" t="str">
        <x:v>Y beam longitudinal</x:v>
      </x:c>
      <x:c r="E950" s="20" t="n">
        <x:v>20</x:v>
      </x:c>
      <x:c r="F950" s="20" t="n">
        <x:v>144</x:v>
      </x:c>
      <x:c r="G950" s="20" t="n">
        <x:v>6.5</x:v>
      </x:c>
      <x:c r="H950" s="20" t="n">
        <x:f>E950^2*'Controls'!$B$52</x:f>
        <x:v>2.466</x:v>
      </x:c>
      <x:c r="I950" s="20" t="n">
        <x:f>F950*G950*H950</x:f>
        <x:v>2308.1760000000004</x:v>
      </x:c>
      <x:c r="J950" s="7" t="str">
        <x:v>24 spans x 6 bars</x:v>
      </x:c>
      <x:c r="K950" s="2"/>
      <x:c r="L950" s="2"/>
      <x:c r="M950" s="2"/>
      <x:c r="N950" s="2"/>
      <x:c r="O950" s="2"/>
      <x:c r="P950" s="2"/>
      <x:c r="Q950" s="2"/>
    </x:row>
    <x:row r="951" ht="22" customHeight="1">
      <x:c r="A951" s="2" t="str">
        <x:v>T6-L07-BT</x:v>
      </x:c>
      <x:c r="B951" s="2" t="str">
        <x:v>T6</x:v>
      </x:c>
      <x:c r="C951" s="2" t="str">
        <x:v>L07</x:v>
      </x:c>
      <x:c r="D951" s="2" t="str">
        <x:v>Beam closed links</x:v>
      </x:c>
      <x:c r="E951" s="21" t="n">
        <x:v>10</x:v>
      </x:c>
      <x:c r="F951" s="21" t="n">
        <x:v>1421</x:v>
      </x:c>
      <x:c r="G951" s="21" t="n">
        <x:v>1.7</x:v>
      </x:c>
      <x:c r="H951" s="21" t="n">
        <x:f>E951^2*'Controls'!$B$52</x:f>
        <x:v>0.6165</x:v>
      </x:c>
      <x:c r="I951" s="21" t="n">
        <x:f>F951*G951*H951</x:f>
        <x:v>1489.27905</x:v>
      </x:c>
      <x:c r="J951" s="2" t="str">
        <x:v>49 beams x 29 links, 200 mm nominal</x:v>
      </x:c>
      <x:c r="K951" s="2"/>
      <x:c r="L951" s="2"/>
      <x:c r="M951" s="2"/>
      <x:c r="N951" s="2"/>
      <x:c r="O951" s="2"/>
      <x:c r="P951" s="2"/>
      <x:c r="Q951" s="2"/>
    </x:row>
    <x:row r="952" ht="22" customHeight="1">
      <x:c r="A952" s="7" t="str">
        <x:v>T6-L07-CL</x:v>
      </x:c>
      <x:c r="B952" s="7" t="str">
        <x:v>T6</x:v>
      </x:c>
      <x:c r="C952" s="7" t="str">
        <x:v>L07</x:v>
      </x:c>
      <x:c r="D952" s="7" t="str">
        <x:v>Column longitudinal</x:v>
      </x:c>
      <x:c r="E952" s="20" t="n">
        <x:v>25</x:v>
      </x:c>
      <x:c r="F952" s="20" t="n">
        <x:v>360</x:v>
      </x:c>
      <x:c r="G952" s="20" t="n">
        <x:v>3.9</x:v>
      </x:c>
      <x:c r="H952" s="20" t="n">
        <x:f>E952^2*'Controls'!$B$52</x:f>
        <x:v>3.8531250000000004</x:v>
      </x:c>
      <x:c r="I952" s="20" t="n">
        <x:f>F952*G952*H952</x:f>
        <x:v>5409.7875</x:v>
      </x:c>
      <x:c r="J952" s="7" t="str">
        <x:v>30 columns x 12 bars incl. lap</x:v>
      </x:c>
      <x:c r="K952" s="2"/>
      <x:c r="L952" s="2"/>
      <x:c r="M952" s="2"/>
      <x:c r="N952" s="2"/>
      <x:c r="O952" s="2"/>
      <x:c r="P952" s="2"/>
      <x:c r="Q952" s="2"/>
    </x:row>
    <x:row r="953" ht="22" customHeight="1">
      <x:c r="A953" s="2" t="str">
        <x:v>T6-L07-CT</x:v>
      </x:c>
      <x:c r="B953" s="2" t="str">
        <x:v>T6</x:v>
      </x:c>
      <x:c r="C953" s="2" t="str">
        <x:v>L07</x:v>
      </x:c>
      <x:c r="D953" s="2" t="str">
        <x:v>Column ties</x:v>
      </x:c>
      <x:c r="E953" s="21" t="n">
        <x:v>10</x:v>
      </x:c>
      <x:c r="F953" s="21" t="n">
        <x:v>510</x:v>
      </x:c>
      <x:c r="G953" s="21" t="n">
        <x:v>1.96</x:v>
      </x:c>
      <x:c r="H953" s="21" t="n">
        <x:f>E953^2*'Controls'!$B$52</x:f>
        <x:v>0.6165</x:v>
      </x:c>
      <x:c r="I953" s="21" t="n">
        <x:f>F953*G953*H953</x:f>
        <x:v>616.2534</x:v>
      </x:c>
      <x:c r="J953" s="2" t="str">
        <x:v>30 columns x 17 ties, cover and hooks included</x:v>
      </x:c>
      <x:c r="K953" s="2"/>
      <x:c r="L953" s="2"/>
      <x:c r="M953" s="2"/>
      <x:c r="N953" s="2"/>
      <x:c r="O953" s="2"/>
      <x:c r="P953" s="2"/>
      <x:c r="Q953" s="2"/>
    </x:row>
    <x:row r="954" ht="22" customHeight="1">
      <x:c r="A954" s="7" t="str">
        <x:v>T6-L07-CV</x:v>
      </x:c>
      <x:c r="B954" s="7" t="str">
        <x:v>T6</x:v>
      </x:c>
      <x:c r="C954" s="7" t="str">
        <x:v>L07</x:v>
      </x:c>
      <x:c r="D954" s="7" t="str">
        <x:v>Core vertical bars</x:v>
      </x:c>
      <x:c r="E954" s="20" t="n">
        <x:v>16</x:v>
      </x:c>
      <x:c r="F954" s="20" t="n">
        <x:v>244</x:v>
      </x:c>
      <x:c r="G954" s="20" t="n">
        <x:v>3.9</x:v>
      </x:c>
      <x:c r="H954" s="20" t="n">
        <x:f>E954^2*'Controls'!$B$52</x:f>
        <x:v>1.57824</x:v>
      </x:c>
      <x:c r="I954" s="20" t="n">
        <x:f>F954*G954*H954</x:f>
        <x:v>1501.853184</x:v>
      </x:c>
      <x:c r="J954" s="7" t="str">
        <x:v>Two faces, 200 mm nominal along 24 m net length</x:v>
      </x:c>
      <x:c r="K954" s="2"/>
      <x:c r="L954" s="2"/>
      <x:c r="M954" s="2"/>
      <x:c r="N954" s="2"/>
      <x:c r="O954" s="2"/>
      <x:c r="P954" s="2"/>
      <x:c r="Q954" s="2"/>
    </x:row>
    <x:row r="955" ht="22" customHeight="1">
      <x:c r="A955" s="2" t="str">
        <x:v>T6-L07-CH</x:v>
      </x:c>
      <x:c r="B955" s="2" t="str">
        <x:v>T6</x:v>
      </x:c>
      <x:c r="C955" s="2" t="str">
        <x:v>L07</x:v>
      </x:c>
      <x:c r="D955" s="2" t="str">
        <x:v>Core horizontal bars</x:v>
      </x:c>
      <x:c r="E955" s="21" t="n">
        <x:v>12</x:v>
      </x:c>
      <x:c r="F955" s="21" t="n">
        <x:v>32</x:v>
      </x:c>
      <x:c r="G955" s="21" t="n">
        <x:v>25</x:v>
      </x:c>
      <x:c r="H955" s="21" t="n">
        <x:f>E955^2*'Controls'!$B$52</x:f>
        <x:v>0.8877600000000001</x:v>
      </x:c>
      <x:c r="I955" s="21" t="n">
        <x:f>F955*G955*H955</x:f>
        <x:v>710.2080000000001</x:v>
      </x:c>
      <x:c r="J955" s="2" t="str">
        <x:v>Two faces x 16 layers incl. lap</x:v>
      </x:c>
      <x:c r="K955" s="2"/>
      <x:c r="L955" s="2"/>
      <x:c r="M955" s="2"/>
      <x:c r="N955" s="2"/>
      <x:c r="O955" s="2"/>
      <x:c r="P955" s="2"/>
      <x:c r="Q955" s="2"/>
    </x:row>
    <x:row r="956" ht="22" customHeight="1">
      <x:c r="A956" s="7" t="str">
        <x:v>T6-L07-ST</x:v>
      </x:c>
      <x:c r="B956" s="7" t="str">
        <x:v>T6</x:v>
      </x:c>
      <x:c r="C956" s="7" t="str">
        <x:v>L07</x:v>
      </x:c>
      <x:c r="D956" s="7" t="str">
        <x:v>Stair flights and landings</x:v>
      </x:c>
      <x:c r="E956" s="20" t="n">
        <x:v>12</x:v>
      </x:c>
      <x:c r="F956" s="20" t="n">
        <x:v>80</x:v>
      </x:c>
      <x:c r="G956" s="20" t="n">
        <x:v>4.8</x:v>
      </x:c>
      <x:c r="H956" s="20" t="n">
        <x:f>E956^2*'Controls'!$B$52</x:f>
        <x:v>0.8877600000000001</x:v>
      </x:c>
      <x:c r="I956" s="20" t="n">
        <x:f>F956*G956*H956</x:f>
        <x:v>340.89984000000004</x:v>
      </x:c>
      <x:c r="J956" s="7" t="str">
        <x:v>Separate stair reinforcement allowance</x:v>
      </x:c>
      <x:c r="K956" s="2"/>
      <x:c r="L956" s="2"/>
      <x:c r="M956" s="2"/>
      <x:c r="N956" s="2"/>
      <x:c r="O956" s="2"/>
      <x:c r="P956" s="2"/>
      <x:c r="Q956" s="2"/>
    </x:row>
    <x:row r="957" ht="22" customHeight="1">
      <x:c r="A957" s="2" t="str">
        <x:v>T6-L08-S1</x:v>
      </x:c>
      <x:c r="B957" s="2" t="str">
        <x:v>T6</x:v>
      </x:c>
      <x:c r="C957" s="2" t="str">
        <x:v>L08</x:v>
      </x:c>
      <x:c r="D957" s="2" t="str">
        <x:v>Slab X through strips</x:v>
      </x:c>
      <x:c r="E957" s="21" t="n">
        <x:v>12</x:v>
      </x:c>
      <x:c r="F957" s="21" t="n">
        <x:v>182</x:v>
      </x:c>
      <x:c r="G957" s="21" t="n">
        <x:v>29.95</x:v>
      </x:c>
      <x:c r="H957" s="21" t="n">
        <x:f>E957^2*'Controls'!$B$52</x:f>
        <x:v>0.8877600000000001</x:v>
      </x:c>
      <x:c r="I957" s="21" t="n">
        <x:f>F957*G957*H957</x:f>
        <x:v>4839.090984</x:v>
      </x:c>
      <x:c r="J957" s="2" t="str">
        <x:v>2 layers x 91 bars outside central opening band</x:v>
      </x:c>
      <x:c r="K957" s="2"/>
      <x:c r="L957" s="2"/>
      <x:c r="M957" s="2"/>
      <x:c r="N957" s="2"/>
      <x:c r="O957" s="2"/>
      <x:c r="P957" s="2"/>
      <x:c r="Q957" s="2"/>
    </x:row>
    <x:row r="958" ht="22" customHeight="1">
      <x:c r="A958" s="7" t="str">
        <x:v>T6-L08-S2</x:v>
      </x:c>
      <x:c r="B958" s="7" t="str">
        <x:v>T6</x:v>
      </x:c>
      <x:c r="C958" s="7" t="str">
        <x:v>L08</x:v>
      </x:c>
      <x:c r="D958" s="7" t="str">
        <x:v>Slab X split at core</x:v>
      </x:c>
      <x:c r="E958" s="20" t="n">
        <x:v>12</x:v>
      </x:c>
      <x:c r="F958" s="20" t="n">
        <x:v>60</x:v>
      </x:c>
      <x:c r="G958" s="20" t="n">
        <x:v>25.95</x:v>
      </x:c>
      <x:c r="H958" s="20" t="n">
        <x:f>E958^2*'Controls'!$B$52</x:f>
        <x:v>0.8877600000000001</x:v>
      </x:c>
      <x:c r="I958" s="20" t="n">
        <x:f>F958*G958*H958</x:f>
        <x:v>1382.24232</x:v>
      </x:c>
      <x:c r="J958" s="7" t="str">
        <x:v>2 layers x 30 bars, split lengths combined around 4 m opening</x:v>
      </x:c>
      <x:c r="K958" s="2"/>
      <x:c r="L958" s="2"/>
      <x:c r="M958" s="2"/>
      <x:c r="N958" s="2"/>
      <x:c r="O958" s="2"/>
      <x:c r="P958" s="2"/>
      <x:c r="Q958" s="2"/>
    </x:row>
    <x:row r="959" ht="22" customHeight="1">
      <x:c r="A959" s="2" t="str">
        <x:v>T6-L08-S3</x:v>
      </x:c>
      <x:c r="B959" s="2" t="str">
        <x:v>T6</x:v>
      </x:c>
      <x:c r="C959" s="2" t="str">
        <x:v>L08</x:v>
      </x:c>
      <x:c r="D959" s="2" t="str">
        <x:v>Slab Y through strips</x:v>
      </x:c>
      <x:c r="E959" s="21" t="n">
        <x:v>12</x:v>
      </x:c>
      <x:c r="F959" s="21" t="n">
        <x:v>262</x:v>
      </x:c>
      <x:c r="G959" s="21" t="n">
        <x:v>23.95</x:v>
      </x:c>
      <x:c r="H959" s="21" t="n">
        <x:f>E959^2*'Controls'!$B$52</x:f>
        <x:v>0.8877600000000001</x:v>
      </x:c>
      <x:c r="I959" s="21" t="n">
        <x:f>F959*G959*H959</x:f>
        <x:v>5570.605224</x:v>
      </x:c>
      <x:c r="J959" s="2" t="str">
        <x:v>2 layers x 131 bars outside central opening band</x:v>
      </x:c>
      <x:c r="K959" s="2"/>
      <x:c r="L959" s="2"/>
      <x:c r="M959" s="2"/>
      <x:c r="N959" s="2"/>
      <x:c r="O959" s="2"/>
      <x:c r="P959" s="2"/>
      <x:c r="Q959" s="2"/>
    </x:row>
    <x:row r="960" ht="22" customHeight="1">
      <x:c r="A960" s="7" t="str">
        <x:v>T6-L08-S4</x:v>
      </x:c>
      <x:c r="B960" s="7" t="str">
        <x:v>T6</x:v>
      </x:c>
      <x:c r="C960" s="7" t="str">
        <x:v>L08</x:v>
      </x:c>
      <x:c r="D960" s="7" t="str">
        <x:v>Slab Y split at core</x:v>
      </x:c>
      <x:c r="E960" s="20" t="n">
        <x:v>12</x:v>
      </x:c>
      <x:c r="F960" s="20" t="n">
        <x:v>40</x:v>
      </x:c>
      <x:c r="G960" s="20" t="n">
        <x:v>17.95</x:v>
      </x:c>
      <x:c r="H960" s="20" t="n">
        <x:f>E960^2*'Controls'!$B$52</x:f>
        <x:v>0.8877600000000001</x:v>
      </x:c>
      <x:c r="I960" s="20" t="n">
        <x:f>F960*G960*H960</x:f>
        <x:v>637.41168</x:v>
      </x:c>
      <x:c r="J960" s="7" t="str">
        <x:v>2 layers x 20 bars, split around 6 m opening</x:v>
      </x:c>
      <x:c r="K960" s="2"/>
      <x:c r="L960" s="2"/>
      <x:c r="M960" s="2"/>
      <x:c r="N960" s="2"/>
      <x:c r="O960" s="2"/>
      <x:c r="P960" s="2"/>
      <x:c r="Q960" s="2"/>
    </x:row>
    <x:row r="961" ht="22" customHeight="1">
      <x:c r="A961" s="2" t="str">
        <x:v>T6-L08-S5</x:v>
      </x:c>
      <x:c r="B961" s="2" t="str">
        <x:v>T6</x:v>
      </x:c>
      <x:c r="C961" s="2" t="str">
        <x:v>L08</x:v>
      </x:c>
      <x:c r="D961" s="2" t="str">
        <x:v>Opening trim bars</x:v>
      </x:c>
      <x:c r="E961" s="21" t="n">
        <x:v>16</x:v>
      </x:c>
      <x:c r="F961" s="21" t="n">
        <x:v>16</x:v>
      </x:c>
      <x:c r="G961" s="21" t="n">
        <x:v>7.2</x:v>
      </x:c>
      <x:c r="H961" s="21" t="n">
        <x:f>E961^2*'Controls'!$B$52</x:f>
        <x:v>1.57824</x:v>
      </x:c>
      <x:c r="I961" s="21" t="n">
        <x:f>F961*G961*H961</x:f>
        <x:v>181.81324800000002</x:v>
      </x:c>
      <x:c r="J961" s="2" t="str">
        <x:v>Trim allowance, explicit scheduled lengths</x:v>
      </x:c>
      <x:c r="K961" s="2"/>
      <x:c r="L961" s="2"/>
      <x:c r="M961" s="2"/>
      <x:c r="N961" s="2"/>
      <x:c r="O961" s="2"/>
      <x:c r="P961" s="2"/>
      <x:c r="Q961" s="2"/>
    </x:row>
    <x:row r="962" ht="22" customHeight="1">
      <x:c r="A962" s="7" t="str">
        <x:v>T6-L08-BX</x:v>
      </x:c>
      <x:c r="B962" s="7" t="str">
        <x:v>T6</x:v>
      </x:c>
      <x:c r="C962" s="7" t="str">
        <x:v>L08</x:v>
      </x:c>
      <x:c r="D962" s="7" t="str">
        <x:v>X beam longitudinal</x:v>
      </x:c>
      <x:c r="E962" s="20" t="n">
        <x:v>20</x:v>
      </x:c>
      <x:c r="F962" s="20" t="n">
        <x:v>150</x:v>
      </x:c>
      <x:c r="G962" s="20" t="n">
        <x:v>6.5</x:v>
      </x:c>
      <x:c r="H962" s="20" t="n">
        <x:f>E962^2*'Controls'!$B$52</x:f>
        <x:v>2.466</x:v>
      </x:c>
      <x:c r="I962" s="20" t="n">
        <x:f>F962*G962*H962</x:f>
        <x:v>2404.3500000000004</x:v>
      </x:c>
      <x:c r="J962" s="7" t="str">
        <x:v>25 spans x 6 bars incl. 1 m lap/anchorage provision</x:v>
      </x:c>
      <x:c r="K962" s="2"/>
      <x:c r="L962" s="2"/>
      <x:c r="M962" s="2"/>
      <x:c r="N962" s="2"/>
      <x:c r="O962" s="2"/>
      <x:c r="P962" s="2"/>
      <x:c r="Q962" s="2"/>
    </x:row>
    <x:row r="963" ht="22" customHeight="1">
      <x:c r="A963" s="2" t="str">
        <x:v>T6-L08-BY</x:v>
      </x:c>
      <x:c r="B963" s="2" t="str">
        <x:v>T6</x:v>
      </x:c>
      <x:c r="C963" s="2" t="str">
        <x:v>L08</x:v>
      </x:c>
      <x:c r="D963" s="2" t="str">
        <x:v>Y beam longitudinal</x:v>
      </x:c>
      <x:c r="E963" s="21" t="n">
        <x:v>20</x:v>
      </x:c>
      <x:c r="F963" s="21" t="n">
        <x:v>144</x:v>
      </x:c>
      <x:c r="G963" s="21" t="n">
        <x:v>6.5</x:v>
      </x:c>
      <x:c r="H963" s="21" t="n">
        <x:f>E963^2*'Controls'!$B$52</x:f>
        <x:v>2.466</x:v>
      </x:c>
      <x:c r="I963" s="21" t="n">
        <x:f>F963*G963*H963</x:f>
        <x:v>2308.1760000000004</x:v>
      </x:c>
      <x:c r="J963" s="2" t="str">
        <x:v>24 spans x 6 bars</x:v>
      </x:c>
      <x:c r="K963" s="2"/>
      <x:c r="L963" s="2"/>
      <x:c r="M963" s="2"/>
      <x:c r="N963" s="2"/>
      <x:c r="O963" s="2"/>
      <x:c r="P963" s="2"/>
      <x:c r="Q963" s="2"/>
    </x:row>
    <x:row r="964" ht="22" customHeight="1">
      <x:c r="A964" s="7" t="str">
        <x:v>T6-L08-BT</x:v>
      </x:c>
      <x:c r="B964" s="7" t="str">
        <x:v>T6</x:v>
      </x:c>
      <x:c r="C964" s="7" t="str">
        <x:v>L08</x:v>
      </x:c>
      <x:c r="D964" s="7" t="str">
        <x:v>Beam closed links</x:v>
      </x:c>
      <x:c r="E964" s="20" t="n">
        <x:v>10</x:v>
      </x:c>
      <x:c r="F964" s="20" t="n">
        <x:v>1421</x:v>
      </x:c>
      <x:c r="G964" s="20" t="n">
        <x:v>1.7</x:v>
      </x:c>
      <x:c r="H964" s="20" t="n">
        <x:f>E964^2*'Controls'!$B$52</x:f>
        <x:v>0.6165</x:v>
      </x:c>
      <x:c r="I964" s="20" t="n">
        <x:f>F964*G964*H964</x:f>
        <x:v>1489.27905</x:v>
      </x:c>
      <x:c r="J964" s="7" t="str">
        <x:v>49 beams x 29 links, 200 mm nominal</x:v>
      </x:c>
      <x:c r="K964" s="2"/>
      <x:c r="L964" s="2"/>
      <x:c r="M964" s="2"/>
      <x:c r="N964" s="2"/>
      <x:c r="O964" s="2"/>
      <x:c r="P964" s="2"/>
      <x:c r="Q964" s="2"/>
    </x:row>
    <x:row r="965" ht="22" customHeight="1">
      <x:c r="A965" s="2" t="str">
        <x:v>T6-L08-CL</x:v>
      </x:c>
      <x:c r="B965" s="2" t="str">
        <x:v>T6</x:v>
      </x:c>
      <x:c r="C965" s="2" t="str">
        <x:v>L08</x:v>
      </x:c>
      <x:c r="D965" s="2" t="str">
        <x:v>Column longitudinal</x:v>
      </x:c>
      <x:c r="E965" s="21" t="n">
        <x:v>25</x:v>
      </x:c>
      <x:c r="F965" s="21" t="n">
        <x:v>360</x:v>
      </x:c>
      <x:c r="G965" s="21" t="n">
        <x:v>3.9</x:v>
      </x:c>
      <x:c r="H965" s="21" t="n">
        <x:f>E965^2*'Controls'!$B$52</x:f>
        <x:v>3.8531250000000004</x:v>
      </x:c>
      <x:c r="I965" s="21" t="n">
        <x:f>F965*G965*H965</x:f>
        <x:v>5409.7875</x:v>
      </x:c>
      <x:c r="J965" s="2" t="str">
        <x:v>30 columns x 12 bars incl. lap</x:v>
      </x:c>
      <x:c r="K965" s="2"/>
      <x:c r="L965" s="2"/>
      <x:c r="M965" s="2"/>
      <x:c r="N965" s="2"/>
      <x:c r="O965" s="2"/>
      <x:c r="P965" s="2"/>
      <x:c r="Q965" s="2"/>
    </x:row>
    <x:row r="966" ht="22" customHeight="1">
      <x:c r="A966" s="7" t="str">
        <x:v>T6-L08-CT</x:v>
      </x:c>
      <x:c r="B966" s="7" t="str">
        <x:v>T6</x:v>
      </x:c>
      <x:c r="C966" s="7" t="str">
        <x:v>L08</x:v>
      </x:c>
      <x:c r="D966" s="7" t="str">
        <x:v>Column ties</x:v>
      </x:c>
      <x:c r="E966" s="20" t="n">
        <x:v>10</x:v>
      </x:c>
      <x:c r="F966" s="20" t="n">
        <x:v>510</x:v>
      </x:c>
      <x:c r="G966" s="20" t="n">
        <x:v>1.96</x:v>
      </x:c>
      <x:c r="H966" s="20" t="n">
        <x:f>E966^2*'Controls'!$B$52</x:f>
        <x:v>0.6165</x:v>
      </x:c>
      <x:c r="I966" s="20" t="n">
        <x:f>F966*G966*H966</x:f>
        <x:v>616.2534</x:v>
      </x:c>
      <x:c r="J966" s="7" t="str">
        <x:v>30 columns x 17 ties, cover and hooks included</x:v>
      </x:c>
      <x:c r="K966" s="2"/>
      <x:c r="L966" s="2"/>
      <x:c r="M966" s="2"/>
      <x:c r="N966" s="2"/>
      <x:c r="O966" s="2"/>
      <x:c r="P966" s="2"/>
      <x:c r="Q966" s="2"/>
    </x:row>
    <x:row r="967" ht="22" customHeight="1">
      <x:c r="A967" s="2" t="str">
        <x:v>T6-L08-CV</x:v>
      </x:c>
      <x:c r="B967" s="2" t="str">
        <x:v>T6</x:v>
      </x:c>
      <x:c r="C967" s="2" t="str">
        <x:v>L08</x:v>
      </x:c>
      <x:c r="D967" s="2" t="str">
        <x:v>Core vertical bars</x:v>
      </x:c>
      <x:c r="E967" s="21" t="n">
        <x:v>16</x:v>
      </x:c>
      <x:c r="F967" s="21" t="n">
        <x:v>244</x:v>
      </x:c>
      <x:c r="G967" s="21" t="n">
        <x:v>3.9</x:v>
      </x:c>
      <x:c r="H967" s="21" t="n">
        <x:f>E967^2*'Controls'!$B$52</x:f>
        <x:v>1.57824</x:v>
      </x:c>
      <x:c r="I967" s="21" t="n">
        <x:f>F967*G967*H967</x:f>
        <x:v>1501.853184</x:v>
      </x:c>
      <x:c r="J967" s="2" t="str">
        <x:v>Two faces, 200 mm nominal along 24 m net length</x:v>
      </x:c>
      <x:c r="K967" s="2"/>
      <x:c r="L967" s="2"/>
      <x:c r="M967" s="2"/>
      <x:c r="N967" s="2"/>
      <x:c r="O967" s="2"/>
      <x:c r="P967" s="2"/>
      <x:c r="Q967" s="2"/>
    </x:row>
    <x:row r="968" ht="22" customHeight="1">
      <x:c r="A968" s="7" t="str">
        <x:v>T6-L08-CH</x:v>
      </x:c>
      <x:c r="B968" s="7" t="str">
        <x:v>T6</x:v>
      </x:c>
      <x:c r="C968" s="7" t="str">
        <x:v>L08</x:v>
      </x:c>
      <x:c r="D968" s="7" t="str">
        <x:v>Core horizontal bars</x:v>
      </x:c>
      <x:c r="E968" s="20" t="n">
        <x:v>12</x:v>
      </x:c>
      <x:c r="F968" s="20" t="n">
        <x:v>32</x:v>
      </x:c>
      <x:c r="G968" s="20" t="n">
        <x:v>25</x:v>
      </x:c>
      <x:c r="H968" s="20" t="n">
        <x:f>E968^2*'Controls'!$B$52</x:f>
        <x:v>0.8877600000000001</x:v>
      </x:c>
      <x:c r="I968" s="20" t="n">
        <x:f>F968*G968*H968</x:f>
        <x:v>710.2080000000001</x:v>
      </x:c>
      <x:c r="J968" s="7" t="str">
        <x:v>Two faces x 16 layers incl. lap</x:v>
      </x:c>
      <x:c r="K968" s="2"/>
      <x:c r="L968" s="2"/>
      <x:c r="M968" s="2"/>
      <x:c r="N968" s="2"/>
      <x:c r="O968" s="2"/>
      <x:c r="P968" s="2"/>
      <x:c r="Q968" s="2"/>
    </x:row>
    <x:row r="969" ht="22" customHeight="1">
      <x:c r="A969" s="2" t="str">
        <x:v>T6-L08-ST</x:v>
      </x:c>
      <x:c r="B969" s="2" t="str">
        <x:v>T6</x:v>
      </x:c>
      <x:c r="C969" s="2" t="str">
        <x:v>L08</x:v>
      </x:c>
      <x:c r="D969" s="2" t="str">
        <x:v>Stair flights and landings</x:v>
      </x:c>
      <x:c r="E969" s="21" t="n">
        <x:v>12</x:v>
      </x:c>
      <x:c r="F969" s="21" t="n">
        <x:v>80</x:v>
      </x:c>
      <x:c r="G969" s="21" t="n">
        <x:v>4.8</x:v>
      </x:c>
      <x:c r="H969" s="21" t="n">
        <x:f>E969^2*'Controls'!$B$52</x:f>
        <x:v>0.8877600000000001</x:v>
      </x:c>
      <x:c r="I969" s="21" t="n">
        <x:f>F969*G969*H969</x:f>
        <x:v>340.89984000000004</x:v>
      </x:c>
      <x:c r="J969" s="2" t="str">
        <x:v>Separate stair reinforcement allowance</x:v>
      </x:c>
      <x:c r="K969" s="2"/>
      <x:c r="L969" s="2"/>
      <x:c r="M969" s="2"/>
      <x:c r="N969" s="2"/>
      <x:c r="O969" s="2"/>
      <x:c r="P969" s="2"/>
      <x:c r="Q969" s="2"/>
    </x:row>
    <x:row r="970" ht="22" customHeight="1">
      <x:c r="A970" s="7" t="str">
        <x:v>T6-L09-S1</x:v>
      </x:c>
      <x:c r="B970" s="7" t="str">
        <x:v>T6</x:v>
      </x:c>
      <x:c r="C970" s="7" t="str">
        <x:v>L09</x:v>
      </x:c>
      <x:c r="D970" s="7" t="str">
        <x:v>Slab X through strips</x:v>
      </x:c>
      <x:c r="E970" s="20" t="n">
        <x:v>12</x:v>
      </x:c>
      <x:c r="F970" s="20" t="n">
        <x:v>182</x:v>
      </x:c>
      <x:c r="G970" s="20" t="n">
        <x:v>29.95</x:v>
      </x:c>
      <x:c r="H970" s="20" t="n">
        <x:f>E970^2*'Controls'!$B$52</x:f>
        <x:v>0.8877600000000001</x:v>
      </x:c>
      <x:c r="I970" s="20" t="n">
        <x:f>F970*G970*H970</x:f>
        <x:v>4839.090984</x:v>
      </x:c>
      <x:c r="J970" s="7" t="str">
        <x:v>2 layers x 91 bars outside central opening band</x:v>
      </x:c>
      <x:c r="K970" s="2"/>
      <x:c r="L970" s="2"/>
      <x:c r="M970" s="2"/>
      <x:c r="N970" s="2"/>
      <x:c r="O970" s="2"/>
      <x:c r="P970" s="2"/>
      <x:c r="Q970" s="2"/>
    </x:row>
    <x:row r="971" ht="22" customHeight="1">
      <x:c r="A971" s="2" t="str">
        <x:v>T6-L09-S2</x:v>
      </x:c>
      <x:c r="B971" s="2" t="str">
        <x:v>T6</x:v>
      </x:c>
      <x:c r="C971" s="2" t="str">
        <x:v>L09</x:v>
      </x:c>
      <x:c r="D971" s="2" t="str">
        <x:v>Slab X split at core</x:v>
      </x:c>
      <x:c r="E971" s="21" t="n">
        <x:v>12</x:v>
      </x:c>
      <x:c r="F971" s="21" t="n">
        <x:v>60</x:v>
      </x:c>
      <x:c r="G971" s="21" t="n">
        <x:v>25.95</x:v>
      </x:c>
      <x:c r="H971" s="21" t="n">
        <x:f>E971^2*'Controls'!$B$52</x:f>
        <x:v>0.8877600000000001</x:v>
      </x:c>
      <x:c r="I971" s="21" t="n">
        <x:f>F971*G971*H971</x:f>
        <x:v>1382.24232</x:v>
      </x:c>
      <x:c r="J971" s="2" t="str">
        <x:v>2 layers x 30 bars, split lengths combined around 4 m opening</x:v>
      </x:c>
      <x:c r="K971" s="2"/>
      <x:c r="L971" s="2"/>
      <x:c r="M971" s="2"/>
      <x:c r="N971" s="2"/>
      <x:c r="O971" s="2"/>
      <x:c r="P971" s="2"/>
      <x:c r="Q971" s="2"/>
    </x:row>
    <x:row r="972" ht="22" customHeight="1">
      <x:c r="A972" s="7" t="str">
        <x:v>T6-L09-S3</x:v>
      </x:c>
      <x:c r="B972" s="7" t="str">
        <x:v>T6</x:v>
      </x:c>
      <x:c r="C972" s="7" t="str">
        <x:v>L09</x:v>
      </x:c>
      <x:c r="D972" s="7" t="str">
        <x:v>Slab Y through strips</x:v>
      </x:c>
      <x:c r="E972" s="20" t="n">
        <x:v>12</x:v>
      </x:c>
      <x:c r="F972" s="20" t="n">
        <x:v>262</x:v>
      </x:c>
      <x:c r="G972" s="20" t="n">
        <x:v>23.95</x:v>
      </x:c>
      <x:c r="H972" s="20" t="n">
        <x:f>E972^2*'Controls'!$B$52</x:f>
        <x:v>0.8877600000000001</x:v>
      </x:c>
      <x:c r="I972" s="20" t="n">
        <x:f>F972*G972*H972</x:f>
        <x:v>5570.605224</x:v>
      </x:c>
      <x:c r="J972" s="7" t="str">
        <x:v>2 layers x 131 bars outside central opening band</x:v>
      </x:c>
      <x:c r="K972" s="2"/>
      <x:c r="L972" s="2"/>
      <x:c r="M972" s="2"/>
      <x:c r="N972" s="2"/>
      <x:c r="O972" s="2"/>
      <x:c r="P972" s="2"/>
      <x:c r="Q972" s="2"/>
    </x:row>
    <x:row r="973" ht="22" customHeight="1">
      <x:c r="A973" s="2" t="str">
        <x:v>T6-L09-S4</x:v>
      </x:c>
      <x:c r="B973" s="2" t="str">
        <x:v>T6</x:v>
      </x:c>
      <x:c r="C973" s="2" t="str">
        <x:v>L09</x:v>
      </x:c>
      <x:c r="D973" s="2" t="str">
        <x:v>Slab Y split at core</x:v>
      </x:c>
      <x:c r="E973" s="21" t="n">
        <x:v>12</x:v>
      </x:c>
      <x:c r="F973" s="21" t="n">
        <x:v>40</x:v>
      </x:c>
      <x:c r="G973" s="21" t="n">
        <x:v>17.95</x:v>
      </x:c>
      <x:c r="H973" s="21" t="n">
        <x:f>E973^2*'Controls'!$B$52</x:f>
        <x:v>0.8877600000000001</x:v>
      </x:c>
      <x:c r="I973" s="21" t="n">
        <x:f>F973*G973*H973</x:f>
        <x:v>637.41168</x:v>
      </x:c>
      <x:c r="J973" s="2" t="str">
        <x:v>2 layers x 20 bars, split around 6 m opening</x:v>
      </x:c>
      <x:c r="K973" s="2"/>
      <x:c r="L973" s="2"/>
      <x:c r="M973" s="2"/>
      <x:c r="N973" s="2"/>
      <x:c r="O973" s="2"/>
      <x:c r="P973" s="2"/>
      <x:c r="Q973" s="2"/>
    </x:row>
    <x:row r="974" ht="22" customHeight="1">
      <x:c r="A974" s="7" t="str">
        <x:v>T6-L09-S5</x:v>
      </x:c>
      <x:c r="B974" s="7" t="str">
        <x:v>T6</x:v>
      </x:c>
      <x:c r="C974" s="7" t="str">
        <x:v>L09</x:v>
      </x:c>
      <x:c r="D974" s="7" t="str">
        <x:v>Opening trim bars</x:v>
      </x:c>
      <x:c r="E974" s="20" t="n">
        <x:v>16</x:v>
      </x:c>
      <x:c r="F974" s="20" t="n">
        <x:v>16</x:v>
      </x:c>
      <x:c r="G974" s="20" t="n">
        <x:v>7.2</x:v>
      </x:c>
      <x:c r="H974" s="20" t="n">
        <x:f>E974^2*'Controls'!$B$52</x:f>
        <x:v>1.57824</x:v>
      </x:c>
      <x:c r="I974" s="20" t="n">
        <x:f>F974*G974*H974</x:f>
        <x:v>181.81324800000002</x:v>
      </x:c>
      <x:c r="J974" s="7" t="str">
        <x:v>Trim allowance, explicit scheduled lengths</x:v>
      </x:c>
      <x:c r="K974" s="2"/>
      <x:c r="L974" s="2"/>
      <x:c r="M974" s="2"/>
      <x:c r="N974" s="2"/>
      <x:c r="O974" s="2"/>
      <x:c r="P974" s="2"/>
      <x:c r="Q974" s="2"/>
    </x:row>
    <x:row r="975" ht="22" customHeight="1">
      <x:c r="A975" s="2" t="str">
        <x:v>T6-L09-BX</x:v>
      </x:c>
      <x:c r="B975" s="2" t="str">
        <x:v>T6</x:v>
      </x:c>
      <x:c r="C975" s="2" t="str">
        <x:v>L09</x:v>
      </x:c>
      <x:c r="D975" s="2" t="str">
        <x:v>X beam longitudinal</x:v>
      </x:c>
      <x:c r="E975" s="21" t="n">
        <x:v>20</x:v>
      </x:c>
      <x:c r="F975" s="21" t="n">
        <x:v>150</x:v>
      </x:c>
      <x:c r="G975" s="21" t="n">
        <x:v>6.5</x:v>
      </x:c>
      <x:c r="H975" s="21" t="n">
        <x:f>E975^2*'Controls'!$B$52</x:f>
        <x:v>2.466</x:v>
      </x:c>
      <x:c r="I975" s="21" t="n">
        <x:f>F975*G975*H975</x:f>
        <x:v>2404.3500000000004</x:v>
      </x:c>
      <x:c r="J975" s="2" t="str">
        <x:v>25 spans x 6 bars incl. 1 m lap/anchorage provision</x:v>
      </x:c>
      <x:c r="K975" s="2"/>
      <x:c r="L975" s="2"/>
      <x:c r="M975" s="2"/>
      <x:c r="N975" s="2"/>
      <x:c r="O975" s="2"/>
      <x:c r="P975" s="2"/>
      <x:c r="Q975" s="2"/>
    </x:row>
    <x:row r="976" ht="22" customHeight="1">
      <x:c r="A976" s="7" t="str">
        <x:v>T6-L09-BY</x:v>
      </x:c>
      <x:c r="B976" s="7" t="str">
        <x:v>T6</x:v>
      </x:c>
      <x:c r="C976" s="7" t="str">
        <x:v>L09</x:v>
      </x:c>
      <x:c r="D976" s="7" t="str">
        <x:v>Y beam longitudinal</x:v>
      </x:c>
      <x:c r="E976" s="20" t="n">
        <x:v>20</x:v>
      </x:c>
      <x:c r="F976" s="20" t="n">
        <x:v>144</x:v>
      </x:c>
      <x:c r="G976" s="20" t="n">
        <x:v>6.5</x:v>
      </x:c>
      <x:c r="H976" s="20" t="n">
        <x:f>E976^2*'Controls'!$B$52</x:f>
        <x:v>2.466</x:v>
      </x:c>
      <x:c r="I976" s="20" t="n">
        <x:f>F976*G976*H976</x:f>
        <x:v>2308.1760000000004</x:v>
      </x:c>
      <x:c r="J976" s="7" t="str">
        <x:v>24 spans x 6 bars</x:v>
      </x:c>
      <x:c r="K976" s="2"/>
      <x:c r="L976" s="2"/>
      <x:c r="M976" s="2"/>
      <x:c r="N976" s="2"/>
      <x:c r="O976" s="2"/>
      <x:c r="P976" s="2"/>
      <x:c r="Q976" s="2"/>
    </x:row>
    <x:row r="977" ht="22" customHeight="1">
      <x:c r="A977" s="2" t="str">
        <x:v>T6-L09-BT</x:v>
      </x:c>
      <x:c r="B977" s="2" t="str">
        <x:v>T6</x:v>
      </x:c>
      <x:c r="C977" s="2" t="str">
        <x:v>L09</x:v>
      </x:c>
      <x:c r="D977" s="2" t="str">
        <x:v>Beam closed links</x:v>
      </x:c>
      <x:c r="E977" s="21" t="n">
        <x:v>10</x:v>
      </x:c>
      <x:c r="F977" s="21" t="n">
        <x:v>1421</x:v>
      </x:c>
      <x:c r="G977" s="21" t="n">
        <x:v>1.7</x:v>
      </x:c>
      <x:c r="H977" s="21" t="n">
        <x:f>E977^2*'Controls'!$B$52</x:f>
        <x:v>0.6165</x:v>
      </x:c>
      <x:c r="I977" s="21" t="n">
        <x:f>F977*G977*H977</x:f>
        <x:v>1489.27905</x:v>
      </x:c>
      <x:c r="J977" s="2" t="str">
        <x:v>49 beams x 29 links, 200 mm nominal</x:v>
      </x:c>
      <x:c r="K977" s="2"/>
      <x:c r="L977" s="2"/>
      <x:c r="M977" s="2"/>
      <x:c r="N977" s="2"/>
      <x:c r="O977" s="2"/>
      <x:c r="P977" s="2"/>
      <x:c r="Q977" s="2"/>
    </x:row>
    <x:row r="978" ht="22" customHeight="1">
      <x:c r="A978" s="7" t="str">
        <x:v>T6-L09-CL</x:v>
      </x:c>
      <x:c r="B978" s="7" t="str">
        <x:v>T6</x:v>
      </x:c>
      <x:c r="C978" s="7" t="str">
        <x:v>L09</x:v>
      </x:c>
      <x:c r="D978" s="7" t="str">
        <x:v>Column longitudinal</x:v>
      </x:c>
      <x:c r="E978" s="20" t="n">
        <x:v>25</x:v>
      </x:c>
      <x:c r="F978" s="20" t="n">
        <x:v>360</x:v>
      </x:c>
      <x:c r="G978" s="20" t="n">
        <x:v>3.9</x:v>
      </x:c>
      <x:c r="H978" s="20" t="n">
        <x:f>E978^2*'Controls'!$B$52</x:f>
        <x:v>3.8531250000000004</x:v>
      </x:c>
      <x:c r="I978" s="20" t="n">
        <x:f>F978*G978*H978</x:f>
        <x:v>5409.7875</x:v>
      </x:c>
      <x:c r="J978" s="7" t="str">
        <x:v>30 columns x 12 bars incl. lap</x:v>
      </x:c>
      <x:c r="K978" s="2"/>
      <x:c r="L978" s="2"/>
      <x:c r="M978" s="2"/>
      <x:c r="N978" s="2"/>
      <x:c r="O978" s="2"/>
      <x:c r="P978" s="2"/>
      <x:c r="Q978" s="2"/>
    </x:row>
    <x:row r="979" ht="22" customHeight="1">
      <x:c r="A979" s="2" t="str">
        <x:v>T6-L09-CT</x:v>
      </x:c>
      <x:c r="B979" s="2" t="str">
        <x:v>T6</x:v>
      </x:c>
      <x:c r="C979" s="2" t="str">
        <x:v>L09</x:v>
      </x:c>
      <x:c r="D979" s="2" t="str">
        <x:v>Column ties</x:v>
      </x:c>
      <x:c r="E979" s="21" t="n">
        <x:v>10</x:v>
      </x:c>
      <x:c r="F979" s="21" t="n">
        <x:v>510</x:v>
      </x:c>
      <x:c r="G979" s="21" t="n">
        <x:v>1.96</x:v>
      </x:c>
      <x:c r="H979" s="21" t="n">
        <x:f>E979^2*'Controls'!$B$52</x:f>
        <x:v>0.6165</x:v>
      </x:c>
      <x:c r="I979" s="21" t="n">
        <x:f>F979*G979*H979</x:f>
        <x:v>616.2534</x:v>
      </x:c>
      <x:c r="J979" s="2" t="str">
        <x:v>30 columns x 17 ties, cover and hooks included</x:v>
      </x:c>
      <x:c r="K979" s="2"/>
      <x:c r="L979" s="2"/>
      <x:c r="M979" s="2"/>
      <x:c r="N979" s="2"/>
      <x:c r="O979" s="2"/>
      <x:c r="P979" s="2"/>
      <x:c r="Q979" s="2"/>
    </x:row>
    <x:row r="980" ht="22" customHeight="1">
      <x:c r="A980" s="7" t="str">
        <x:v>T6-L09-CV</x:v>
      </x:c>
      <x:c r="B980" s="7" t="str">
        <x:v>T6</x:v>
      </x:c>
      <x:c r="C980" s="7" t="str">
        <x:v>L09</x:v>
      </x:c>
      <x:c r="D980" s="7" t="str">
        <x:v>Core vertical bars</x:v>
      </x:c>
      <x:c r="E980" s="20" t="n">
        <x:v>16</x:v>
      </x:c>
      <x:c r="F980" s="20" t="n">
        <x:v>244</x:v>
      </x:c>
      <x:c r="G980" s="20" t="n">
        <x:v>3.9</x:v>
      </x:c>
      <x:c r="H980" s="20" t="n">
        <x:f>E980^2*'Controls'!$B$52</x:f>
        <x:v>1.57824</x:v>
      </x:c>
      <x:c r="I980" s="20" t="n">
        <x:f>F980*G980*H980</x:f>
        <x:v>1501.853184</x:v>
      </x:c>
      <x:c r="J980" s="7" t="str">
        <x:v>Two faces, 200 mm nominal along 24 m net length</x:v>
      </x:c>
      <x:c r="K980" s="2"/>
      <x:c r="L980" s="2"/>
      <x:c r="M980" s="2"/>
      <x:c r="N980" s="2"/>
      <x:c r="O980" s="2"/>
      <x:c r="P980" s="2"/>
      <x:c r="Q980" s="2"/>
    </x:row>
    <x:row r="981" ht="22" customHeight="1">
      <x:c r="A981" s="2" t="str">
        <x:v>T6-L09-CH</x:v>
      </x:c>
      <x:c r="B981" s="2" t="str">
        <x:v>T6</x:v>
      </x:c>
      <x:c r="C981" s="2" t="str">
        <x:v>L09</x:v>
      </x:c>
      <x:c r="D981" s="2" t="str">
        <x:v>Core horizontal bars</x:v>
      </x:c>
      <x:c r="E981" s="21" t="n">
        <x:v>12</x:v>
      </x:c>
      <x:c r="F981" s="21" t="n">
        <x:v>32</x:v>
      </x:c>
      <x:c r="G981" s="21" t="n">
        <x:v>25</x:v>
      </x:c>
      <x:c r="H981" s="21" t="n">
        <x:f>E981^2*'Controls'!$B$52</x:f>
        <x:v>0.8877600000000001</x:v>
      </x:c>
      <x:c r="I981" s="21" t="n">
        <x:f>F981*G981*H981</x:f>
        <x:v>710.2080000000001</x:v>
      </x:c>
      <x:c r="J981" s="2" t="str">
        <x:v>Two faces x 16 layers incl. lap</x:v>
      </x:c>
      <x:c r="K981" s="2"/>
      <x:c r="L981" s="2"/>
      <x:c r="M981" s="2"/>
      <x:c r="N981" s="2"/>
      <x:c r="O981" s="2"/>
      <x:c r="P981" s="2"/>
      <x:c r="Q981" s="2"/>
    </x:row>
    <x:row r="982" ht="22" customHeight="1">
      <x:c r="A982" s="7" t="str">
        <x:v>T6-L09-ST</x:v>
      </x:c>
      <x:c r="B982" s="7" t="str">
        <x:v>T6</x:v>
      </x:c>
      <x:c r="C982" s="7" t="str">
        <x:v>L09</x:v>
      </x:c>
      <x:c r="D982" s="7" t="str">
        <x:v>Stair flights and landings</x:v>
      </x:c>
      <x:c r="E982" s="20" t="n">
        <x:v>12</x:v>
      </x:c>
      <x:c r="F982" s="20" t="n">
        <x:v>80</x:v>
      </x:c>
      <x:c r="G982" s="20" t="n">
        <x:v>4.8</x:v>
      </x:c>
      <x:c r="H982" s="20" t="n">
        <x:f>E982^2*'Controls'!$B$52</x:f>
        <x:v>0.8877600000000001</x:v>
      </x:c>
      <x:c r="I982" s="20" t="n">
        <x:f>F982*G982*H982</x:f>
        <x:v>340.89984000000004</x:v>
      </x:c>
      <x:c r="J982" s="7" t="str">
        <x:v>Separate stair reinforcement allowance</x:v>
      </x:c>
      <x:c r="K982" s="2"/>
      <x:c r="L982" s="2"/>
      <x:c r="M982" s="2"/>
      <x:c r="N982" s="2"/>
      <x:c r="O982" s="2"/>
      <x:c r="P982" s="2"/>
      <x:c r="Q982" s="2"/>
    </x:row>
    <x:row r="983" ht="22" customHeight="1">
      <x:c r="A983" s="2" t="str">
        <x:v>T6-L10-S1</x:v>
      </x:c>
      <x:c r="B983" s="2" t="str">
        <x:v>T6</x:v>
      </x:c>
      <x:c r="C983" s="2" t="str">
        <x:v>L10</x:v>
      </x:c>
      <x:c r="D983" s="2" t="str">
        <x:v>Slab X through strips</x:v>
      </x:c>
      <x:c r="E983" s="21" t="n">
        <x:v>12</x:v>
      </x:c>
      <x:c r="F983" s="21" t="n">
        <x:v>182</x:v>
      </x:c>
      <x:c r="G983" s="21" t="n">
        <x:v>29.95</x:v>
      </x:c>
      <x:c r="H983" s="21" t="n">
        <x:f>E983^2*'Controls'!$B$52</x:f>
        <x:v>0.8877600000000001</x:v>
      </x:c>
      <x:c r="I983" s="21" t="n">
        <x:f>F983*G983*H983</x:f>
        <x:v>4839.090984</x:v>
      </x:c>
      <x:c r="J983" s="2" t="str">
        <x:v>2 layers x 91 bars outside central opening band</x:v>
      </x:c>
      <x:c r="K983" s="2"/>
      <x:c r="L983" s="2"/>
      <x:c r="M983" s="2"/>
      <x:c r="N983" s="2"/>
      <x:c r="O983" s="2"/>
      <x:c r="P983" s="2"/>
      <x:c r="Q983" s="2"/>
    </x:row>
    <x:row r="984" ht="22" customHeight="1">
      <x:c r="A984" s="7" t="str">
        <x:v>T6-L10-S2</x:v>
      </x:c>
      <x:c r="B984" s="7" t="str">
        <x:v>T6</x:v>
      </x:c>
      <x:c r="C984" s="7" t="str">
        <x:v>L10</x:v>
      </x:c>
      <x:c r="D984" s="7" t="str">
        <x:v>Slab X split at core</x:v>
      </x:c>
      <x:c r="E984" s="20" t="n">
        <x:v>12</x:v>
      </x:c>
      <x:c r="F984" s="20" t="n">
        <x:v>60</x:v>
      </x:c>
      <x:c r="G984" s="20" t="n">
        <x:v>25.95</x:v>
      </x:c>
      <x:c r="H984" s="20" t="n">
        <x:f>E984^2*'Controls'!$B$52</x:f>
        <x:v>0.8877600000000001</x:v>
      </x:c>
      <x:c r="I984" s="20" t="n">
        <x:f>F984*G984*H984</x:f>
        <x:v>1382.24232</x:v>
      </x:c>
      <x:c r="J984" s="7" t="str">
        <x:v>2 layers x 30 bars, split lengths combined around 4 m opening</x:v>
      </x:c>
      <x:c r="K984" s="2"/>
      <x:c r="L984" s="2"/>
      <x:c r="M984" s="2"/>
      <x:c r="N984" s="2"/>
      <x:c r="O984" s="2"/>
      <x:c r="P984" s="2"/>
      <x:c r="Q984" s="2"/>
    </x:row>
    <x:row r="985" ht="22" customHeight="1">
      <x:c r="A985" s="2" t="str">
        <x:v>T6-L10-S3</x:v>
      </x:c>
      <x:c r="B985" s="2" t="str">
        <x:v>T6</x:v>
      </x:c>
      <x:c r="C985" s="2" t="str">
        <x:v>L10</x:v>
      </x:c>
      <x:c r="D985" s="2" t="str">
        <x:v>Slab Y through strips</x:v>
      </x:c>
      <x:c r="E985" s="21" t="n">
        <x:v>12</x:v>
      </x:c>
      <x:c r="F985" s="21" t="n">
        <x:v>262</x:v>
      </x:c>
      <x:c r="G985" s="21" t="n">
        <x:v>23.95</x:v>
      </x:c>
      <x:c r="H985" s="21" t="n">
        <x:f>E985^2*'Controls'!$B$52</x:f>
        <x:v>0.8877600000000001</x:v>
      </x:c>
      <x:c r="I985" s="21" t="n">
        <x:f>F985*G985*H985</x:f>
        <x:v>5570.605224</x:v>
      </x:c>
      <x:c r="J985" s="2" t="str">
        <x:v>2 layers x 131 bars outside central opening band</x:v>
      </x:c>
      <x:c r="K985" s="2"/>
      <x:c r="L985" s="2"/>
      <x:c r="M985" s="2"/>
      <x:c r="N985" s="2"/>
      <x:c r="O985" s="2"/>
      <x:c r="P985" s="2"/>
      <x:c r="Q985" s="2"/>
    </x:row>
    <x:row r="986" ht="22" customHeight="1">
      <x:c r="A986" s="7" t="str">
        <x:v>T6-L10-S4</x:v>
      </x:c>
      <x:c r="B986" s="7" t="str">
        <x:v>T6</x:v>
      </x:c>
      <x:c r="C986" s="7" t="str">
        <x:v>L10</x:v>
      </x:c>
      <x:c r="D986" s="7" t="str">
        <x:v>Slab Y split at core</x:v>
      </x:c>
      <x:c r="E986" s="20" t="n">
        <x:v>12</x:v>
      </x:c>
      <x:c r="F986" s="20" t="n">
        <x:v>40</x:v>
      </x:c>
      <x:c r="G986" s="20" t="n">
        <x:v>17.95</x:v>
      </x:c>
      <x:c r="H986" s="20" t="n">
        <x:f>E986^2*'Controls'!$B$52</x:f>
        <x:v>0.8877600000000001</x:v>
      </x:c>
      <x:c r="I986" s="20" t="n">
        <x:f>F986*G986*H986</x:f>
        <x:v>637.41168</x:v>
      </x:c>
      <x:c r="J986" s="7" t="str">
        <x:v>2 layers x 20 bars, split around 6 m opening</x:v>
      </x:c>
      <x:c r="K986" s="2"/>
      <x:c r="L986" s="2"/>
      <x:c r="M986" s="2"/>
      <x:c r="N986" s="2"/>
      <x:c r="O986" s="2"/>
      <x:c r="P986" s="2"/>
      <x:c r="Q986" s="2"/>
    </x:row>
    <x:row r="987" ht="22" customHeight="1">
      <x:c r="A987" s="2" t="str">
        <x:v>T6-L10-S5</x:v>
      </x:c>
      <x:c r="B987" s="2" t="str">
        <x:v>T6</x:v>
      </x:c>
      <x:c r="C987" s="2" t="str">
        <x:v>L10</x:v>
      </x:c>
      <x:c r="D987" s="2" t="str">
        <x:v>Opening trim bars</x:v>
      </x:c>
      <x:c r="E987" s="21" t="n">
        <x:v>16</x:v>
      </x:c>
      <x:c r="F987" s="21" t="n">
        <x:v>16</x:v>
      </x:c>
      <x:c r="G987" s="21" t="n">
        <x:v>7.2</x:v>
      </x:c>
      <x:c r="H987" s="21" t="n">
        <x:f>E987^2*'Controls'!$B$52</x:f>
        <x:v>1.57824</x:v>
      </x:c>
      <x:c r="I987" s="21" t="n">
        <x:f>F987*G987*H987</x:f>
        <x:v>181.81324800000002</x:v>
      </x:c>
      <x:c r="J987" s="2" t="str">
        <x:v>Trim allowance, explicit scheduled lengths</x:v>
      </x:c>
      <x:c r="K987" s="2"/>
      <x:c r="L987" s="2"/>
      <x:c r="M987" s="2"/>
      <x:c r="N987" s="2"/>
      <x:c r="O987" s="2"/>
      <x:c r="P987" s="2"/>
      <x:c r="Q987" s="2"/>
    </x:row>
    <x:row r="988" ht="22" customHeight="1">
      <x:c r="A988" s="7" t="str">
        <x:v>T6-L10-BX</x:v>
      </x:c>
      <x:c r="B988" s="7" t="str">
        <x:v>T6</x:v>
      </x:c>
      <x:c r="C988" s="7" t="str">
        <x:v>L10</x:v>
      </x:c>
      <x:c r="D988" s="7" t="str">
        <x:v>X beam longitudinal</x:v>
      </x:c>
      <x:c r="E988" s="20" t="n">
        <x:v>20</x:v>
      </x:c>
      <x:c r="F988" s="20" t="n">
        <x:v>150</x:v>
      </x:c>
      <x:c r="G988" s="20" t="n">
        <x:v>6.5</x:v>
      </x:c>
      <x:c r="H988" s="20" t="n">
        <x:f>E988^2*'Controls'!$B$52</x:f>
        <x:v>2.466</x:v>
      </x:c>
      <x:c r="I988" s="20" t="n">
        <x:f>F988*G988*H988</x:f>
        <x:v>2404.3500000000004</x:v>
      </x:c>
      <x:c r="J988" s="7" t="str">
        <x:v>25 spans x 6 bars incl. 1 m lap/anchorage provision</x:v>
      </x:c>
      <x:c r="K988" s="2"/>
      <x:c r="L988" s="2"/>
      <x:c r="M988" s="2"/>
      <x:c r="N988" s="2"/>
      <x:c r="O988" s="2"/>
      <x:c r="P988" s="2"/>
      <x:c r="Q988" s="2"/>
    </x:row>
    <x:row r="989" ht="22" customHeight="1">
      <x:c r="A989" s="2" t="str">
        <x:v>T6-L10-BY</x:v>
      </x:c>
      <x:c r="B989" s="2" t="str">
        <x:v>T6</x:v>
      </x:c>
      <x:c r="C989" s="2" t="str">
        <x:v>L10</x:v>
      </x:c>
      <x:c r="D989" s="2" t="str">
        <x:v>Y beam longitudinal</x:v>
      </x:c>
      <x:c r="E989" s="21" t="n">
        <x:v>20</x:v>
      </x:c>
      <x:c r="F989" s="21" t="n">
        <x:v>144</x:v>
      </x:c>
      <x:c r="G989" s="21" t="n">
        <x:v>6.5</x:v>
      </x:c>
      <x:c r="H989" s="21" t="n">
        <x:f>E989^2*'Controls'!$B$52</x:f>
        <x:v>2.466</x:v>
      </x:c>
      <x:c r="I989" s="21" t="n">
        <x:f>F989*G989*H989</x:f>
        <x:v>2308.1760000000004</x:v>
      </x:c>
      <x:c r="J989" s="2" t="str">
        <x:v>24 spans x 6 bars</x:v>
      </x:c>
      <x:c r="K989" s="2"/>
      <x:c r="L989" s="2"/>
      <x:c r="M989" s="2"/>
      <x:c r="N989" s="2"/>
      <x:c r="O989" s="2"/>
      <x:c r="P989" s="2"/>
      <x:c r="Q989" s="2"/>
    </x:row>
    <x:row r="990" ht="22" customHeight="1">
      <x:c r="A990" s="7" t="str">
        <x:v>T6-L10-BT</x:v>
      </x:c>
      <x:c r="B990" s="7" t="str">
        <x:v>T6</x:v>
      </x:c>
      <x:c r="C990" s="7" t="str">
        <x:v>L10</x:v>
      </x:c>
      <x:c r="D990" s="7" t="str">
        <x:v>Beam closed links</x:v>
      </x:c>
      <x:c r="E990" s="20" t="n">
        <x:v>10</x:v>
      </x:c>
      <x:c r="F990" s="20" t="n">
        <x:v>1421</x:v>
      </x:c>
      <x:c r="G990" s="20" t="n">
        <x:v>1.7</x:v>
      </x:c>
      <x:c r="H990" s="20" t="n">
        <x:f>E990^2*'Controls'!$B$52</x:f>
        <x:v>0.6165</x:v>
      </x:c>
      <x:c r="I990" s="20" t="n">
        <x:f>F990*G990*H990</x:f>
        <x:v>1489.27905</x:v>
      </x:c>
      <x:c r="J990" s="7" t="str">
        <x:v>49 beams x 29 links, 200 mm nominal</x:v>
      </x:c>
      <x:c r="K990" s="2"/>
      <x:c r="L990" s="2"/>
      <x:c r="M990" s="2"/>
      <x:c r="N990" s="2"/>
      <x:c r="O990" s="2"/>
      <x:c r="P990" s="2"/>
      <x:c r="Q990" s="2"/>
    </x:row>
    <x:row r="991" ht="22" customHeight="1">
      <x:c r="A991" s="2" t="str">
        <x:v>T6-L10-CL</x:v>
      </x:c>
      <x:c r="B991" s="2" t="str">
        <x:v>T6</x:v>
      </x:c>
      <x:c r="C991" s="2" t="str">
        <x:v>L10</x:v>
      </x:c>
      <x:c r="D991" s="2" t="str">
        <x:v>Column longitudinal</x:v>
      </x:c>
      <x:c r="E991" s="21" t="n">
        <x:v>25</x:v>
      </x:c>
      <x:c r="F991" s="21" t="n">
        <x:v>360</x:v>
      </x:c>
      <x:c r="G991" s="21" t="n">
        <x:v>3.9</x:v>
      </x:c>
      <x:c r="H991" s="21" t="n">
        <x:f>E991^2*'Controls'!$B$52</x:f>
        <x:v>3.8531250000000004</x:v>
      </x:c>
      <x:c r="I991" s="21" t="n">
        <x:f>F991*G991*H991</x:f>
        <x:v>5409.7875</x:v>
      </x:c>
      <x:c r="J991" s="2" t="str">
        <x:v>30 columns x 12 bars incl. lap</x:v>
      </x:c>
      <x:c r="K991" s="2"/>
      <x:c r="L991" s="2"/>
      <x:c r="M991" s="2"/>
      <x:c r="N991" s="2"/>
      <x:c r="O991" s="2"/>
      <x:c r="P991" s="2"/>
      <x:c r="Q991" s="2"/>
    </x:row>
    <x:row r="992" ht="22" customHeight="1">
      <x:c r="A992" s="7" t="str">
        <x:v>T6-L10-CT</x:v>
      </x:c>
      <x:c r="B992" s="7" t="str">
        <x:v>T6</x:v>
      </x:c>
      <x:c r="C992" s="7" t="str">
        <x:v>L10</x:v>
      </x:c>
      <x:c r="D992" s="7" t="str">
        <x:v>Column ties</x:v>
      </x:c>
      <x:c r="E992" s="20" t="n">
        <x:v>10</x:v>
      </x:c>
      <x:c r="F992" s="20" t="n">
        <x:v>510</x:v>
      </x:c>
      <x:c r="G992" s="20" t="n">
        <x:v>1.96</x:v>
      </x:c>
      <x:c r="H992" s="20" t="n">
        <x:f>E992^2*'Controls'!$B$52</x:f>
        <x:v>0.6165</x:v>
      </x:c>
      <x:c r="I992" s="20" t="n">
        <x:f>F992*G992*H992</x:f>
        <x:v>616.2534</x:v>
      </x:c>
      <x:c r="J992" s="7" t="str">
        <x:v>30 columns x 17 ties, cover and hooks included</x:v>
      </x:c>
      <x:c r="K992" s="2"/>
      <x:c r="L992" s="2"/>
      <x:c r="M992" s="2"/>
      <x:c r="N992" s="2"/>
      <x:c r="O992" s="2"/>
      <x:c r="P992" s="2"/>
      <x:c r="Q992" s="2"/>
    </x:row>
    <x:row r="993" ht="22" customHeight="1">
      <x:c r="A993" s="2" t="str">
        <x:v>T6-L10-CV</x:v>
      </x:c>
      <x:c r="B993" s="2" t="str">
        <x:v>T6</x:v>
      </x:c>
      <x:c r="C993" s="2" t="str">
        <x:v>L10</x:v>
      </x:c>
      <x:c r="D993" s="2" t="str">
        <x:v>Core vertical bars</x:v>
      </x:c>
      <x:c r="E993" s="21" t="n">
        <x:v>16</x:v>
      </x:c>
      <x:c r="F993" s="21" t="n">
        <x:v>244</x:v>
      </x:c>
      <x:c r="G993" s="21" t="n">
        <x:v>3.9</x:v>
      </x:c>
      <x:c r="H993" s="21" t="n">
        <x:f>E993^2*'Controls'!$B$52</x:f>
        <x:v>1.57824</x:v>
      </x:c>
      <x:c r="I993" s="21" t="n">
        <x:f>F993*G993*H993</x:f>
        <x:v>1501.853184</x:v>
      </x:c>
      <x:c r="J993" s="2" t="str">
        <x:v>Two faces, 200 mm nominal along 24 m net length</x:v>
      </x:c>
      <x:c r="K993" s="2"/>
      <x:c r="L993" s="2"/>
      <x:c r="M993" s="2"/>
      <x:c r="N993" s="2"/>
      <x:c r="O993" s="2"/>
      <x:c r="P993" s="2"/>
      <x:c r="Q993" s="2"/>
    </x:row>
    <x:row r="994" ht="22" customHeight="1">
      <x:c r="A994" s="7" t="str">
        <x:v>T6-L10-CH</x:v>
      </x:c>
      <x:c r="B994" s="7" t="str">
        <x:v>T6</x:v>
      </x:c>
      <x:c r="C994" s="7" t="str">
        <x:v>L10</x:v>
      </x:c>
      <x:c r="D994" s="7" t="str">
        <x:v>Core horizontal bars</x:v>
      </x:c>
      <x:c r="E994" s="20" t="n">
        <x:v>12</x:v>
      </x:c>
      <x:c r="F994" s="20" t="n">
        <x:v>32</x:v>
      </x:c>
      <x:c r="G994" s="20" t="n">
        <x:v>25</x:v>
      </x:c>
      <x:c r="H994" s="20" t="n">
        <x:f>E994^2*'Controls'!$B$52</x:f>
        <x:v>0.8877600000000001</x:v>
      </x:c>
      <x:c r="I994" s="20" t="n">
        <x:f>F994*G994*H994</x:f>
        <x:v>710.2080000000001</x:v>
      </x:c>
      <x:c r="J994" s="7" t="str">
        <x:v>Two faces x 16 layers incl. lap</x:v>
      </x:c>
      <x:c r="K994" s="2"/>
      <x:c r="L994" s="2"/>
      <x:c r="M994" s="2"/>
      <x:c r="N994" s="2"/>
      <x:c r="O994" s="2"/>
      <x:c r="P994" s="2"/>
      <x:c r="Q994" s="2"/>
    </x:row>
    <x:row r="995" ht="22" customHeight="1">
      <x:c r="A995" s="2" t="str">
        <x:v>T6-L10-ST</x:v>
      </x:c>
      <x:c r="B995" s="2" t="str">
        <x:v>T6</x:v>
      </x:c>
      <x:c r="C995" s="2" t="str">
        <x:v>L10</x:v>
      </x:c>
      <x:c r="D995" s="2" t="str">
        <x:v>Stair flights and landings</x:v>
      </x:c>
      <x:c r="E995" s="21" t="n">
        <x:v>12</x:v>
      </x:c>
      <x:c r="F995" s="21" t="n">
        <x:v>80</x:v>
      </x:c>
      <x:c r="G995" s="21" t="n">
        <x:v>4.8</x:v>
      </x:c>
      <x:c r="H995" s="21" t="n">
        <x:f>E995^2*'Controls'!$B$52</x:f>
        <x:v>0.8877600000000001</x:v>
      </x:c>
      <x:c r="I995" s="21" t="n">
        <x:f>F995*G995*H995</x:f>
        <x:v>340.89984000000004</x:v>
      </x:c>
      <x:c r="J995" s="2" t="str">
        <x:v>Separate stair reinforcement allowance</x:v>
      </x:c>
      <x:c r="K995" s="2"/>
      <x:c r="L995" s="2"/>
      <x:c r="M995" s="2"/>
      <x:c r="N995" s="2"/>
      <x:c r="O995" s="2"/>
      <x:c r="P995" s="2"/>
      <x:c r="Q995" s="2"/>
    </x:row>
    <x:row r="996" ht="22" customHeight="1">
      <x:c r="A996" s="7" t="str">
        <x:v>T6-L11-S1</x:v>
      </x:c>
      <x:c r="B996" s="7" t="str">
        <x:v>T6</x:v>
      </x:c>
      <x:c r="C996" s="7" t="str">
        <x:v>L11</x:v>
      </x:c>
      <x:c r="D996" s="7" t="str">
        <x:v>Slab X through strips</x:v>
      </x:c>
      <x:c r="E996" s="20" t="n">
        <x:v>12</x:v>
      </x:c>
      <x:c r="F996" s="20" t="n">
        <x:v>182</x:v>
      </x:c>
      <x:c r="G996" s="20" t="n">
        <x:v>29.95</x:v>
      </x:c>
      <x:c r="H996" s="20" t="n">
        <x:f>E996^2*'Controls'!$B$52</x:f>
        <x:v>0.8877600000000001</x:v>
      </x:c>
      <x:c r="I996" s="20" t="n">
        <x:f>F996*G996*H996</x:f>
        <x:v>4839.090984</x:v>
      </x:c>
      <x:c r="J996" s="7" t="str">
        <x:v>2 layers x 91 bars outside central opening band</x:v>
      </x:c>
      <x:c r="K996" s="2"/>
      <x:c r="L996" s="2"/>
      <x:c r="M996" s="2"/>
      <x:c r="N996" s="2"/>
      <x:c r="O996" s="2"/>
      <x:c r="P996" s="2"/>
      <x:c r="Q996" s="2"/>
    </x:row>
    <x:row r="997" ht="22" customHeight="1">
      <x:c r="A997" s="2" t="str">
        <x:v>T6-L11-S2</x:v>
      </x:c>
      <x:c r="B997" s="2" t="str">
        <x:v>T6</x:v>
      </x:c>
      <x:c r="C997" s="2" t="str">
        <x:v>L11</x:v>
      </x:c>
      <x:c r="D997" s="2" t="str">
        <x:v>Slab X split at core</x:v>
      </x:c>
      <x:c r="E997" s="21" t="n">
        <x:v>12</x:v>
      </x:c>
      <x:c r="F997" s="21" t="n">
        <x:v>60</x:v>
      </x:c>
      <x:c r="G997" s="21" t="n">
        <x:v>25.95</x:v>
      </x:c>
      <x:c r="H997" s="21" t="n">
        <x:f>E997^2*'Controls'!$B$52</x:f>
        <x:v>0.8877600000000001</x:v>
      </x:c>
      <x:c r="I997" s="21" t="n">
        <x:f>F997*G997*H997</x:f>
        <x:v>1382.24232</x:v>
      </x:c>
      <x:c r="J997" s="2" t="str">
        <x:v>2 layers x 30 bars, split lengths combined around 4 m opening</x:v>
      </x:c>
      <x:c r="K997" s="2"/>
      <x:c r="L997" s="2"/>
      <x:c r="M997" s="2"/>
      <x:c r="N997" s="2"/>
      <x:c r="O997" s="2"/>
      <x:c r="P997" s="2"/>
      <x:c r="Q997" s="2"/>
    </x:row>
    <x:row r="998" ht="22" customHeight="1">
      <x:c r="A998" s="7" t="str">
        <x:v>T6-L11-S3</x:v>
      </x:c>
      <x:c r="B998" s="7" t="str">
        <x:v>T6</x:v>
      </x:c>
      <x:c r="C998" s="7" t="str">
        <x:v>L11</x:v>
      </x:c>
      <x:c r="D998" s="7" t="str">
        <x:v>Slab Y through strips</x:v>
      </x:c>
      <x:c r="E998" s="20" t="n">
        <x:v>12</x:v>
      </x:c>
      <x:c r="F998" s="20" t="n">
        <x:v>262</x:v>
      </x:c>
      <x:c r="G998" s="20" t="n">
        <x:v>23.95</x:v>
      </x:c>
      <x:c r="H998" s="20" t="n">
        <x:f>E998^2*'Controls'!$B$52</x:f>
        <x:v>0.8877600000000001</x:v>
      </x:c>
      <x:c r="I998" s="20" t="n">
        <x:f>F998*G998*H998</x:f>
        <x:v>5570.605224</x:v>
      </x:c>
      <x:c r="J998" s="7" t="str">
        <x:v>2 layers x 131 bars outside central opening band</x:v>
      </x:c>
      <x:c r="K998" s="2"/>
      <x:c r="L998" s="2"/>
      <x:c r="M998" s="2"/>
      <x:c r="N998" s="2"/>
      <x:c r="O998" s="2"/>
      <x:c r="P998" s="2"/>
      <x:c r="Q998" s="2"/>
    </x:row>
    <x:row r="999" ht="22" customHeight="1">
      <x:c r="A999" s="2" t="str">
        <x:v>T6-L11-S4</x:v>
      </x:c>
      <x:c r="B999" s="2" t="str">
        <x:v>T6</x:v>
      </x:c>
      <x:c r="C999" s="2" t="str">
        <x:v>L11</x:v>
      </x:c>
      <x:c r="D999" s="2" t="str">
        <x:v>Slab Y split at core</x:v>
      </x:c>
      <x:c r="E999" s="21" t="n">
        <x:v>12</x:v>
      </x:c>
      <x:c r="F999" s="21" t="n">
        <x:v>40</x:v>
      </x:c>
      <x:c r="G999" s="21" t="n">
        <x:v>17.95</x:v>
      </x:c>
      <x:c r="H999" s="21" t="n">
        <x:f>E999^2*'Controls'!$B$52</x:f>
        <x:v>0.8877600000000001</x:v>
      </x:c>
      <x:c r="I999" s="21" t="n">
        <x:f>F999*G999*H999</x:f>
        <x:v>637.41168</x:v>
      </x:c>
      <x:c r="J999" s="2" t="str">
        <x:v>2 layers x 20 bars, split around 6 m opening</x:v>
      </x:c>
      <x:c r="K999" s="2"/>
      <x:c r="L999" s="2"/>
      <x:c r="M999" s="2"/>
      <x:c r="N999" s="2"/>
      <x:c r="O999" s="2"/>
      <x:c r="P999" s="2"/>
      <x:c r="Q999" s="2"/>
    </x:row>
    <x:row r="1000" ht="22" customHeight="1">
      <x:c r="A1000" s="7" t="str">
        <x:v>T6-L11-S5</x:v>
      </x:c>
      <x:c r="B1000" s="7" t="str">
        <x:v>T6</x:v>
      </x:c>
      <x:c r="C1000" s="7" t="str">
        <x:v>L11</x:v>
      </x:c>
      <x:c r="D1000" s="7" t="str">
        <x:v>Opening trim bars</x:v>
      </x:c>
      <x:c r="E1000" s="20" t="n">
        <x:v>16</x:v>
      </x:c>
      <x:c r="F1000" s="20" t="n">
        <x:v>16</x:v>
      </x:c>
      <x:c r="G1000" s="20" t="n">
        <x:v>7.2</x:v>
      </x:c>
      <x:c r="H1000" s="20" t="n">
        <x:f>E1000^2*'Controls'!$B$52</x:f>
        <x:v>1.57824</x:v>
      </x:c>
      <x:c r="I1000" s="20" t="n">
        <x:f>F1000*G1000*H1000</x:f>
        <x:v>181.81324800000002</x:v>
      </x:c>
      <x:c r="J1000" s="7" t="str">
        <x:v>Trim allowance, explicit scheduled lengths</x:v>
      </x:c>
      <x:c r="K1000" s="2"/>
      <x:c r="L1000" s="2"/>
      <x:c r="M1000" s="2"/>
      <x:c r="N1000" s="2"/>
      <x:c r="O1000" s="2"/>
      <x:c r="P1000" s="2"/>
      <x:c r="Q1000" s="2"/>
    </x:row>
    <x:row r="1001" ht="22" customHeight="1">
      <x:c r="A1001" s="2" t="str">
        <x:v>T6-L11-BX</x:v>
      </x:c>
      <x:c r="B1001" s="2" t="str">
        <x:v>T6</x:v>
      </x:c>
      <x:c r="C1001" s="2" t="str">
        <x:v>L11</x:v>
      </x:c>
      <x:c r="D1001" s="2" t="str">
        <x:v>X beam longitudinal</x:v>
      </x:c>
      <x:c r="E1001" s="21" t="n">
        <x:v>20</x:v>
      </x:c>
      <x:c r="F1001" s="21" t="n">
        <x:v>150</x:v>
      </x:c>
      <x:c r="G1001" s="21" t="n">
        <x:v>6.5</x:v>
      </x:c>
      <x:c r="H1001" s="21" t="n">
        <x:f>E1001^2*'Controls'!$B$52</x:f>
        <x:v>2.466</x:v>
      </x:c>
      <x:c r="I1001" s="21" t="n">
        <x:f>F1001*G1001*H1001</x:f>
        <x:v>2404.3500000000004</x:v>
      </x:c>
      <x:c r="J1001" s="2" t="str">
        <x:v>25 spans x 6 bars incl. 1 m lap/anchorage provision</x:v>
      </x:c>
      <x:c r="K1001" s="2"/>
      <x:c r="L1001" s="2"/>
      <x:c r="M1001" s="2"/>
      <x:c r="N1001" s="2"/>
      <x:c r="O1001" s="2"/>
      <x:c r="P1001" s="2"/>
      <x:c r="Q1001" s="2"/>
    </x:row>
    <x:row r="1002" ht="22" customHeight="1">
      <x:c r="A1002" s="7" t="str">
        <x:v>T6-L11-BY</x:v>
      </x:c>
      <x:c r="B1002" s="7" t="str">
        <x:v>T6</x:v>
      </x:c>
      <x:c r="C1002" s="7" t="str">
        <x:v>L11</x:v>
      </x:c>
      <x:c r="D1002" s="7" t="str">
        <x:v>Y beam longitudinal</x:v>
      </x:c>
      <x:c r="E1002" s="20" t="n">
        <x:v>20</x:v>
      </x:c>
      <x:c r="F1002" s="20" t="n">
        <x:v>144</x:v>
      </x:c>
      <x:c r="G1002" s="20" t="n">
        <x:v>6.5</x:v>
      </x:c>
      <x:c r="H1002" s="20" t="n">
        <x:f>E1002^2*'Controls'!$B$52</x:f>
        <x:v>2.466</x:v>
      </x:c>
      <x:c r="I1002" s="20" t="n">
        <x:f>F1002*G1002*H1002</x:f>
        <x:v>2308.1760000000004</x:v>
      </x:c>
      <x:c r="J1002" s="7" t="str">
        <x:v>24 spans x 6 bars</x:v>
      </x:c>
      <x:c r="K1002" s="2"/>
      <x:c r="L1002" s="2"/>
      <x:c r="M1002" s="2"/>
      <x:c r="N1002" s="2"/>
      <x:c r="O1002" s="2"/>
      <x:c r="P1002" s="2"/>
      <x:c r="Q1002" s="2"/>
    </x:row>
    <x:row r="1003" ht="22" customHeight="1">
      <x:c r="A1003" s="2" t="str">
        <x:v>T6-L11-BT</x:v>
      </x:c>
      <x:c r="B1003" s="2" t="str">
        <x:v>T6</x:v>
      </x:c>
      <x:c r="C1003" s="2" t="str">
        <x:v>L11</x:v>
      </x:c>
      <x:c r="D1003" s="2" t="str">
        <x:v>Beam closed links</x:v>
      </x:c>
      <x:c r="E1003" s="21" t="n">
        <x:v>10</x:v>
      </x:c>
      <x:c r="F1003" s="21" t="n">
        <x:v>1421</x:v>
      </x:c>
      <x:c r="G1003" s="21" t="n">
        <x:v>1.7</x:v>
      </x:c>
      <x:c r="H1003" s="21" t="n">
        <x:f>E1003^2*'Controls'!$B$52</x:f>
        <x:v>0.6165</x:v>
      </x:c>
      <x:c r="I1003" s="21" t="n">
        <x:f>F1003*G1003*H1003</x:f>
        <x:v>1489.27905</x:v>
      </x:c>
      <x:c r="J1003" s="2" t="str">
        <x:v>49 beams x 29 links, 200 mm nominal</x:v>
      </x:c>
      <x:c r="K1003" s="2"/>
      <x:c r="L1003" s="2"/>
      <x:c r="M1003" s="2"/>
      <x:c r="N1003" s="2"/>
      <x:c r="O1003" s="2"/>
      <x:c r="P1003" s="2"/>
      <x:c r="Q1003" s="2"/>
    </x:row>
    <x:row r="1004" ht="22" customHeight="1">
      <x:c r="A1004" s="7" t="str">
        <x:v>T6-L11-CL</x:v>
      </x:c>
      <x:c r="B1004" s="7" t="str">
        <x:v>T6</x:v>
      </x:c>
      <x:c r="C1004" s="7" t="str">
        <x:v>L11</x:v>
      </x:c>
      <x:c r="D1004" s="7" t="str">
        <x:v>Column longitudinal</x:v>
      </x:c>
      <x:c r="E1004" s="20" t="n">
        <x:v>25</x:v>
      </x:c>
      <x:c r="F1004" s="20" t="n">
        <x:v>360</x:v>
      </x:c>
      <x:c r="G1004" s="20" t="n">
        <x:v>3.9</x:v>
      </x:c>
      <x:c r="H1004" s="20" t="n">
        <x:f>E1004^2*'Controls'!$B$52</x:f>
        <x:v>3.8531250000000004</x:v>
      </x:c>
      <x:c r="I1004" s="20" t="n">
        <x:f>F1004*G1004*H1004</x:f>
        <x:v>5409.7875</x:v>
      </x:c>
      <x:c r="J1004" s="7" t="str">
        <x:v>30 columns x 12 bars incl. lap</x:v>
      </x:c>
      <x:c r="K1004" s="2"/>
      <x:c r="L1004" s="2"/>
      <x:c r="M1004" s="2"/>
      <x:c r="N1004" s="2"/>
      <x:c r="O1004" s="2"/>
      <x:c r="P1004" s="2"/>
      <x:c r="Q1004" s="2"/>
    </x:row>
    <x:row r="1005" ht="22" customHeight="1">
      <x:c r="A1005" s="2" t="str">
        <x:v>T6-L11-CT</x:v>
      </x:c>
      <x:c r="B1005" s="2" t="str">
        <x:v>T6</x:v>
      </x:c>
      <x:c r="C1005" s="2" t="str">
        <x:v>L11</x:v>
      </x:c>
      <x:c r="D1005" s="2" t="str">
        <x:v>Column ties</x:v>
      </x:c>
      <x:c r="E1005" s="21" t="n">
        <x:v>10</x:v>
      </x:c>
      <x:c r="F1005" s="21" t="n">
        <x:v>510</x:v>
      </x:c>
      <x:c r="G1005" s="21" t="n">
        <x:v>1.96</x:v>
      </x:c>
      <x:c r="H1005" s="21" t="n">
        <x:f>E1005^2*'Controls'!$B$52</x:f>
        <x:v>0.6165</x:v>
      </x:c>
      <x:c r="I1005" s="21" t="n">
        <x:f>F1005*G1005*H1005</x:f>
        <x:v>616.2534</x:v>
      </x:c>
      <x:c r="J1005" s="2" t="str">
        <x:v>30 columns x 17 ties, cover and hooks included</x:v>
      </x:c>
      <x:c r="K1005" s="2"/>
      <x:c r="L1005" s="2"/>
      <x:c r="M1005" s="2"/>
      <x:c r="N1005" s="2"/>
      <x:c r="O1005" s="2"/>
      <x:c r="P1005" s="2"/>
      <x:c r="Q1005" s="2"/>
    </x:row>
    <x:row r="1006" ht="22" customHeight="1">
      <x:c r="A1006" s="7" t="str">
        <x:v>T6-L11-CV</x:v>
      </x:c>
      <x:c r="B1006" s="7" t="str">
        <x:v>T6</x:v>
      </x:c>
      <x:c r="C1006" s="7" t="str">
        <x:v>L11</x:v>
      </x:c>
      <x:c r="D1006" s="7" t="str">
        <x:v>Core vertical bars</x:v>
      </x:c>
      <x:c r="E1006" s="20" t="n">
        <x:v>16</x:v>
      </x:c>
      <x:c r="F1006" s="20" t="n">
        <x:v>244</x:v>
      </x:c>
      <x:c r="G1006" s="20" t="n">
        <x:v>3.9</x:v>
      </x:c>
      <x:c r="H1006" s="20" t="n">
        <x:f>E1006^2*'Controls'!$B$52</x:f>
        <x:v>1.57824</x:v>
      </x:c>
      <x:c r="I1006" s="20" t="n">
        <x:f>F1006*G1006*H1006</x:f>
        <x:v>1501.853184</x:v>
      </x:c>
      <x:c r="J1006" s="7" t="str">
        <x:v>Two faces, 200 mm nominal along 24 m net length</x:v>
      </x:c>
      <x:c r="K1006" s="2"/>
      <x:c r="L1006" s="2"/>
      <x:c r="M1006" s="2"/>
      <x:c r="N1006" s="2"/>
      <x:c r="O1006" s="2"/>
      <x:c r="P1006" s="2"/>
      <x:c r="Q1006" s="2"/>
    </x:row>
    <x:row r="1007" ht="22" customHeight="1">
      <x:c r="A1007" s="2" t="str">
        <x:v>T6-L11-CH</x:v>
      </x:c>
      <x:c r="B1007" s="2" t="str">
        <x:v>T6</x:v>
      </x:c>
      <x:c r="C1007" s="2" t="str">
        <x:v>L11</x:v>
      </x:c>
      <x:c r="D1007" s="2" t="str">
        <x:v>Core horizontal bars</x:v>
      </x:c>
      <x:c r="E1007" s="21" t="n">
        <x:v>12</x:v>
      </x:c>
      <x:c r="F1007" s="21" t="n">
        <x:v>32</x:v>
      </x:c>
      <x:c r="G1007" s="21" t="n">
        <x:v>25</x:v>
      </x:c>
      <x:c r="H1007" s="21" t="n">
        <x:f>E1007^2*'Controls'!$B$52</x:f>
        <x:v>0.8877600000000001</x:v>
      </x:c>
      <x:c r="I1007" s="21" t="n">
        <x:f>F1007*G1007*H1007</x:f>
        <x:v>710.2080000000001</x:v>
      </x:c>
      <x:c r="J1007" s="2" t="str">
        <x:v>Two faces x 16 layers incl. lap</x:v>
      </x:c>
      <x:c r="K1007" s="2"/>
      <x:c r="L1007" s="2"/>
      <x:c r="M1007" s="2"/>
      <x:c r="N1007" s="2"/>
      <x:c r="O1007" s="2"/>
      <x:c r="P1007" s="2"/>
      <x:c r="Q1007" s="2"/>
    </x:row>
    <x:row r="1008" ht="22" customHeight="1">
      <x:c r="A1008" s="7" t="str">
        <x:v>T6-L11-ST</x:v>
      </x:c>
      <x:c r="B1008" s="7" t="str">
        <x:v>T6</x:v>
      </x:c>
      <x:c r="C1008" s="7" t="str">
        <x:v>L11</x:v>
      </x:c>
      <x:c r="D1008" s="7" t="str">
        <x:v>Stair flights and landings</x:v>
      </x:c>
      <x:c r="E1008" s="20" t="n">
        <x:v>12</x:v>
      </x:c>
      <x:c r="F1008" s="20" t="n">
        <x:v>80</x:v>
      </x:c>
      <x:c r="G1008" s="20" t="n">
        <x:v>4.8</x:v>
      </x:c>
      <x:c r="H1008" s="20" t="n">
        <x:f>E1008^2*'Controls'!$B$52</x:f>
        <x:v>0.8877600000000001</x:v>
      </x:c>
      <x:c r="I1008" s="20" t="n">
        <x:f>F1008*G1008*H1008</x:f>
        <x:v>340.89984000000004</x:v>
      </x:c>
      <x:c r="J1008" s="7" t="str">
        <x:v>Separate stair reinforcement allowance</x:v>
      </x:c>
      <x:c r="K1008" s="2"/>
      <x:c r="L1008" s="2"/>
      <x:c r="M1008" s="2"/>
      <x:c r="N1008" s="2"/>
      <x:c r="O1008" s="2"/>
      <x:c r="P1008" s="2"/>
      <x:c r="Q1008" s="2"/>
    </x:row>
    <x:row r="1009" ht="22" customHeight="1">
      <x:c r="A1009" s="2" t="str">
        <x:v>T6-L12-S1</x:v>
      </x:c>
      <x:c r="B1009" s="2" t="str">
        <x:v>T6</x:v>
      </x:c>
      <x:c r="C1009" s="2" t="str">
        <x:v>L12</x:v>
      </x:c>
      <x:c r="D1009" s="2" t="str">
        <x:v>Slab X through strips</x:v>
      </x:c>
      <x:c r="E1009" s="21" t="n">
        <x:v>12</x:v>
      </x:c>
      <x:c r="F1009" s="21" t="n">
        <x:v>182</x:v>
      </x:c>
      <x:c r="G1009" s="21" t="n">
        <x:v>29.95</x:v>
      </x:c>
      <x:c r="H1009" s="21" t="n">
        <x:f>E1009^2*'Controls'!$B$52</x:f>
        <x:v>0.8877600000000001</x:v>
      </x:c>
      <x:c r="I1009" s="21" t="n">
        <x:f>F1009*G1009*H1009</x:f>
        <x:v>4839.090984</x:v>
      </x:c>
      <x:c r="J1009" s="2" t="str">
        <x:v>2 layers x 91 bars outside central opening band</x:v>
      </x:c>
      <x:c r="K1009" s="2"/>
      <x:c r="L1009" s="2"/>
      <x:c r="M1009" s="2"/>
      <x:c r="N1009" s="2"/>
      <x:c r="O1009" s="2"/>
      <x:c r="P1009" s="2"/>
      <x:c r="Q1009" s="2"/>
    </x:row>
    <x:row r="1010" ht="22" customHeight="1">
      <x:c r="A1010" s="7" t="str">
        <x:v>T6-L12-S2</x:v>
      </x:c>
      <x:c r="B1010" s="7" t="str">
        <x:v>T6</x:v>
      </x:c>
      <x:c r="C1010" s="7" t="str">
        <x:v>L12</x:v>
      </x:c>
      <x:c r="D1010" s="7" t="str">
        <x:v>Slab X split at core</x:v>
      </x:c>
      <x:c r="E1010" s="20" t="n">
        <x:v>12</x:v>
      </x:c>
      <x:c r="F1010" s="20" t="n">
        <x:v>60</x:v>
      </x:c>
      <x:c r="G1010" s="20" t="n">
        <x:v>25.95</x:v>
      </x:c>
      <x:c r="H1010" s="20" t="n">
        <x:f>E1010^2*'Controls'!$B$52</x:f>
        <x:v>0.8877600000000001</x:v>
      </x:c>
      <x:c r="I1010" s="20" t="n">
        <x:f>F1010*G1010*H1010</x:f>
        <x:v>1382.24232</x:v>
      </x:c>
      <x:c r="J1010" s="7" t="str">
        <x:v>2 layers x 30 bars, split lengths combined around 4 m opening</x:v>
      </x:c>
      <x:c r="K1010" s="2"/>
      <x:c r="L1010" s="2"/>
      <x:c r="M1010" s="2"/>
      <x:c r="N1010" s="2"/>
      <x:c r="O1010" s="2"/>
      <x:c r="P1010" s="2"/>
      <x:c r="Q1010" s="2"/>
    </x:row>
    <x:row r="1011" ht="22" customHeight="1">
      <x:c r="A1011" s="2" t="str">
        <x:v>T6-L12-S3</x:v>
      </x:c>
      <x:c r="B1011" s="2" t="str">
        <x:v>T6</x:v>
      </x:c>
      <x:c r="C1011" s="2" t="str">
        <x:v>L12</x:v>
      </x:c>
      <x:c r="D1011" s="2" t="str">
        <x:v>Slab Y through strips</x:v>
      </x:c>
      <x:c r="E1011" s="21" t="n">
        <x:v>12</x:v>
      </x:c>
      <x:c r="F1011" s="21" t="n">
        <x:v>262</x:v>
      </x:c>
      <x:c r="G1011" s="21" t="n">
        <x:v>23.95</x:v>
      </x:c>
      <x:c r="H1011" s="21" t="n">
        <x:f>E1011^2*'Controls'!$B$52</x:f>
        <x:v>0.8877600000000001</x:v>
      </x:c>
      <x:c r="I1011" s="21" t="n">
        <x:f>F1011*G1011*H1011</x:f>
        <x:v>5570.605224</x:v>
      </x:c>
      <x:c r="J1011" s="2" t="str">
        <x:v>2 layers x 131 bars outside central opening band</x:v>
      </x:c>
      <x:c r="K1011" s="2"/>
      <x:c r="L1011" s="2"/>
      <x:c r="M1011" s="2"/>
      <x:c r="N1011" s="2"/>
      <x:c r="O1011" s="2"/>
      <x:c r="P1011" s="2"/>
      <x:c r="Q1011" s="2"/>
    </x:row>
    <x:row r="1012" ht="22" customHeight="1">
      <x:c r="A1012" s="7" t="str">
        <x:v>T6-L12-S4</x:v>
      </x:c>
      <x:c r="B1012" s="7" t="str">
        <x:v>T6</x:v>
      </x:c>
      <x:c r="C1012" s="7" t="str">
        <x:v>L12</x:v>
      </x:c>
      <x:c r="D1012" s="7" t="str">
        <x:v>Slab Y split at core</x:v>
      </x:c>
      <x:c r="E1012" s="20" t="n">
        <x:v>12</x:v>
      </x:c>
      <x:c r="F1012" s="20" t="n">
        <x:v>40</x:v>
      </x:c>
      <x:c r="G1012" s="20" t="n">
        <x:v>17.95</x:v>
      </x:c>
      <x:c r="H1012" s="20" t="n">
        <x:f>E1012^2*'Controls'!$B$52</x:f>
        <x:v>0.8877600000000001</x:v>
      </x:c>
      <x:c r="I1012" s="20" t="n">
        <x:f>F1012*G1012*H1012</x:f>
        <x:v>637.41168</x:v>
      </x:c>
      <x:c r="J1012" s="7" t="str">
        <x:v>2 layers x 20 bars, split around 6 m opening</x:v>
      </x:c>
      <x:c r="K1012" s="2"/>
      <x:c r="L1012" s="2"/>
      <x:c r="M1012" s="2"/>
      <x:c r="N1012" s="2"/>
      <x:c r="O1012" s="2"/>
      <x:c r="P1012" s="2"/>
      <x:c r="Q1012" s="2"/>
    </x:row>
    <x:row r="1013" ht="22" customHeight="1">
      <x:c r="A1013" s="2" t="str">
        <x:v>T6-L12-S5</x:v>
      </x:c>
      <x:c r="B1013" s="2" t="str">
        <x:v>T6</x:v>
      </x:c>
      <x:c r="C1013" s="2" t="str">
        <x:v>L12</x:v>
      </x:c>
      <x:c r="D1013" s="2" t="str">
        <x:v>Opening trim bars</x:v>
      </x:c>
      <x:c r="E1013" s="21" t="n">
        <x:v>16</x:v>
      </x:c>
      <x:c r="F1013" s="21" t="n">
        <x:v>16</x:v>
      </x:c>
      <x:c r="G1013" s="21" t="n">
        <x:v>7.2</x:v>
      </x:c>
      <x:c r="H1013" s="21" t="n">
        <x:f>E1013^2*'Controls'!$B$52</x:f>
        <x:v>1.57824</x:v>
      </x:c>
      <x:c r="I1013" s="21" t="n">
        <x:f>F1013*G1013*H1013</x:f>
        <x:v>181.81324800000002</x:v>
      </x:c>
      <x:c r="J1013" s="2" t="str">
        <x:v>Trim allowance, explicit scheduled lengths</x:v>
      </x:c>
      <x:c r="K1013" s="2"/>
      <x:c r="L1013" s="2"/>
      <x:c r="M1013" s="2"/>
      <x:c r="N1013" s="2"/>
      <x:c r="O1013" s="2"/>
      <x:c r="P1013" s="2"/>
      <x:c r="Q1013" s="2"/>
    </x:row>
    <x:row r="1014" ht="22" customHeight="1">
      <x:c r="A1014" s="7" t="str">
        <x:v>T6-L12-BX</x:v>
      </x:c>
      <x:c r="B1014" s="7" t="str">
        <x:v>T6</x:v>
      </x:c>
      <x:c r="C1014" s="7" t="str">
        <x:v>L12</x:v>
      </x:c>
      <x:c r="D1014" s="7" t="str">
        <x:v>X beam longitudinal</x:v>
      </x:c>
      <x:c r="E1014" s="20" t="n">
        <x:v>20</x:v>
      </x:c>
      <x:c r="F1014" s="20" t="n">
        <x:v>150</x:v>
      </x:c>
      <x:c r="G1014" s="20" t="n">
        <x:v>6.5</x:v>
      </x:c>
      <x:c r="H1014" s="20" t="n">
        <x:f>E1014^2*'Controls'!$B$52</x:f>
        <x:v>2.466</x:v>
      </x:c>
      <x:c r="I1014" s="20" t="n">
        <x:f>F1014*G1014*H1014</x:f>
        <x:v>2404.3500000000004</x:v>
      </x:c>
      <x:c r="J1014" s="7" t="str">
        <x:v>25 spans x 6 bars incl. 1 m lap/anchorage provision</x:v>
      </x:c>
      <x:c r="K1014" s="2"/>
      <x:c r="L1014" s="2"/>
      <x:c r="M1014" s="2"/>
      <x:c r="N1014" s="2"/>
      <x:c r="O1014" s="2"/>
      <x:c r="P1014" s="2"/>
      <x:c r="Q1014" s="2"/>
    </x:row>
    <x:row r="1015" ht="22" customHeight="1">
      <x:c r="A1015" s="2" t="str">
        <x:v>T6-L12-BY</x:v>
      </x:c>
      <x:c r="B1015" s="2" t="str">
        <x:v>T6</x:v>
      </x:c>
      <x:c r="C1015" s="2" t="str">
        <x:v>L12</x:v>
      </x:c>
      <x:c r="D1015" s="2" t="str">
        <x:v>Y beam longitudinal</x:v>
      </x:c>
      <x:c r="E1015" s="21" t="n">
        <x:v>20</x:v>
      </x:c>
      <x:c r="F1015" s="21" t="n">
        <x:v>144</x:v>
      </x:c>
      <x:c r="G1015" s="21" t="n">
        <x:v>6.5</x:v>
      </x:c>
      <x:c r="H1015" s="21" t="n">
        <x:f>E1015^2*'Controls'!$B$52</x:f>
        <x:v>2.466</x:v>
      </x:c>
      <x:c r="I1015" s="21" t="n">
        <x:f>F1015*G1015*H1015</x:f>
        <x:v>2308.1760000000004</x:v>
      </x:c>
      <x:c r="J1015" s="2" t="str">
        <x:v>24 spans x 6 bars</x:v>
      </x:c>
      <x:c r="K1015" s="2"/>
      <x:c r="L1015" s="2"/>
      <x:c r="M1015" s="2"/>
      <x:c r="N1015" s="2"/>
      <x:c r="O1015" s="2"/>
      <x:c r="P1015" s="2"/>
      <x:c r="Q1015" s="2"/>
    </x:row>
    <x:row r="1016" ht="22" customHeight="1">
      <x:c r="A1016" s="7" t="str">
        <x:v>T6-L12-BT</x:v>
      </x:c>
      <x:c r="B1016" s="7" t="str">
        <x:v>T6</x:v>
      </x:c>
      <x:c r="C1016" s="7" t="str">
        <x:v>L12</x:v>
      </x:c>
      <x:c r="D1016" s="7" t="str">
        <x:v>Beam closed links</x:v>
      </x:c>
      <x:c r="E1016" s="20" t="n">
        <x:v>10</x:v>
      </x:c>
      <x:c r="F1016" s="20" t="n">
        <x:v>1421</x:v>
      </x:c>
      <x:c r="G1016" s="20" t="n">
        <x:v>1.7</x:v>
      </x:c>
      <x:c r="H1016" s="20" t="n">
        <x:f>E1016^2*'Controls'!$B$52</x:f>
        <x:v>0.6165</x:v>
      </x:c>
      <x:c r="I1016" s="20" t="n">
        <x:f>F1016*G1016*H1016</x:f>
        <x:v>1489.27905</x:v>
      </x:c>
      <x:c r="J1016" s="7" t="str">
        <x:v>49 beams x 29 links, 200 mm nominal</x:v>
      </x:c>
      <x:c r="K1016" s="2"/>
      <x:c r="L1016" s="2"/>
      <x:c r="M1016" s="2"/>
      <x:c r="N1016" s="2"/>
      <x:c r="O1016" s="2"/>
      <x:c r="P1016" s="2"/>
      <x:c r="Q1016" s="2"/>
    </x:row>
    <x:row r="1017" ht="22" customHeight="1">
      <x:c r="A1017" s="2" t="str">
        <x:v>T6-L12-CL</x:v>
      </x:c>
      <x:c r="B1017" s="2" t="str">
        <x:v>T6</x:v>
      </x:c>
      <x:c r="C1017" s="2" t="str">
        <x:v>L12</x:v>
      </x:c>
      <x:c r="D1017" s="2" t="str">
        <x:v>Column longitudinal</x:v>
      </x:c>
      <x:c r="E1017" s="21" t="n">
        <x:v>25</x:v>
      </x:c>
      <x:c r="F1017" s="21" t="n">
        <x:v>360</x:v>
      </x:c>
      <x:c r="G1017" s="21" t="n">
        <x:v>3.9</x:v>
      </x:c>
      <x:c r="H1017" s="21" t="n">
        <x:f>E1017^2*'Controls'!$B$52</x:f>
        <x:v>3.8531250000000004</x:v>
      </x:c>
      <x:c r="I1017" s="21" t="n">
        <x:f>F1017*G1017*H1017</x:f>
        <x:v>5409.7875</x:v>
      </x:c>
      <x:c r="J1017" s="2" t="str">
        <x:v>30 columns x 12 bars incl. lap</x:v>
      </x:c>
      <x:c r="K1017" s="2"/>
      <x:c r="L1017" s="2"/>
      <x:c r="M1017" s="2"/>
      <x:c r="N1017" s="2"/>
      <x:c r="O1017" s="2"/>
      <x:c r="P1017" s="2"/>
      <x:c r="Q1017" s="2"/>
    </x:row>
    <x:row r="1018" ht="22" customHeight="1">
      <x:c r="A1018" s="7" t="str">
        <x:v>T6-L12-CT</x:v>
      </x:c>
      <x:c r="B1018" s="7" t="str">
        <x:v>T6</x:v>
      </x:c>
      <x:c r="C1018" s="7" t="str">
        <x:v>L12</x:v>
      </x:c>
      <x:c r="D1018" s="7" t="str">
        <x:v>Column ties</x:v>
      </x:c>
      <x:c r="E1018" s="20" t="n">
        <x:v>10</x:v>
      </x:c>
      <x:c r="F1018" s="20" t="n">
        <x:v>510</x:v>
      </x:c>
      <x:c r="G1018" s="20" t="n">
        <x:v>1.96</x:v>
      </x:c>
      <x:c r="H1018" s="20" t="n">
        <x:f>E1018^2*'Controls'!$B$52</x:f>
        <x:v>0.6165</x:v>
      </x:c>
      <x:c r="I1018" s="20" t="n">
        <x:f>F1018*G1018*H1018</x:f>
        <x:v>616.2534</x:v>
      </x:c>
      <x:c r="J1018" s="7" t="str">
        <x:v>30 columns x 17 ties, cover and hooks included</x:v>
      </x:c>
      <x:c r="K1018" s="2"/>
      <x:c r="L1018" s="2"/>
      <x:c r="M1018" s="2"/>
      <x:c r="N1018" s="2"/>
      <x:c r="O1018" s="2"/>
      <x:c r="P1018" s="2"/>
      <x:c r="Q1018" s="2"/>
    </x:row>
    <x:row r="1019" ht="22" customHeight="1">
      <x:c r="A1019" s="2" t="str">
        <x:v>T6-L12-CV</x:v>
      </x:c>
      <x:c r="B1019" s="2" t="str">
        <x:v>T6</x:v>
      </x:c>
      <x:c r="C1019" s="2" t="str">
        <x:v>L12</x:v>
      </x:c>
      <x:c r="D1019" s="2" t="str">
        <x:v>Core vertical bars</x:v>
      </x:c>
      <x:c r="E1019" s="21" t="n">
        <x:v>16</x:v>
      </x:c>
      <x:c r="F1019" s="21" t="n">
        <x:v>244</x:v>
      </x:c>
      <x:c r="G1019" s="21" t="n">
        <x:v>3.9</x:v>
      </x:c>
      <x:c r="H1019" s="21" t="n">
        <x:f>E1019^2*'Controls'!$B$52</x:f>
        <x:v>1.57824</x:v>
      </x:c>
      <x:c r="I1019" s="21" t="n">
        <x:f>F1019*G1019*H1019</x:f>
        <x:v>1501.853184</x:v>
      </x:c>
      <x:c r="J1019" s="2" t="str">
        <x:v>Two faces, 200 mm nominal along 24 m net length</x:v>
      </x:c>
      <x:c r="K1019" s="2"/>
      <x:c r="L1019" s="2"/>
      <x:c r="M1019" s="2"/>
      <x:c r="N1019" s="2"/>
      <x:c r="O1019" s="2"/>
      <x:c r="P1019" s="2"/>
      <x:c r="Q1019" s="2"/>
    </x:row>
    <x:row r="1020" ht="22" customHeight="1">
      <x:c r="A1020" s="7" t="str">
        <x:v>T6-L12-CH</x:v>
      </x:c>
      <x:c r="B1020" s="7" t="str">
        <x:v>T6</x:v>
      </x:c>
      <x:c r="C1020" s="7" t="str">
        <x:v>L12</x:v>
      </x:c>
      <x:c r="D1020" s="7" t="str">
        <x:v>Core horizontal bars</x:v>
      </x:c>
      <x:c r="E1020" s="20" t="n">
        <x:v>12</x:v>
      </x:c>
      <x:c r="F1020" s="20" t="n">
        <x:v>32</x:v>
      </x:c>
      <x:c r="G1020" s="20" t="n">
        <x:v>25</x:v>
      </x:c>
      <x:c r="H1020" s="20" t="n">
        <x:f>E1020^2*'Controls'!$B$52</x:f>
        <x:v>0.8877600000000001</x:v>
      </x:c>
      <x:c r="I1020" s="20" t="n">
        <x:f>F1020*G1020*H1020</x:f>
        <x:v>710.2080000000001</x:v>
      </x:c>
      <x:c r="J1020" s="7" t="str">
        <x:v>Two faces x 16 layers incl. lap</x:v>
      </x:c>
      <x:c r="K1020" s="2"/>
      <x:c r="L1020" s="2"/>
      <x:c r="M1020" s="2"/>
      <x:c r="N1020" s="2"/>
      <x:c r="O1020" s="2"/>
      <x:c r="P1020" s="2"/>
      <x:c r="Q1020" s="2"/>
    </x:row>
    <x:row r="1021" ht="22" customHeight="1">
      <x:c r="A1021" s="2" t="str">
        <x:v>T6-L12-ST</x:v>
      </x:c>
      <x:c r="B1021" s="2" t="str">
        <x:v>T6</x:v>
      </x:c>
      <x:c r="C1021" s="2" t="str">
        <x:v>L12</x:v>
      </x:c>
      <x:c r="D1021" s="2" t="str">
        <x:v>Stair flights and landings</x:v>
      </x:c>
      <x:c r="E1021" s="21" t="n">
        <x:v>12</x:v>
      </x:c>
      <x:c r="F1021" s="21" t="n">
        <x:v>80</x:v>
      </x:c>
      <x:c r="G1021" s="21" t="n">
        <x:v>4.8</x:v>
      </x:c>
      <x:c r="H1021" s="21" t="n">
        <x:f>E1021^2*'Controls'!$B$52</x:f>
        <x:v>0.8877600000000001</x:v>
      </x:c>
      <x:c r="I1021" s="21" t="n">
        <x:f>F1021*G1021*H1021</x:f>
        <x:v>340.89984000000004</x:v>
      </x:c>
      <x:c r="J1021" s="2" t="str">
        <x:v>Separate stair reinforcement allowance</x:v>
      </x:c>
      <x:c r="K1021" s="2"/>
      <x:c r="L1021" s="2"/>
      <x:c r="M1021" s="2"/>
      <x:c r="N1021" s="2"/>
      <x:c r="O1021" s="2"/>
      <x:c r="P1021" s="2"/>
      <x:c r="Q1021" s="2"/>
    </x:row>
    <x:row r="1022" ht="22" customHeight="1">
      <x:c r="A1022" s="7" t="str">
        <x:v>POD-RX</x:v>
      </x:c>
      <x:c r="B1022" s="7" t="str">
        <x:v>POD</x:v>
      </x:c>
      <x:c r="C1022" s="7" t="str">
        <x:v>B1</x:v>
      </x:c>
      <x:c r="D1022" s="7" t="str">
        <x:v>Raft X mats</x:v>
      </x:c>
      <x:c r="E1022" s="20" t="n">
        <x:v>25</x:v>
      </x:c>
      <x:c r="F1022" s="20" t="n">
        <x:v>1602</x:v>
      </x:c>
      <x:c r="G1022" s="20" t="n">
        <x:v>119.9</x:v>
      </x:c>
      <x:c r="H1022" s="20" t="n">
        <x:f>E1022^2*'Controls'!$B$52</x:f>
        <x:v>3.8531250000000004</x:v>
      </x:c>
      <x:c r="I1022" s="20" t="n">
        <x:f>F1022*G1022*H1022</x:f>
        <x:v>740107.4793750001</x:v>
      </x:c>
      <x:c r="J1022" s="7" t="str">
        <x:v>Two layers x 801 bars at 150 mm nominal</x:v>
      </x:c>
      <x:c r="K1022" s="2"/>
      <x:c r="L1022" s="2"/>
      <x:c r="M1022" s="2"/>
      <x:c r="N1022" s="2"/>
      <x:c r="O1022" s="2"/>
      <x:c r="P1022" s="2"/>
      <x:c r="Q1022" s="2"/>
    </x:row>
    <x:row r="1023" ht="22" customHeight="1">
      <x:c r="A1023" s="2" t="str">
        <x:v>POD-RY</x:v>
      </x:c>
      <x:c r="B1023" s="2" t="str">
        <x:v>POD</x:v>
      </x:c>
      <x:c r="C1023" s="2" t="str">
        <x:v>B1</x:v>
      </x:c>
      <x:c r="D1023" s="2" t="str">
        <x:v>Raft Y mats</x:v>
      </x:c>
      <x:c r="E1023" s="21" t="n">
        <x:v>25</x:v>
      </x:c>
      <x:c r="F1023" s="21" t="n">
        <x:v>1602</x:v>
      </x:c>
      <x:c r="G1023" s="21" t="n">
        <x:v>119.9</x:v>
      </x:c>
      <x:c r="H1023" s="21" t="n">
        <x:f>E1023^2*'Controls'!$B$52</x:f>
        <x:v>3.8531250000000004</x:v>
      </x:c>
      <x:c r="I1023" s="21" t="n">
        <x:f>F1023*G1023*H1023</x:f>
        <x:v>740107.4793750001</x:v>
      </x:c>
      <x:c r="J1023" s="2" t="str">
        <x:v>Continuous equivalent lengths, laps excluded</x:v>
      </x:c>
      <x:c r="K1023" s="2"/>
      <x:c r="L1023" s="2"/>
      <x:c r="M1023" s="2"/>
      <x:c r="N1023" s="2"/>
      <x:c r="O1023" s="2"/>
      <x:c r="P1023" s="2"/>
      <x:c r="Q1023" s="2"/>
    </x:row>
    <x:row r="1024" ht="22" customHeight="1">
      <x:c r="A1024" s="7" t="str">
        <x:v>POD-RL</x:v>
      </x:c>
      <x:c r="B1024" s="7" t="str">
        <x:v>POD</x:v>
      </x:c>
      <x:c r="C1024" s="7" t="str">
        <x:v>B1</x:v>
      </x:c>
      <x:c r="D1024" s="7" t="str">
        <x:v>Raft mat laps</x:v>
      </x:c>
      <x:c r="E1024" s="20" t="n">
        <x:v>25</x:v>
      </x:c>
      <x:c r="F1024" s="20" t="n">
        <x:v>3204</x:v>
      </x:c>
      <x:c r="G1024" s="20" t="n">
        <x:v>15.4</x:v>
      </x:c>
      <x:c r="H1024" s="20" t="n">
        <x:f>E1024^2*'Controls'!$B$52</x:f>
        <x:v>3.8531250000000004</x:v>
      </x:c>
      <x:c r="I1024" s="20" t="n">
        <x:f>F1024*G1024*H1024</x:f>
        <x:v>190119.3525</x:v>
      </x:c>
      <x:c r="J1024" s="7" t="str">
        <x:v>11 splices per 119.9 m run x 1.4 m lap</x:v>
      </x:c>
      <x:c r="K1024" s="2"/>
      <x:c r="L1024" s="2"/>
      <x:c r="M1024" s="2"/>
      <x:c r="N1024" s="2"/>
      <x:c r="O1024" s="2"/>
      <x:c r="P1024" s="2"/>
      <x:c r="Q1024" s="2"/>
    </x:row>
    <x:row r="1025" ht="22" customHeight="1">
      <x:c r="A1025" s="2" t="str">
        <x:v>POD-RT</x:v>
      </x:c>
      <x:c r="B1025" s="2" t="str">
        <x:v>POD</x:v>
      </x:c>
      <x:c r="C1025" s="2" t="str">
        <x:v>B1</x:v>
      </x:c>
      <x:c r="D1025" s="2" t="str">
        <x:v>Tower thickening bars</x:v>
      </x:c>
      <x:c r="E1025" s="21" t="n">
        <x:v>25</x:v>
      </x:c>
      <x:c r="F1025" s="21" t="n">
        <x:v>3864</x:v>
      </x:c>
      <x:c r="G1025" s="21" t="n">
        <x:v>29.9</x:v>
      </x:c>
      <x:c r="H1025" s="21" t="n">
        <x:f>E1025^2*'Controls'!$B$52</x:f>
        <x:v>3.8531250000000004</x:v>
      </x:c>
      <x:c r="I1025" s="21" t="n">
        <x:f>F1025*G1025*H1025</x:f>
        <x:v>445165.4025</x:v>
      </x:c>
      <x:c r="J1025" s="2" t="str">
        <x:v>Additional mats in tower zones, explicit preliminary allowance</x:v>
      </x:c>
      <x:c r="K1025" s="2"/>
      <x:c r="L1025" s="2"/>
      <x:c r="M1025" s="2"/>
      <x:c r="N1025" s="2"/>
      <x:c r="O1025" s="2"/>
      <x:c r="P1025" s="2"/>
      <x:c r="Q1025" s="2"/>
    </x:row>
    <x:row r="1026" ht="22" customHeight="1">
      <x:c r="A1026" s="7" t="str">
        <x:v>POD-SX</x:v>
      </x:c>
      <x:c r="B1026" s="7" t="str">
        <x:v>POD</x:v>
      </x:c>
      <x:c r="C1026" s="7" t="str">
        <x:v>L00</x:v>
      </x:c>
      <x:c r="D1026" s="7" t="str">
        <x:v>Podium roof mats X</x:v>
      </x:c>
      <x:c r="E1026" s="20" t="n">
        <x:v>16</x:v>
      </x:c>
      <x:c r="F1026" s="20" t="n">
        <x:v>1202</x:v>
      </x:c>
      <x:c r="G1026" s="20" t="n">
        <x:v>83.9</x:v>
      </x:c>
      <x:c r="H1026" s="20" t="n">
        <x:f>E1026^2*'Controls'!$B$52</x:f>
        <x:v>1.57824</x:v>
      </x:c>
      <x:c r="I1026" s="20" t="n">
        <x:f>F1026*G1026*H1026</x:f>
        <x:v>159162.03187200002</x:v>
      </x:c>
      <x:c r="J1026" s="7" t="str">
        <x:v>Net equivalent length 119.9 x 70%, towers deducted</x:v>
      </x:c>
      <x:c r="K1026" s="2"/>
      <x:c r="L1026" s="2"/>
      <x:c r="M1026" s="2"/>
      <x:c r="N1026" s="2"/>
      <x:c r="O1026" s="2"/>
      <x:c r="P1026" s="2"/>
      <x:c r="Q1026" s="2"/>
    </x:row>
    <x:row r="1027" ht="22" customHeight="1">
      <x:c r="A1027" s="2" t="str">
        <x:v>POD-SY</x:v>
      </x:c>
      <x:c r="B1027" s="2" t="str">
        <x:v>POD</x:v>
      </x:c>
      <x:c r="C1027" s="2" t="str">
        <x:v>L00</x:v>
      </x:c>
      <x:c r="D1027" s="2" t="str">
        <x:v>Podium roof mats Y</x:v>
      </x:c>
      <x:c r="E1027" s="21" t="n">
        <x:v>16</x:v>
      </x:c>
      <x:c r="F1027" s="21" t="n">
        <x:v>1202</x:v>
      </x:c>
      <x:c r="G1027" s="21" t="n">
        <x:v>83.9</x:v>
      </x:c>
      <x:c r="H1027" s="21" t="n">
        <x:f>E1027^2*'Controls'!$B$52</x:f>
        <x:v>1.57824</x:v>
      </x:c>
      <x:c r="I1027" s="21" t="n">
        <x:f>F1027*G1027*H1027</x:f>
        <x:v>159162.03187200002</x:v>
      </x:c>
      <x:c r="J1027" s="2" t="str">
        <x:v>Same net podium area, 2 directions</x:v>
      </x:c>
      <x:c r="K1027" s="2"/>
      <x:c r="L1027" s="2"/>
      <x:c r="M1027" s="2"/>
      <x:c r="N1027" s="2"/>
      <x:c r="O1027" s="2"/>
      <x:c r="P1027" s="2"/>
      <x:c r="Q1027" s="2"/>
    </x:row>
    <x:row r="1028" ht="22" customHeight="1">
      <x:c r="A1028" s="7" t="str">
        <x:v>POD-WV</x:v>
      </x:c>
      <x:c r="B1028" s="7" t="str">
        <x:v>POD</x:v>
      </x:c>
      <x:c r="C1028" s="7" t="str">
        <x:v>B1</x:v>
      </x:c>
      <x:c r="D1028" s="7" t="str">
        <x:v>Basement wall vertical</x:v>
      </x:c>
      <x:c r="E1028" s="20" t="n">
        <x:v>16</x:v>
      </x:c>
      <x:c r="F1028" s="20" t="n">
        <x:v>4792</x:v>
      </x:c>
      <x:c r="G1028" s="20" t="n">
        <x:v>4.2</x:v>
      </x:c>
      <x:c r="H1028" s="20" t="n">
        <x:f>E1028^2*'Controls'!$B$52</x:f>
        <x:v>1.57824</x:v>
      </x:c>
      <x:c r="I1028" s="20" t="n">
        <x:f>F1028*G1028*H1028</x:f>
        <x:v>31764.289536000004</x:v>
      </x:c>
      <x:c r="J1028" s="7" t="str">
        <x:v>2 faces x 2396 bars at 200 mm, lap included</x:v>
      </x:c>
      <x:c r="K1028" s="2"/>
      <x:c r="L1028" s="2"/>
      <x:c r="M1028" s="2"/>
      <x:c r="N1028" s="2"/>
      <x:c r="O1028" s="2"/>
      <x:c r="P1028" s="2"/>
      <x:c r="Q1028" s="2"/>
    </x:row>
    <x:row r="1029" ht="22" customHeight="1">
      <x:c r="A1029" s="2" t="str">
        <x:v>POD-WH</x:v>
      </x:c>
      <x:c r="B1029" s="2" t="str">
        <x:v>POD</x:v>
      </x:c>
      <x:c r="C1029" s="2" t="str">
        <x:v>B1</x:v>
      </x:c>
      <x:c r="D1029" s="2" t="str">
        <x:v>Basement wall horizontal</x:v>
      </x:c>
      <x:c r="E1029" s="21" t="n">
        <x:v>16</x:v>
      </x:c>
      <x:c r="F1029" s="21" t="n">
        <x:v>36</x:v>
      </x:c>
      <x:c r="G1029" s="21" t="n">
        <x:v>502.74</x:v>
      </x:c>
      <x:c r="H1029" s="21" t="n">
        <x:f>E1029^2*'Controls'!$B$52</x:f>
        <x:v>1.57824</x:v>
      </x:c>
      <x:c r="I1029" s="21" t="n">
        <x:f>F1029*G1029*H1029</x:f>
        <x:v>28563.9975936</x:v>
      </x:c>
      <x:c r="J1029" s="2" t="str">
        <x:v>2 faces x 18 bars x net perimeter incl. 5% laps</x:v>
      </x:c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24" hidden="0" customWidth="1"/>
    <x:col min="5" max="5" width="12" hidden="0" customWidth="1"/>
    <x:col min="6" max="6" width="16" hidden="0" customWidth="1"/>
    <x:col min="7" max="7" width="20" hidden="0" customWidth="1"/>
    <x:col min="8" max="8" width="18" hidden="0" customWidth="1"/>
    <x:col min="9" max="9" width="22" hidden="0" customWidth="1"/>
    <x:col min="10" max="10" width="6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Opening and deduction register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Positive source areas. Measurement schedule applies the deduction signs.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Opening ID</x:v>
      </x:c>
      <x:c r="B7" s="6" t="str">
        <x:v>Zone</x:v>
      </x:c>
      <x:c r="C7" s="6" t="str">
        <x:v>Level</x:v>
      </x:c>
      <x:c r="D7" s="6" t="str">
        <x:v>Type</x:v>
      </x:c>
      <x:c r="E7" s="6" t="str">
        <x:v>Count</x:v>
      </x:c>
      <x:c r="F7" s="6" t="str">
        <x:v>Width m</x:v>
      </x:c>
      <x:c r="G7" s="6" t="str">
        <x:v>Height/length m</x:v>
      </x:c>
      <x:c r="H7" s="6" t="str">
        <x:v>Area m2</x:v>
      </x:c>
      <x:c r="I7" s="6" t="str">
        <x:v>Affected items</x:v>
      </x:c>
      <x:c r="J7" s="6" t="str">
        <x:v>Basis</x:v>
      </x:c>
      <x:c r="K7" s="2"/>
      <x:c r="L7" s="2"/>
      <x:c r="M7" s="2"/>
      <x:c r="N7" s="2"/>
      <x:c r="O7" s="2"/>
      <x:c r="P7" s="2"/>
      <x:c r="Q7" s="2"/>
    </x:row>
    <x:row r="8" ht="22" customHeight="1">
      <x:c r="A8" s="7" t="str">
        <x:v>T1-L00-OP01</x:v>
      </x:c>
      <x:c r="B8" s="7" t="str">
        <x:v>T1</x:v>
      </x:c>
      <x:c r="C8" s="7" t="n">
        <x:v>0</x:v>
      </x:c>
      <x:c r="D8" s="7" t="str">
        <x:v>Stair core</x:v>
      </x:c>
      <x:c r="E8" s="16" t="n">
        <x:v>1</x:v>
      </x:c>
      <x:c r="F8" s="16" t="n">
        <x:v>4</x:v>
      </x:c>
      <x:c r="G8" s="16" t="n">
        <x:v>6</x:v>
      </x:c>
      <x:c r="H8" s="16" t="n">
        <x:f>E8*F8*G8</x:f>
        <x:v>24</x:v>
      </x:c>
      <x:c r="I8" s="7" t="str">
        <x:v>RC03, FW01</x:v>
      </x:c>
      <x:c r="J8" s="7" t="str">
        <x:v>One opening per floor</x:v>
      </x:c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T1-L00-OP02</x:v>
      </x:c>
      <x:c r="B9" s="2" t="str">
        <x:v>T1</x:v>
      </x:c>
      <x:c r="C9" s="2" t="n">
        <x:v>0</x:v>
      </x:c>
      <x:c r="D9" s="2" t="str">
        <x:v>Door openings</x:v>
      </x:c>
      <x:c r="E9" s="18" t="n">
        <x:v>28</x:v>
      </x:c>
      <x:c r="F9" s="18" t="n">
        <x:v>0.9</x:v>
      </x:c>
      <x:c r="G9" s="18" t="n">
        <x:v>2.1</x:v>
      </x:c>
      <x:c r="H9" s="18" t="n">
        <x:f>E9*F9*G9</x:f>
        <x:v>52.92</x:v>
      </x:c>
      <x:c r="I9" s="2" t="str">
        <x:v>AR01, AR02</x:v>
      </x:c>
      <x:c r="J9" s="2" t="str">
        <x:v>Same openings deducted from masonry and plaster</x:v>
      </x:c>
      <x:c r="K9" s="2"/>
      <x:c r="L9" s="2"/>
      <x:c r="M9" s="2"/>
      <x:c r="N9" s="2"/>
      <x:c r="O9" s="2"/>
      <x:c r="P9" s="2"/>
      <x:c r="Q9" s="2"/>
    </x:row>
    <x:row r="10" ht="22" customHeight="1">
      <x:c r="A10" s="7" t="str">
        <x:v>T1-L01-OP01</x:v>
      </x:c>
      <x:c r="B10" s="7" t="str">
        <x:v>T1</x:v>
      </x:c>
      <x:c r="C10" s="7" t="n">
        <x:v>1</x:v>
      </x:c>
      <x:c r="D10" s="7" t="str">
        <x:v>Stair core</x:v>
      </x:c>
      <x:c r="E10" s="16" t="n">
        <x:v>1</x:v>
      </x:c>
      <x:c r="F10" s="16" t="n">
        <x:v>4</x:v>
      </x:c>
      <x:c r="G10" s="16" t="n">
        <x:v>6</x:v>
      </x:c>
      <x:c r="H10" s="16" t="n">
        <x:f>E10*F10*G10</x:f>
        <x:v>24</x:v>
      </x:c>
      <x:c r="I10" s="7" t="str">
        <x:v>RC03, FW01</x:v>
      </x:c>
      <x:c r="J10" s="7" t="str">
        <x:v>One opening per floor</x:v>
      </x:c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T1-L01-OP02</x:v>
      </x:c>
      <x:c r="B11" s="2" t="str">
        <x:v>T1</x:v>
      </x:c>
      <x:c r="C11" s="2" t="n">
        <x:v>1</x:v>
      </x:c>
      <x:c r="D11" s="2" t="str">
        <x:v>Door openings</x:v>
      </x:c>
      <x:c r="E11" s="18" t="n">
        <x:v>28</x:v>
      </x:c>
      <x:c r="F11" s="18" t="n">
        <x:v>0.9</x:v>
      </x:c>
      <x:c r="G11" s="18" t="n">
        <x:v>2.1</x:v>
      </x:c>
      <x:c r="H11" s="18" t="n">
        <x:f>E11*F11*G11</x:f>
        <x:v>52.92</x:v>
      </x:c>
      <x:c r="I11" s="2" t="str">
        <x:v>AR01, AR02</x:v>
      </x:c>
      <x:c r="J11" s="2" t="str">
        <x:v>Same openings deducted from masonry and plaster</x:v>
      </x:c>
      <x:c r="K11" s="2"/>
      <x:c r="L11" s="2"/>
      <x:c r="M11" s="2"/>
      <x:c r="N11" s="2"/>
      <x:c r="O11" s="2"/>
      <x:c r="P11" s="2"/>
      <x:c r="Q11" s="2"/>
    </x:row>
    <x:row r="12" ht="22" customHeight="1">
      <x:c r="A12" s="7" t="str">
        <x:v>T1-L02-OP01</x:v>
      </x:c>
      <x:c r="B12" s="7" t="str">
        <x:v>T1</x:v>
      </x:c>
      <x:c r="C12" s="7" t="n">
        <x:v>2</x:v>
      </x:c>
      <x:c r="D12" s="7" t="str">
        <x:v>Stair core</x:v>
      </x:c>
      <x:c r="E12" s="16" t="n">
        <x:v>1</x:v>
      </x:c>
      <x:c r="F12" s="16" t="n">
        <x:v>4</x:v>
      </x:c>
      <x:c r="G12" s="16" t="n">
        <x:v>6</x:v>
      </x:c>
      <x:c r="H12" s="16" t="n">
        <x:f>E12*F12*G12</x:f>
        <x:v>24</x:v>
      </x:c>
      <x:c r="I12" s="7" t="str">
        <x:v>RC03, FW01</x:v>
      </x:c>
      <x:c r="J12" s="7" t="str">
        <x:v>One opening per floor</x:v>
      </x:c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T1-L02-OP02</x:v>
      </x:c>
      <x:c r="B13" s="2" t="str">
        <x:v>T1</x:v>
      </x:c>
      <x:c r="C13" s="2" t="n">
        <x:v>2</x:v>
      </x:c>
      <x:c r="D13" s="2" t="str">
        <x:v>Door openings</x:v>
      </x:c>
      <x:c r="E13" s="18" t="n">
        <x:v>28</x:v>
      </x:c>
      <x:c r="F13" s="18" t="n">
        <x:v>0.9</x:v>
      </x:c>
      <x:c r="G13" s="18" t="n">
        <x:v>2.1</x:v>
      </x:c>
      <x:c r="H13" s="18" t="n">
        <x:f>E13*F13*G13</x:f>
        <x:v>52.92</x:v>
      </x:c>
      <x:c r="I13" s="2" t="str">
        <x:v>AR01, AR02</x:v>
      </x:c>
      <x:c r="J13" s="2" t="str">
        <x:v>Same openings deducted from masonry and plaster</x:v>
      </x:c>
      <x:c r="K13" s="2"/>
      <x:c r="L13" s="2"/>
      <x:c r="M13" s="2"/>
      <x:c r="N13" s="2"/>
      <x:c r="O13" s="2"/>
      <x:c r="P13" s="2"/>
      <x:c r="Q13" s="2"/>
    </x:row>
    <x:row r="14" ht="22" customHeight="1">
      <x:c r="A14" s="7" t="str">
        <x:v>T1-L03-OP01</x:v>
      </x:c>
      <x:c r="B14" s="7" t="str">
        <x:v>T1</x:v>
      </x:c>
      <x:c r="C14" s="7" t="n">
        <x:v>3</x:v>
      </x:c>
      <x:c r="D14" s="7" t="str">
        <x:v>Stair core</x:v>
      </x:c>
      <x:c r="E14" s="16" t="n">
        <x:v>1</x:v>
      </x:c>
      <x:c r="F14" s="16" t="n">
        <x:v>4</x:v>
      </x:c>
      <x:c r="G14" s="16" t="n">
        <x:v>6</x:v>
      </x:c>
      <x:c r="H14" s="16" t="n">
        <x:f>E14*F14*G14</x:f>
        <x:v>24</x:v>
      </x:c>
      <x:c r="I14" s="7" t="str">
        <x:v>RC03, FW01</x:v>
      </x:c>
      <x:c r="J14" s="7" t="str">
        <x:v>One opening per floor</x:v>
      </x:c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v>T1-L03-OP02</x:v>
      </x:c>
      <x:c r="B15" s="2" t="str">
        <x:v>T1</x:v>
      </x:c>
      <x:c r="C15" s="2" t="n">
        <x:v>3</x:v>
      </x:c>
      <x:c r="D15" s="2" t="str">
        <x:v>Door openings</x:v>
      </x:c>
      <x:c r="E15" s="18" t="n">
        <x:v>28</x:v>
      </x:c>
      <x:c r="F15" s="18" t="n">
        <x:v>0.9</x:v>
      </x:c>
      <x:c r="G15" s="18" t="n">
        <x:v>2.1</x:v>
      </x:c>
      <x:c r="H15" s="18" t="n">
        <x:f>E15*F15*G15</x:f>
        <x:v>52.92</x:v>
      </x:c>
      <x:c r="I15" s="2" t="str">
        <x:v>AR01, AR02</x:v>
      </x:c>
      <x:c r="J15" s="2" t="str">
        <x:v>Same openings deducted from masonry and plaster</x:v>
      </x:c>
      <x:c r="K15" s="2"/>
      <x:c r="L15" s="2"/>
      <x:c r="M15" s="2"/>
      <x:c r="N15" s="2"/>
      <x:c r="O15" s="2"/>
      <x:c r="P15" s="2"/>
      <x:c r="Q15" s="2"/>
    </x:row>
    <x:row r="16" ht="22" customHeight="1">
      <x:c r="A16" s="7" t="str">
        <x:v>T1-L04-OP01</x:v>
      </x:c>
      <x:c r="B16" s="7" t="str">
        <x:v>T1</x:v>
      </x:c>
      <x:c r="C16" s="7" t="n">
        <x:v>4</x:v>
      </x:c>
      <x:c r="D16" s="7" t="str">
        <x:v>Stair core</x:v>
      </x:c>
      <x:c r="E16" s="16" t="n">
        <x:v>1</x:v>
      </x:c>
      <x:c r="F16" s="16" t="n">
        <x:v>4</x:v>
      </x:c>
      <x:c r="G16" s="16" t="n">
        <x:v>6</x:v>
      </x:c>
      <x:c r="H16" s="16" t="n">
        <x:f>E16*F16*G16</x:f>
        <x:v>24</x:v>
      </x:c>
      <x:c r="I16" s="7" t="str">
        <x:v>RC03, FW01</x:v>
      </x:c>
      <x:c r="J16" s="7" t="str">
        <x:v>One opening per floor</x:v>
      </x:c>
      <x:c r="K16" s="2"/>
      <x:c r="L16" s="2"/>
      <x:c r="M16" s="2"/>
      <x:c r="N16" s="2"/>
      <x:c r="O16" s="2"/>
      <x:c r="P16" s="2"/>
      <x:c r="Q16" s="2"/>
    </x:row>
    <x:row r="17" ht="22" customHeight="1">
      <x:c r="A17" s="2" t="str">
        <x:v>T1-L04-OP02</x:v>
      </x:c>
      <x:c r="B17" s="2" t="str">
        <x:v>T1</x:v>
      </x:c>
      <x:c r="C17" s="2" t="n">
        <x:v>4</x:v>
      </x:c>
      <x:c r="D17" s="2" t="str">
        <x:v>Door openings</x:v>
      </x:c>
      <x:c r="E17" s="18" t="n">
        <x:v>28</x:v>
      </x:c>
      <x:c r="F17" s="18" t="n">
        <x:v>0.9</x:v>
      </x:c>
      <x:c r="G17" s="18" t="n">
        <x:v>2.1</x:v>
      </x:c>
      <x:c r="H17" s="18" t="n">
        <x:f>E17*F17*G17</x:f>
        <x:v>52.92</x:v>
      </x:c>
      <x:c r="I17" s="2" t="str">
        <x:v>AR01, AR02</x:v>
      </x:c>
      <x:c r="J17" s="2" t="str">
        <x:v>Same openings deducted from masonry and plaster</x:v>
      </x:c>
      <x:c r="K17" s="2"/>
      <x:c r="L17" s="2"/>
      <x:c r="M17" s="2"/>
      <x:c r="N17" s="2"/>
      <x:c r="O17" s="2"/>
      <x:c r="P17" s="2"/>
      <x:c r="Q17" s="2"/>
    </x:row>
    <x:row r="18" ht="22" customHeight="1">
      <x:c r="A18" s="7" t="str">
        <x:v>T1-L05-OP01</x:v>
      </x:c>
      <x:c r="B18" s="7" t="str">
        <x:v>T1</x:v>
      </x:c>
      <x:c r="C18" s="7" t="n">
        <x:v>5</x:v>
      </x:c>
      <x:c r="D18" s="7" t="str">
        <x:v>Stair core</x:v>
      </x:c>
      <x:c r="E18" s="16" t="n">
        <x:v>1</x:v>
      </x:c>
      <x:c r="F18" s="16" t="n">
        <x:v>4</x:v>
      </x:c>
      <x:c r="G18" s="16" t="n">
        <x:v>6</x:v>
      </x:c>
      <x:c r="H18" s="16" t="n">
        <x:f>E18*F18*G18</x:f>
        <x:v>24</x:v>
      </x:c>
      <x:c r="I18" s="7" t="str">
        <x:v>RC03, FW01</x:v>
      </x:c>
      <x:c r="J18" s="7" t="str">
        <x:v>One opening per floor</x:v>
      </x:c>
      <x:c r="K18" s="2"/>
      <x:c r="L18" s="2"/>
      <x:c r="M18" s="2"/>
      <x:c r="N18" s="2"/>
      <x:c r="O18" s="2"/>
      <x:c r="P18" s="2"/>
      <x:c r="Q18" s="2"/>
    </x:row>
    <x:row r="19" ht="22" customHeight="1">
      <x:c r="A19" s="2" t="str">
        <x:v>T1-L05-OP02</x:v>
      </x:c>
      <x:c r="B19" s="2" t="str">
        <x:v>T1</x:v>
      </x:c>
      <x:c r="C19" s="2" t="n">
        <x:v>5</x:v>
      </x:c>
      <x:c r="D19" s="2" t="str">
        <x:v>Door openings</x:v>
      </x:c>
      <x:c r="E19" s="18" t="n">
        <x:v>28</x:v>
      </x:c>
      <x:c r="F19" s="18" t="n">
        <x:v>0.9</x:v>
      </x:c>
      <x:c r="G19" s="18" t="n">
        <x:v>2.1</x:v>
      </x:c>
      <x:c r="H19" s="18" t="n">
        <x:f>E19*F19*G19</x:f>
        <x:v>52.92</x:v>
      </x:c>
      <x:c r="I19" s="2" t="str">
        <x:v>AR01, AR02</x:v>
      </x:c>
      <x:c r="J19" s="2" t="str">
        <x:v>Same openings deducted from masonry and plaster</x:v>
      </x:c>
      <x:c r="K19" s="2"/>
      <x:c r="L19" s="2"/>
      <x:c r="M19" s="2"/>
      <x:c r="N19" s="2"/>
      <x:c r="O19" s="2"/>
      <x:c r="P19" s="2"/>
      <x:c r="Q19" s="2"/>
    </x:row>
    <x:row r="20" ht="22" customHeight="1">
      <x:c r="A20" s="7" t="str">
        <x:v>T1-L06-OP01</x:v>
      </x:c>
      <x:c r="B20" s="7" t="str">
        <x:v>T1</x:v>
      </x:c>
      <x:c r="C20" s="7" t="n">
        <x:v>6</x:v>
      </x:c>
      <x:c r="D20" s="7" t="str">
        <x:v>Stair core</x:v>
      </x:c>
      <x:c r="E20" s="16" t="n">
        <x:v>1</x:v>
      </x:c>
      <x:c r="F20" s="16" t="n">
        <x:v>4</x:v>
      </x:c>
      <x:c r="G20" s="16" t="n">
        <x:v>6</x:v>
      </x:c>
      <x:c r="H20" s="16" t="n">
        <x:f>E20*F20*G20</x:f>
        <x:v>24</x:v>
      </x:c>
      <x:c r="I20" s="7" t="str">
        <x:v>RC03, FW01</x:v>
      </x:c>
      <x:c r="J20" s="7" t="str">
        <x:v>One opening per floor</x:v>
      </x:c>
      <x:c r="K20" s="2"/>
      <x:c r="L20" s="2"/>
      <x:c r="M20" s="2"/>
      <x:c r="N20" s="2"/>
      <x:c r="O20" s="2"/>
      <x:c r="P20" s="2"/>
      <x:c r="Q20" s="2"/>
    </x:row>
    <x:row r="21" ht="22" customHeight="1">
      <x:c r="A21" s="2" t="str">
        <x:v>T1-L06-OP02</x:v>
      </x:c>
      <x:c r="B21" s="2" t="str">
        <x:v>T1</x:v>
      </x:c>
      <x:c r="C21" s="2" t="n">
        <x:v>6</x:v>
      </x:c>
      <x:c r="D21" s="2" t="str">
        <x:v>Door openings</x:v>
      </x:c>
      <x:c r="E21" s="18" t="n">
        <x:v>28</x:v>
      </x:c>
      <x:c r="F21" s="18" t="n">
        <x:v>0.9</x:v>
      </x:c>
      <x:c r="G21" s="18" t="n">
        <x:v>2.1</x:v>
      </x:c>
      <x:c r="H21" s="18" t="n">
        <x:f>E21*F21*G21</x:f>
        <x:v>52.92</x:v>
      </x:c>
      <x:c r="I21" s="2" t="str">
        <x:v>AR01, AR02</x:v>
      </x:c>
      <x:c r="J21" s="2" t="str">
        <x:v>Same openings deducted from masonry and plaster</x:v>
      </x:c>
      <x:c r="K21" s="2"/>
      <x:c r="L21" s="2"/>
      <x:c r="M21" s="2"/>
      <x:c r="N21" s="2"/>
      <x:c r="O21" s="2"/>
      <x:c r="P21" s="2"/>
      <x:c r="Q21" s="2"/>
    </x:row>
    <x:row r="22" ht="22" customHeight="1">
      <x:c r="A22" s="7" t="str">
        <x:v>T1-L07-OP01</x:v>
      </x:c>
      <x:c r="B22" s="7" t="str">
        <x:v>T1</x:v>
      </x:c>
      <x:c r="C22" s="7" t="n">
        <x:v>7</x:v>
      </x:c>
      <x:c r="D22" s="7" t="str">
        <x:v>Stair core</x:v>
      </x:c>
      <x:c r="E22" s="16" t="n">
        <x:v>1</x:v>
      </x:c>
      <x:c r="F22" s="16" t="n">
        <x:v>4</x:v>
      </x:c>
      <x:c r="G22" s="16" t="n">
        <x:v>6</x:v>
      </x:c>
      <x:c r="H22" s="16" t="n">
        <x:f>E22*F22*G22</x:f>
        <x:v>24</x:v>
      </x:c>
      <x:c r="I22" s="7" t="str">
        <x:v>RC03, FW01</x:v>
      </x:c>
      <x:c r="J22" s="7" t="str">
        <x:v>One opening per floor</x:v>
      </x:c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v>T1-L07-OP02</x:v>
      </x:c>
      <x:c r="B23" s="2" t="str">
        <x:v>T1</x:v>
      </x:c>
      <x:c r="C23" s="2" t="n">
        <x:v>7</x:v>
      </x:c>
      <x:c r="D23" s="2" t="str">
        <x:v>Door openings</x:v>
      </x:c>
      <x:c r="E23" s="18" t="n">
        <x:v>28</x:v>
      </x:c>
      <x:c r="F23" s="18" t="n">
        <x:v>0.9</x:v>
      </x:c>
      <x:c r="G23" s="18" t="n">
        <x:v>2.1</x:v>
      </x:c>
      <x:c r="H23" s="18" t="n">
        <x:f>E23*F23*G23</x:f>
        <x:v>52.92</x:v>
      </x:c>
      <x:c r="I23" s="2" t="str">
        <x:v>AR01, AR02</x:v>
      </x:c>
      <x:c r="J23" s="2" t="str">
        <x:v>Same openings deducted from masonry and plaster</x:v>
      </x:c>
      <x:c r="K23" s="2"/>
      <x:c r="L23" s="2"/>
      <x:c r="M23" s="2"/>
      <x:c r="N23" s="2"/>
      <x:c r="O23" s="2"/>
      <x:c r="P23" s="2"/>
      <x:c r="Q23" s="2"/>
    </x:row>
    <x:row r="24" ht="22" customHeight="1">
      <x:c r="A24" s="7" t="str">
        <x:v>T1-L08-OP01</x:v>
      </x:c>
      <x:c r="B24" s="7" t="str">
        <x:v>T1</x:v>
      </x:c>
      <x:c r="C24" s="7" t="n">
        <x:v>8</x:v>
      </x:c>
      <x:c r="D24" s="7" t="str">
        <x:v>Stair core</x:v>
      </x:c>
      <x:c r="E24" s="16" t="n">
        <x:v>1</x:v>
      </x:c>
      <x:c r="F24" s="16" t="n">
        <x:v>4</x:v>
      </x:c>
      <x:c r="G24" s="16" t="n">
        <x:v>6</x:v>
      </x:c>
      <x:c r="H24" s="16" t="n">
        <x:f>E24*F24*G24</x:f>
        <x:v>24</x:v>
      </x:c>
      <x:c r="I24" s="7" t="str">
        <x:v>RC03, FW01</x:v>
      </x:c>
      <x:c r="J24" s="7" t="str">
        <x:v>One opening per floor</x:v>
      </x:c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v>T1-L08-OP02</x:v>
      </x:c>
      <x:c r="B25" s="2" t="str">
        <x:v>T1</x:v>
      </x:c>
      <x:c r="C25" s="2" t="n">
        <x:v>8</x:v>
      </x:c>
      <x:c r="D25" s="2" t="str">
        <x:v>Door openings</x:v>
      </x:c>
      <x:c r="E25" s="18" t="n">
        <x:v>28</x:v>
      </x:c>
      <x:c r="F25" s="18" t="n">
        <x:v>0.9</x:v>
      </x:c>
      <x:c r="G25" s="18" t="n">
        <x:v>2.1</x:v>
      </x:c>
      <x:c r="H25" s="18" t="n">
        <x:f>E25*F25*G25</x:f>
        <x:v>52.92</x:v>
      </x:c>
      <x:c r="I25" s="2" t="str">
        <x:v>AR01, AR02</x:v>
      </x:c>
      <x:c r="J25" s="2" t="str">
        <x:v>Same openings deducted from masonry and plaster</x:v>
      </x:c>
      <x:c r="K25" s="2"/>
      <x:c r="L25" s="2"/>
      <x:c r="M25" s="2"/>
      <x:c r="N25" s="2"/>
      <x:c r="O25" s="2"/>
      <x:c r="P25" s="2"/>
      <x:c r="Q25" s="2"/>
    </x:row>
    <x:row r="26" ht="22" customHeight="1">
      <x:c r="A26" s="7" t="str">
        <x:v>T1-L09-OP01</x:v>
      </x:c>
      <x:c r="B26" s="7" t="str">
        <x:v>T1</x:v>
      </x:c>
      <x:c r="C26" s="7" t="n">
        <x:v>9</x:v>
      </x:c>
      <x:c r="D26" s="7" t="str">
        <x:v>Stair core</x:v>
      </x:c>
      <x:c r="E26" s="16" t="n">
        <x:v>1</x:v>
      </x:c>
      <x:c r="F26" s="16" t="n">
        <x:v>4</x:v>
      </x:c>
      <x:c r="G26" s="16" t="n">
        <x:v>6</x:v>
      </x:c>
      <x:c r="H26" s="16" t="n">
        <x:f>E26*F26*G26</x:f>
        <x:v>24</x:v>
      </x:c>
      <x:c r="I26" s="7" t="str">
        <x:v>RC03, FW01</x:v>
      </x:c>
      <x:c r="J26" s="7" t="str">
        <x:v>One opening per floor</x:v>
      </x:c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v>T1-L09-OP02</x:v>
      </x:c>
      <x:c r="B27" s="2" t="str">
        <x:v>T1</x:v>
      </x:c>
      <x:c r="C27" s="2" t="n">
        <x:v>9</x:v>
      </x:c>
      <x:c r="D27" s="2" t="str">
        <x:v>Door openings</x:v>
      </x:c>
      <x:c r="E27" s="18" t="n">
        <x:v>28</x:v>
      </x:c>
      <x:c r="F27" s="18" t="n">
        <x:v>0.9</x:v>
      </x:c>
      <x:c r="G27" s="18" t="n">
        <x:v>2.1</x:v>
      </x:c>
      <x:c r="H27" s="18" t="n">
        <x:f>E27*F27*G27</x:f>
        <x:v>52.92</x:v>
      </x:c>
      <x:c r="I27" s="2" t="str">
        <x:v>AR01, AR02</x:v>
      </x:c>
      <x:c r="J27" s="2" t="str">
        <x:v>Same openings deducted from masonry and plaster</x:v>
      </x:c>
      <x:c r="K27" s="2"/>
      <x:c r="L27" s="2"/>
      <x:c r="M27" s="2"/>
      <x:c r="N27" s="2"/>
      <x:c r="O27" s="2"/>
      <x:c r="P27" s="2"/>
      <x:c r="Q27" s="2"/>
    </x:row>
    <x:row r="28" ht="22" customHeight="1">
      <x:c r="A28" s="7" t="str">
        <x:v>T1-L10-OP01</x:v>
      </x:c>
      <x:c r="B28" s="7" t="str">
        <x:v>T1</x:v>
      </x:c>
      <x:c r="C28" s="7" t="n">
        <x:v>10</x:v>
      </x:c>
      <x:c r="D28" s="7" t="str">
        <x:v>Stair core</x:v>
      </x:c>
      <x:c r="E28" s="16" t="n">
        <x:v>1</x:v>
      </x:c>
      <x:c r="F28" s="16" t="n">
        <x:v>4</x:v>
      </x:c>
      <x:c r="G28" s="16" t="n">
        <x:v>6</x:v>
      </x:c>
      <x:c r="H28" s="16" t="n">
        <x:f>E28*F28*G28</x:f>
        <x:v>24</x:v>
      </x:c>
      <x:c r="I28" s="7" t="str">
        <x:v>RC03, FW01</x:v>
      </x:c>
      <x:c r="J28" s="7" t="str">
        <x:v>One opening per floor</x:v>
      </x:c>
      <x:c r="K28" s="2"/>
      <x:c r="L28" s="2"/>
      <x:c r="M28" s="2"/>
      <x:c r="N28" s="2"/>
      <x:c r="O28" s="2"/>
      <x:c r="P28" s="2"/>
      <x:c r="Q28" s="2"/>
    </x:row>
    <x:row r="29" ht="22" customHeight="1">
      <x:c r="A29" s="2" t="str">
        <x:v>T1-L10-OP02</x:v>
      </x:c>
      <x:c r="B29" s="2" t="str">
        <x:v>T1</x:v>
      </x:c>
      <x:c r="C29" s="2" t="n">
        <x:v>10</x:v>
      </x:c>
      <x:c r="D29" s="2" t="str">
        <x:v>Door openings</x:v>
      </x:c>
      <x:c r="E29" s="18" t="n">
        <x:v>28</x:v>
      </x:c>
      <x:c r="F29" s="18" t="n">
        <x:v>0.9</x:v>
      </x:c>
      <x:c r="G29" s="18" t="n">
        <x:v>2.1</x:v>
      </x:c>
      <x:c r="H29" s="18" t="n">
        <x:f>E29*F29*G29</x:f>
        <x:v>52.92</x:v>
      </x:c>
      <x:c r="I29" s="2" t="str">
        <x:v>AR01, AR02</x:v>
      </x:c>
      <x:c r="J29" s="2" t="str">
        <x:v>Same openings deducted from masonry and plaster</x:v>
      </x:c>
      <x:c r="K29" s="2"/>
      <x:c r="L29" s="2"/>
      <x:c r="M29" s="2"/>
      <x:c r="N29" s="2"/>
      <x:c r="O29" s="2"/>
      <x:c r="P29" s="2"/>
      <x:c r="Q29" s="2"/>
    </x:row>
    <x:row r="30" ht="22" customHeight="1">
      <x:c r="A30" s="7" t="str">
        <x:v>T1-L11-OP01</x:v>
      </x:c>
      <x:c r="B30" s="7" t="str">
        <x:v>T1</x:v>
      </x:c>
      <x:c r="C30" s="7" t="n">
        <x:v>11</x:v>
      </x:c>
      <x:c r="D30" s="7" t="str">
        <x:v>Stair core</x:v>
      </x:c>
      <x:c r="E30" s="16" t="n">
        <x:v>1</x:v>
      </x:c>
      <x:c r="F30" s="16" t="n">
        <x:v>4</x:v>
      </x:c>
      <x:c r="G30" s="16" t="n">
        <x:v>6</x:v>
      </x:c>
      <x:c r="H30" s="16" t="n">
        <x:f>E30*F30*G30</x:f>
        <x:v>24</x:v>
      </x:c>
      <x:c r="I30" s="7" t="str">
        <x:v>RC03, FW01</x:v>
      </x:c>
      <x:c r="J30" s="7" t="str">
        <x:v>One opening per floor</x:v>
      </x:c>
      <x:c r="K30" s="2"/>
      <x:c r="L30" s="2"/>
      <x:c r="M30" s="2"/>
      <x:c r="N30" s="2"/>
      <x:c r="O30" s="2"/>
      <x:c r="P30" s="2"/>
      <x:c r="Q30" s="2"/>
    </x:row>
    <x:row r="31" ht="22" customHeight="1">
      <x:c r="A31" s="2" t="str">
        <x:v>T1-L11-OP02</x:v>
      </x:c>
      <x:c r="B31" s="2" t="str">
        <x:v>T1</x:v>
      </x:c>
      <x:c r="C31" s="2" t="n">
        <x:v>11</x:v>
      </x:c>
      <x:c r="D31" s="2" t="str">
        <x:v>Door openings</x:v>
      </x:c>
      <x:c r="E31" s="18" t="n">
        <x:v>28</x:v>
      </x:c>
      <x:c r="F31" s="18" t="n">
        <x:v>0.9</x:v>
      </x:c>
      <x:c r="G31" s="18" t="n">
        <x:v>2.1</x:v>
      </x:c>
      <x:c r="H31" s="18" t="n">
        <x:f>E31*F31*G31</x:f>
        <x:v>52.92</x:v>
      </x:c>
      <x:c r="I31" s="2" t="str">
        <x:v>AR01, AR02</x:v>
      </x:c>
      <x:c r="J31" s="2" t="str">
        <x:v>Same openings deducted from masonry and plaster</x:v>
      </x:c>
      <x:c r="K31" s="2"/>
      <x:c r="L31" s="2"/>
      <x:c r="M31" s="2"/>
      <x:c r="N31" s="2"/>
      <x:c r="O31" s="2"/>
      <x:c r="P31" s="2"/>
      <x:c r="Q31" s="2"/>
    </x:row>
    <x:row r="32" ht="22" customHeight="1">
      <x:c r="A32" s="7" t="str">
        <x:v>T1-L12-OP01</x:v>
      </x:c>
      <x:c r="B32" s="7" t="str">
        <x:v>T1</x:v>
      </x:c>
      <x:c r="C32" s="7" t="n">
        <x:v>12</x:v>
      </x:c>
      <x:c r="D32" s="7" t="str">
        <x:v>Stair core</x:v>
      </x:c>
      <x:c r="E32" s="16" t="n">
        <x:v>1</x:v>
      </x:c>
      <x:c r="F32" s="16" t="n">
        <x:v>4</x:v>
      </x:c>
      <x:c r="G32" s="16" t="n">
        <x:v>6</x:v>
      </x:c>
      <x:c r="H32" s="16" t="n">
        <x:f>E32*F32*G32</x:f>
        <x:v>24</x:v>
      </x:c>
      <x:c r="I32" s="7" t="str">
        <x:v>RC03, FW01</x:v>
      </x:c>
      <x:c r="J32" s="7" t="str">
        <x:v>One opening per floor</x:v>
      </x:c>
      <x:c r="K32" s="2"/>
      <x:c r="L32" s="2"/>
      <x:c r="M32" s="2"/>
      <x:c r="N32" s="2"/>
      <x:c r="O32" s="2"/>
      <x:c r="P32" s="2"/>
      <x:c r="Q32" s="2"/>
    </x:row>
    <x:row r="33" ht="22" customHeight="1">
      <x:c r="A33" s="2" t="str">
        <x:v>T1-L12-OP02</x:v>
      </x:c>
      <x:c r="B33" s="2" t="str">
        <x:v>T1</x:v>
      </x:c>
      <x:c r="C33" s="2" t="n">
        <x:v>12</x:v>
      </x:c>
      <x:c r="D33" s="2" t="str">
        <x:v>Door openings</x:v>
      </x:c>
      <x:c r="E33" s="18" t="n">
        <x:v>28</x:v>
      </x:c>
      <x:c r="F33" s="18" t="n">
        <x:v>0.9</x:v>
      </x:c>
      <x:c r="G33" s="18" t="n">
        <x:v>2.1</x:v>
      </x:c>
      <x:c r="H33" s="18" t="n">
        <x:f>E33*F33*G33</x:f>
        <x:v>52.92</x:v>
      </x:c>
      <x:c r="I33" s="2" t="str">
        <x:v>AR01, AR02</x:v>
      </x:c>
      <x:c r="J33" s="2" t="str">
        <x:v>Same openings deducted from masonry and plaster</x:v>
      </x:c>
      <x:c r="K33" s="2"/>
      <x:c r="L33" s="2"/>
      <x:c r="M33" s="2"/>
      <x:c r="N33" s="2"/>
      <x:c r="O33" s="2"/>
      <x:c r="P33" s="2"/>
      <x:c r="Q33" s="2"/>
    </x:row>
    <x:row r="34" ht="22" customHeight="1">
      <x:c r="A34" s="7" t="str">
        <x:v>T2-L00-OP01</x:v>
      </x:c>
      <x:c r="B34" s="7" t="str">
        <x:v>T2</x:v>
      </x:c>
      <x:c r="C34" s="7" t="n">
        <x:v>0</x:v>
      </x:c>
      <x:c r="D34" s="7" t="str">
        <x:v>Stair core</x:v>
      </x:c>
      <x:c r="E34" s="16" t="n">
        <x:v>1</x:v>
      </x:c>
      <x:c r="F34" s="16" t="n">
        <x:v>4</x:v>
      </x:c>
      <x:c r="G34" s="16" t="n">
        <x:v>6</x:v>
      </x:c>
      <x:c r="H34" s="16" t="n">
        <x:f>E34*F34*G34</x:f>
        <x:v>24</x:v>
      </x:c>
      <x:c r="I34" s="7" t="str">
        <x:v>RC03, FW01</x:v>
      </x:c>
      <x:c r="J34" s="7" t="str">
        <x:v>One opening per floor</x:v>
      </x:c>
      <x:c r="K34" s="2"/>
      <x:c r="L34" s="2"/>
      <x:c r="M34" s="2"/>
      <x:c r="N34" s="2"/>
      <x:c r="O34" s="2"/>
      <x:c r="P34" s="2"/>
      <x:c r="Q34" s="2"/>
    </x:row>
    <x:row r="35" ht="22" customHeight="1">
      <x:c r="A35" s="2" t="str">
        <x:v>T2-L00-OP02</x:v>
      </x:c>
      <x:c r="B35" s="2" t="str">
        <x:v>T2</x:v>
      </x:c>
      <x:c r="C35" s="2" t="n">
        <x:v>0</x:v>
      </x:c>
      <x:c r="D35" s="2" t="str">
        <x:v>Door openings</x:v>
      </x:c>
      <x:c r="E35" s="18" t="n">
        <x:v>28</x:v>
      </x:c>
      <x:c r="F35" s="18" t="n">
        <x:v>0.9</x:v>
      </x:c>
      <x:c r="G35" s="18" t="n">
        <x:v>2.1</x:v>
      </x:c>
      <x:c r="H35" s="18" t="n">
        <x:f>E35*F35*G35</x:f>
        <x:v>52.92</x:v>
      </x:c>
      <x:c r="I35" s="2" t="str">
        <x:v>AR01, AR02</x:v>
      </x:c>
      <x:c r="J35" s="2" t="str">
        <x:v>Same openings deducted from masonry and plaster</x:v>
      </x:c>
      <x:c r="K35" s="2"/>
      <x:c r="L35" s="2"/>
      <x:c r="M35" s="2"/>
      <x:c r="N35" s="2"/>
      <x:c r="O35" s="2"/>
      <x:c r="P35" s="2"/>
      <x:c r="Q35" s="2"/>
    </x:row>
    <x:row r="36" ht="22" customHeight="1">
      <x:c r="A36" s="7" t="str">
        <x:v>T2-L01-OP01</x:v>
      </x:c>
      <x:c r="B36" s="7" t="str">
        <x:v>T2</x:v>
      </x:c>
      <x:c r="C36" s="7" t="n">
        <x:v>1</x:v>
      </x:c>
      <x:c r="D36" s="7" t="str">
        <x:v>Stair core</x:v>
      </x:c>
      <x:c r="E36" s="16" t="n">
        <x:v>1</x:v>
      </x:c>
      <x:c r="F36" s="16" t="n">
        <x:v>4</x:v>
      </x:c>
      <x:c r="G36" s="16" t="n">
        <x:v>6</x:v>
      </x:c>
      <x:c r="H36" s="16" t="n">
        <x:f>E36*F36*G36</x:f>
        <x:v>24</x:v>
      </x:c>
      <x:c r="I36" s="7" t="str">
        <x:v>RC03, FW01</x:v>
      </x:c>
      <x:c r="J36" s="7" t="str">
        <x:v>One opening per floor</x:v>
      </x:c>
      <x:c r="K36" s="2"/>
      <x:c r="L36" s="2"/>
      <x:c r="M36" s="2"/>
      <x:c r="N36" s="2"/>
      <x:c r="O36" s="2"/>
      <x:c r="P36" s="2"/>
      <x:c r="Q36" s="2"/>
    </x:row>
    <x:row r="37" ht="22" customHeight="1">
      <x:c r="A37" s="2" t="str">
        <x:v>T2-L01-OP02</x:v>
      </x:c>
      <x:c r="B37" s="2" t="str">
        <x:v>T2</x:v>
      </x:c>
      <x:c r="C37" s="2" t="n">
        <x:v>1</x:v>
      </x:c>
      <x:c r="D37" s="2" t="str">
        <x:v>Door openings</x:v>
      </x:c>
      <x:c r="E37" s="18" t="n">
        <x:v>28</x:v>
      </x:c>
      <x:c r="F37" s="18" t="n">
        <x:v>0.9</x:v>
      </x:c>
      <x:c r="G37" s="18" t="n">
        <x:v>2.1</x:v>
      </x:c>
      <x:c r="H37" s="18" t="n">
        <x:f>E37*F37*G37</x:f>
        <x:v>52.92</x:v>
      </x:c>
      <x:c r="I37" s="2" t="str">
        <x:v>AR01, AR02</x:v>
      </x:c>
      <x:c r="J37" s="2" t="str">
        <x:v>Same openings deducted from masonry and plaster</x:v>
      </x:c>
      <x:c r="K37" s="2"/>
      <x:c r="L37" s="2"/>
      <x:c r="M37" s="2"/>
      <x:c r="N37" s="2"/>
      <x:c r="O37" s="2"/>
      <x:c r="P37" s="2"/>
      <x:c r="Q37" s="2"/>
    </x:row>
    <x:row r="38" ht="22" customHeight="1">
      <x:c r="A38" s="7" t="str">
        <x:v>T2-L02-OP01</x:v>
      </x:c>
      <x:c r="B38" s="7" t="str">
        <x:v>T2</x:v>
      </x:c>
      <x:c r="C38" s="7" t="n">
        <x:v>2</x:v>
      </x:c>
      <x:c r="D38" s="7" t="str">
        <x:v>Stair core</x:v>
      </x:c>
      <x:c r="E38" s="16" t="n">
        <x:v>1</x:v>
      </x:c>
      <x:c r="F38" s="16" t="n">
        <x:v>4</x:v>
      </x:c>
      <x:c r="G38" s="16" t="n">
        <x:v>6</x:v>
      </x:c>
      <x:c r="H38" s="16" t="n">
        <x:f>E38*F38*G38</x:f>
        <x:v>24</x:v>
      </x:c>
      <x:c r="I38" s="7" t="str">
        <x:v>RC03, FW01</x:v>
      </x:c>
      <x:c r="J38" s="7" t="str">
        <x:v>One opening per floor</x:v>
      </x:c>
      <x:c r="K38" s="2"/>
      <x:c r="L38" s="2"/>
      <x:c r="M38" s="2"/>
      <x:c r="N38" s="2"/>
      <x:c r="O38" s="2"/>
      <x:c r="P38" s="2"/>
      <x:c r="Q38" s="2"/>
    </x:row>
    <x:row r="39" ht="22" customHeight="1">
      <x:c r="A39" s="2" t="str">
        <x:v>T2-L02-OP02</x:v>
      </x:c>
      <x:c r="B39" s="2" t="str">
        <x:v>T2</x:v>
      </x:c>
      <x:c r="C39" s="2" t="n">
        <x:v>2</x:v>
      </x:c>
      <x:c r="D39" s="2" t="str">
        <x:v>Door openings</x:v>
      </x:c>
      <x:c r="E39" s="18" t="n">
        <x:v>28</x:v>
      </x:c>
      <x:c r="F39" s="18" t="n">
        <x:v>0.9</x:v>
      </x:c>
      <x:c r="G39" s="18" t="n">
        <x:v>2.1</x:v>
      </x:c>
      <x:c r="H39" s="18" t="n">
        <x:f>E39*F39*G39</x:f>
        <x:v>52.92</x:v>
      </x:c>
      <x:c r="I39" s="2" t="str">
        <x:v>AR01, AR02</x:v>
      </x:c>
      <x:c r="J39" s="2" t="str">
        <x:v>Same openings deducted from masonry and plaster</x:v>
      </x:c>
      <x:c r="K39" s="2"/>
      <x:c r="L39" s="2"/>
      <x:c r="M39" s="2"/>
      <x:c r="N39" s="2"/>
      <x:c r="O39" s="2"/>
      <x:c r="P39" s="2"/>
      <x:c r="Q39" s="2"/>
    </x:row>
    <x:row r="40" ht="22" customHeight="1">
      <x:c r="A40" s="7" t="str">
        <x:v>T2-L03-OP01</x:v>
      </x:c>
      <x:c r="B40" s="7" t="str">
        <x:v>T2</x:v>
      </x:c>
      <x:c r="C40" s="7" t="n">
        <x:v>3</x:v>
      </x:c>
      <x:c r="D40" s="7" t="str">
        <x:v>Stair core</x:v>
      </x:c>
      <x:c r="E40" s="16" t="n">
        <x:v>1</x:v>
      </x:c>
      <x:c r="F40" s="16" t="n">
        <x:v>4</x:v>
      </x:c>
      <x:c r="G40" s="16" t="n">
        <x:v>6</x:v>
      </x:c>
      <x:c r="H40" s="16" t="n">
        <x:f>E40*F40*G40</x:f>
        <x:v>24</x:v>
      </x:c>
      <x:c r="I40" s="7" t="str">
        <x:v>RC03, FW01</x:v>
      </x:c>
      <x:c r="J40" s="7" t="str">
        <x:v>One opening per floor</x:v>
      </x:c>
      <x:c r="K40" s="2"/>
      <x:c r="L40" s="2"/>
      <x:c r="M40" s="2"/>
      <x:c r="N40" s="2"/>
      <x:c r="O40" s="2"/>
      <x:c r="P40" s="2"/>
      <x:c r="Q40" s="2"/>
    </x:row>
    <x:row r="41" ht="22" customHeight="1">
      <x:c r="A41" s="2" t="str">
        <x:v>T2-L03-OP02</x:v>
      </x:c>
      <x:c r="B41" s="2" t="str">
        <x:v>T2</x:v>
      </x:c>
      <x:c r="C41" s="2" t="n">
        <x:v>3</x:v>
      </x:c>
      <x:c r="D41" s="2" t="str">
        <x:v>Door openings</x:v>
      </x:c>
      <x:c r="E41" s="18" t="n">
        <x:v>28</x:v>
      </x:c>
      <x:c r="F41" s="18" t="n">
        <x:v>0.9</x:v>
      </x:c>
      <x:c r="G41" s="18" t="n">
        <x:v>2.1</x:v>
      </x:c>
      <x:c r="H41" s="18" t="n">
        <x:f>E41*F41*G41</x:f>
        <x:v>52.92</x:v>
      </x:c>
      <x:c r="I41" s="2" t="str">
        <x:v>AR01, AR02</x:v>
      </x:c>
      <x:c r="J41" s="2" t="str">
        <x:v>Same openings deducted from masonry and plaster</x:v>
      </x:c>
      <x:c r="K41" s="2"/>
      <x:c r="L41" s="2"/>
      <x:c r="M41" s="2"/>
      <x:c r="N41" s="2"/>
      <x:c r="O41" s="2"/>
      <x:c r="P41" s="2"/>
      <x:c r="Q41" s="2"/>
    </x:row>
    <x:row r="42" ht="22" customHeight="1">
      <x:c r="A42" s="7" t="str">
        <x:v>T2-L04-OP01</x:v>
      </x:c>
      <x:c r="B42" s="7" t="str">
        <x:v>T2</x:v>
      </x:c>
      <x:c r="C42" s="7" t="n">
        <x:v>4</x:v>
      </x:c>
      <x:c r="D42" s="7" t="str">
        <x:v>Stair core</x:v>
      </x:c>
      <x:c r="E42" s="16" t="n">
        <x:v>1</x:v>
      </x:c>
      <x:c r="F42" s="16" t="n">
        <x:v>4</x:v>
      </x:c>
      <x:c r="G42" s="16" t="n">
        <x:v>6</x:v>
      </x:c>
      <x:c r="H42" s="16" t="n">
        <x:f>E42*F42*G42</x:f>
        <x:v>24</x:v>
      </x:c>
      <x:c r="I42" s="7" t="str">
        <x:v>RC03, FW01</x:v>
      </x:c>
      <x:c r="J42" s="7" t="str">
        <x:v>One opening per floor</x:v>
      </x:c>
      <x:c r="K42" s="2"/>
      <x:c r="L42" s="2"/>
      <x:c r="M42" s="2"/>
      <x:c r="N42" s="2"/>
      <x:c r="O42" s="2"/>
      <x:c r="P42" s="2"/>
      <x:c r="Q42" s="2"/>
    </x:row>
    <x:row r="43" ht="22" customHeight="1">
      <x:c r="A43" s="2" t="str">
        <x:v>T2-L04-OP02</x:v>
      </x:c>
      <x:c r="B43" s="2" t="str">
        <x:v>T2</x:v>
      </x:c>
      <x:c r="C43" s="2" t="n">
        <x:v>4</x:v>
      </x:c>
      <x:c r="D43" s="2" t="str">
        <x:v>Door openings</x:v>
      </x:c>
      <x:c r="E43" s="18" t="n">
        <x:v>28</x:v>
      </x:c>
      <x:c r="F43" s="18" t="n">
        <x:v>0.9</x:v>
      </x:c>
      <x:c r="G43" s="18" t="n">
        <x:v>2.1</x:v>
      </x:c>
      <x:c r="H43" s="18" t="n">
        <x:f>E43*F43*G43</x:f>
        <x:v>52.92</x:v>
      </x:c>
      <x:c r="I43" s="2" t="str">
        <x:v>AR01, AR02</x:v>
      </x:c>
      <x:c r="J43" s="2" t="str">
        <x:v>Same openings deducted from masonry and plaster</x:v>
      </x:c>
      <x:c r="K43" s="2"/>
      <x:c r="L43" s="2"/>
      <x:c r="M43" s="2"/>
      <x:c r="N43" s="2"/>
      <x:c r="O43" s="2"/>
      <x:c r="P43" s="2"/>
      <x:c r="Q43" s="2"/>
    </x:row>
    <x:row r="44" ht="22" customHeight="1">
      <x:c r="A44" s="7" t="str">
        <x:v>T2-L05-OP01</x:v>
      </x:c>
      <x:c r="B44" s="7" t="str">
        <x:v>T2</x:v>
      </x:c>
      <x:c r="C44" s="7" t="n">
        <x:v>5</x:v>
      </x:c>
      <x:c r="D44" s="7" t="str">
        <x:v>Stair core</x:v>
      </x:c>
      <x:c r="E44" s="16" t="n">
        <x:v>1</x:v>
      </x:c>
      <x:c r="F44" s="16" t="n">
        <x:v>4</x:v>
      </x:c>
      <x:c r="G44" s="16" t="n">
        <x:v>6</x:v>
      </x:c>
      <x:c r="H44" s="16" t="n">
        <x:f>E44*F44*G44</x:f>
        <x:v>24</x:v>
      </x:c>
      <x:c r="I44" s="7" t="str">
        <x:v>RC03, FW01</x:v>
      </x:c>
      <x:c r="J44" s="7" t="str">
        <x:v>One opening per floor</x:v>
      </x:c>
      <x:c r="K44" s="2"/>
      <x:c r="L44" s="2"/>
      <x:c r="M44" s="2"/>
      <x:c r="N44" s="2"/>
      <x:c r="O44" s="2"/>
      <x:c r="P44" s="2"/>
      <x:c r="Q44" s="2"/>
    </x:row>
    <x:row r="45" ht="22" customHeight="1">
      <x:c r="A45" s="2" t="str">
        <x:v>T2-L05-OP02</x:v>
      </x:c>
      <x:c r="B45" s="2" t="str">
        <x:v>T2</x:v>
      </x:c>
      <x:c r="C45" s="2" t="n">
        <x:v>5</x:v>
      </x:c>
      <x:c r="D45" s="2" t="str">
        <x:v>Door openings</x:v>
      </x:c>
      <x:c r="E45" s="18" t="n">
        <x:v>28</x:v>
      </x:c>
      <x:c r="F45" s="18" t="n">
        <x:v>0.9</x:v>
      </x:c>
      <x:c r="G45" s="18" t="n">
        <x:v>2.1</x:v>
      </x:c>
      <x:c r="H45" s="18" t="n">
        <x:f>E45*F45*G45</x:f>
        <x:v>52.92</x:v>
      </x:c>
      <x:c r="I45" s="2" t="str">
        <x:v>AR01, AR02</x:v>
      </x:c>
      <x:c r="J45" s="2" t="str">
        <x:v>Same openings deducted from masonry and plaster</x:v>
      </x:c>
      <x:c r="K45" s="2"/>
      <x:c r="L45" s="2"/>
      <x:c r="M45" s="2"/>
      <x:c r="N45" s="2"/>
      <x:c r="O45" s="2"/>
      <x:c r="P45" s="2"/>
      <x:c r="Q45" s="2"/>
    </x:row>
    <x:row r="46" ht="22" customHeight="1">
      <x:c r="A46" s="7" t="str">
        <x:v>T2-L06-OP01</x:v>
      </x:c>
      <x:c r="B46" s="7" t="str">
        <x:v>T2</x:v>
      </x:c>
      <x:c r="C46" s="7" t="n">
        <x:v>6</x:v>
      </x:c>
      <x:c r="D46" s="7" t="str">
        <x:v>Stair core</x:v>
      </x:c>
      <x:c r="E46" s="16" t="n">
        <x:v>1</x:v>
      </x:c>
      <x:c r="F46" s="16" t="n">
        <x:v>4</x:v>
      </x:c>
      <x:c r="G46" s="16" t="n">
        <x:v>6</x:v>
      </x:c>
      <x:c r="H46" s="16" t="n">
        <x:f>E46*F46*G46</x:f>
        <x:v>24</x:v>
      </x:c>
      <x:c r="I46" s="7" t="str">
        <x:v>RC03, FW01</x:v>
      </x:c>
      <x:c r="J46" s="7" t="str">
        <x:v>One opening per floor</x:v>
      </x:c>
      <x:c r="K46" s="2"/>
      <x:c r="L46" s="2"/>
      <x:c r="M46" s="2"/>
      <x:c r="N46" s="2"/>
      <x:c r="O46" s="2"/>
      <x:c r="P46" s="2"/>
      <x:c r="Q46" s="2"/>
    </x:row>
    <x:row r="47" ht="22" customHeight="1">
      <x:c r="A47" s="2" t="str">
        <x:v>T2-L06-OP02</x:v>
      </x:c>
      <x:c r="B47" s="2" t="str">
        <x:v>T2</x:v>
      </x:c>
      <x:c r="C47" s="2" t="n">
        <x:v>6</x:v>
      </x:c>
      <x:c r="D47" s="2" t="str">
        <x:v>Door openings</x:v>
      </x:c>
      <x:c r="E47" s="18" t="n">
        <x:v>28</x:v>
      </x:c>
      <x:c r="F47" s="18" t="n">
        <x:v>0.9</x:v>
      </x:c>
      <x:c r="G47" s="18" t="n">
        <x:v>2.1</x:v>
      </x:c>
      <x:c r="H47" s="18" t="n">
        <x:f>E47*F47*G47</x:f>
        <x:v>52.92</x:v>
      </x:c>
      <x:c r="I47" s="2" t="str">
        <x:v>AR01, AR02</x:v>
      </x:c>
      <x:c r="J47" s="2" t="str">
        <x:v>Same openings deducted from masonry and plaster</x:v>
      </x:c>
      <x:c r="K47" s="2"/>
      <x:c r="L47" s="2"/>
      <x:c r="M47" s="2"/>
      <x:c r="N47" s="2"/>
      <x:c r="O47" s="2"/>
      <x:c r="P47" s="2"/>
      <x:c r="Q47" s="2"/>
    </x:row>
    <x:row r="48" ht="22" customHeight="1">
      <x:c r="A48" s="7" t="str">
        <x:v>T2-L07-OP01</x:v>
      </x:c>
      <x:c r="B48" s="7" t="str">
        <x:v>T2</x:v>
      </x:c>
      <x:c r="C48" s="7" t="n">
        <x:v>7</x:v>
      </x:c>
      <x:c r="D48" s="7" t="str">
        <x:v>Stair core</x:v>
      </x:c>
      <x:c r="E48" s="16" t="n">
        <x:v>1</x:v>
      </x:c>
      <x:c r="F48" s="16" t="n">
        <x:v>4</x:v>
      </x:c>
      <x:c r="G48" s="16" t="n">
        <x:v>6</x:v>
      </x:c>
      <x:c r="H48" s="16" t="n">
        <x:f>E48*F48*G48</x:f>
        <x:v>24</x:v>
      </x:c>
      <x:c r="I48" s="7" t="str">
        <x:v>RC03, FW01</x:v>
      </x:c>
      <x:c r="J48" s="7" t="str">
        <x:v>One opening per floor</x:v>
      </x:c>
      <x:c r="K48" s="2"/>
      <x:c r="L48" s="2"/>
      <x:c r="M48" s="2"/>
      <x:c r="N48" s="2"/>
      <x:c r="O48" s="2"/>
      <x:c r="P48" s="2"/>
      <x:c r="Q48" s="2"/>
    </x:row>
    <x:row r="49" ht="22" customHeight="1">
      <x:c r="A49" s="2" t="str">
        <x:v>T2-L07-OP02</x:v>
      </x:c>
      <x:c r="B49" s="2" t="str">
        <x:v>T2</x:v>
      </x:c>
      <x:c r="C49" s="2" t="n">
        <x:v>7</x:v>
      </x:c>
      <x:c r="D49" s="2" t="str">
        <x:v>Door openings</x:v>
      </x:c>
      <x:c r="E49" s="18" t="n">
        <x:v>28</x:v>
      </x:c>
      <x:c r="F49" s="18" t="n">
        <x:v>0.9</x:v>
      </x:c>
      <x:c r="G49" s="18" t="n">
        <x:v>2.1</x:v>
      </x:c>
      <x:c r="H49" s="18" t="n">
        <x:f>E49*F49*G49</x:f>
        <x:v>52.92</x:v>
      </x:c>
      <x:c r="I49" s="2" t="str">
        <x:v>AR01, AR02</x:v>
      </x:c>
      <x:c r="J49" s="2" t="str">
        <x:v>Same openings deducted from masonry and plaster</x:v>
      </x:c>
      <x:c r="K49" s="2"/>
      <x:c r="L49" s="2"/>
      <x:c r="M49" s="2"/>
      <x:c r="N49" s="2"/>
      <x:c r="O49" s="2"/>
      <x:c r="P49" s="2"/>
      <x:c r="Q49" s="2"/>
    </x:row>
    <x:row r="50" ht="22" customHeight="1">
      <x:c r="A50" s="7" t="str">
        <x:v>T2-L08-OP01</x:v>
      </x:c>
      <x:c r="B50" s="7" t="str">
        <x:v>T2</x:v>
      </x:c>
      <x:c r="C50" s="7" t="n">
        <x:v>8</x:v>
      </x:c>
      <x:c r="D50" s="7" t="str">
        <x:v>Stair core</x:v>
      </x:c>
      <x:c r="E50" s="16" t="n">
        <x:v>1</x:v>
      </x:c>
      <x:c r="F50" s="16" t="n">
        <x:v>4</x:v>
      </x:c>
      <x:c r="G50" s="16" t="n">
        <x:v>6</x:v>
      </x:c>
      <x:c r="H50" s="16" t="n">
        <x:f>E50*F50*G50</x:f>
        <x:v>24</x:v>
      </x:c>
      <x:c r="I50" s="7" t="str">
        <x:v>RC03, FW01</x:v>
      </x:c>
      <x:c r="J50" s="7" t="str">
        <x:v>One opening per floor</x:v>
      </x:c>
      <x:c r="K50" s="2"/>
      <x:c r="L50" s="2"/>
      <x:c r="M50" s="2"/>
      <x:c r="N50" s="2"/>
      <x:c r="O50" s="2"/>
      <x:c r="P50" s="2"/>
      <x:c r="Q50" s="2"/>
    </x:row>
    <x:row r="51" ht="22" customHeight="1">
      <x:c r="A51" s="2" t="str">
        <x:v>T2-L08-OP02</x:v>
      </x:c>
      <x:c r="B51" s="2" t="str">
        <x:v>T2</x:v>
      </x:c>
      <x:c r="C51" s="2" t="n">
        <x:v>8</x:v>
      </x:c>
      <x:c r="D51" s="2" t="str">
        <x:v>Door openings</x:v>
      </x:c>
      <x:c r="E51" s="18" t="n">
        <x:v>28</x:v>
      </x:c>
      <x:c r="F51" s="18" t="n">
        <x:v>0.9</x:v>
      </x:c>
      <x:c r="G51" s="18" t="n">
        <x:v>2.1</x:v>
      </x:c>
      <x:c r="H51" s="18" t="n">
        <x:f>E51*F51*G51</x:f>
        <x:v>52.92</x:v>
      </x:c>
      <x:c r="I51" s="2" t="str">
        <x:v>AR01, AR02</x:v>
      </x:c>
      <x:c r="J51" s="2" t="str">
        <x:v>Same openings deducted from masonry and plaster</x:v>
      </x:c>
      <x:c r="K51" s="2"/>
      <x:c r="L51" s="2"/>
      <x:c r="M51" s="2"/>
      <x:c r="N51" s="2"/>
      <x:c r="O51" s="2"/>
      <x:c r="P51" s="2"/>
      <x:c r="Q51" s="2"/>
    </x:row>
    <x:row r="52" ht="22" customHeight="1">
      <x:c r="A52" s="7" t="str">
        <x:v>T2-L09-OP01</x:v>
      </x:c>
      <x:c r="B52" s="7" t="str">
        <x:v>T2</x:v>
      </x:c>
      <x:c r="C52" s="7" t="n">
        <x:v>9</x:v>
      </x:c>
      <x:c r="D52" s="7" t="str">
        <x:v>Stair core</x:v>
      </x:c>
      <x:c r="E52" s="16" t="n">
        <x:v>1</x:v>
      </x:c>
      <x:c r="F52" s="16" t="n">
        <x:v>4</x:v>
      </x:c>
      <x:c r="G52" s="16" t="n">
        <x:v>6</x:v>
      </x:c>
      <x:c r="H52" s="16" t="n">
        <x:f>E52*F52*G52</x:f>
        <x:v>24</x:v>
      </x:c>
      <x:c r="I52" s="7" t="str">
        <x:v>RC03, FW01</x:v>
      </x:c>
      <x:c r="J52" s="7" t="str">
        <x:v>One opening per floor</x:v>
      </x:c>
      <x:c r="K52" s="2"/>
      <x:c r="L52" s="2"/>
      <x:c r="M52" s="2"/>
      <x:c r="N52" s="2"/>
      <x:c r="O52" s="2"/>
      <x:c r="P52" s="2"/>
      <x:c r="Q52" s="2"/>
    </x:row>
    <x:row r="53" ht="22" customHeight="1">
      <x:c r="A53" s="2" t="str">
        <x:v>T2-L09-OP02</x:v>
      </x:c>
      <x:c r="B53" s="2" t="str">
        <x:v>T2</x:v>
      </x:c>
      <x:c r="C53" s="2" t="n">
        <x:v>9</x:v>
      </x:c>
      <x:c r="D53" s="2" t="str">
        <x:v>Door openings</x:v>
      </x:c>
      <x:c r="E53" s="18" t="n">
        <x:v>28</x:v>
      </x:c>
      <x:c r="F53" s="18" t="n">
        <x:v>0.9</x:v>
      </x:c>
      <x:c r="G53" s="18" t="n">
        <x:v>2.1</x:v>
      </x:c>
      <x:c r="H53" s="18" t="n">
        <x:f>E53*F53*G53</x:f>
        <x:v>52.92</x:v>
      </x:c>
      <x:c r="I53" s="2" t="str">
        <x:v>AR01, AR02</x:v>
      </x:c>
      <x:c r="J53" s="2" t="str">
        <x:v>Same openings deducted from masonry and plaster</x:v>
      </x:c>
      <x:c r="K53" s="2"/>
      <x:c r="L53" s="2"/>
      <x:c r="M53" s="2"/>
      <x:c r="N53" s="2"/>
      <x:c r="O53" s="2"/>
      <x:c r="P53" s="2"/>
      <x:c r="Q53" s="2"/>
    </x:row>
    <x:row r="54" ht="22" customHeight="1">
      <x:c r="A54" s="7" t="str">
        <x:v>T2-L10-OP01</x:v>
      </x:c>
      <x:c r="B54" s="7" t="str">
        <x:v>T2</x:v>
      </x:c>
      <x:c r="C54" s="7" t="n">
        <x:v>10</x:v>
      </x:c>
      <x:c r="D54" s="7" t="str">
        <x:v>Stair core</x:v>
      </x:c>
      <x:c r="E54" s="16" t="n">
        <x:v>1</x:v>
      </x:c>
      <x:c r="F54" s="16" t="n">
        <x:v>4</x:v>
      </x:c>
      <x:c r="G54" s="16" t="n">
        <x:v>6</x:v>
      </x:c>
      <x:c r="H54" s="16" t="n">
        <x:f>E54*F54*G54</x:f>
        <x:v>24</x:v>
      </x:c>
      <x:c r="I54" s="7" t="str">
        <x:v>RC03, FW01</x:v>
      </x:c>
      <x:c r="J54" s="7" t="str">
        <x:v>One opening per floor</x:v>
      </x:c>
      <x:c r="K54" s="2"/>
      <x:c r="L54" s="2"/>
      <x:c r="M54" s="2"/>
      <x:c r="N54" s="2"/>
      <x:c r="O54" s="2"/>
      <x:c r="P54" s="2"/>
      <x:c r="Q54" s="2"/>
    </x:row>
    <x:row r="55" ht="22" customHeight="1">
      <x:c r="A55" s="2" t="str">
        <x:v>T2-L10-OP02</x:v>
      </x:c>
      <x:c r="B55" s="2" t="str">
        <x:v>T2</x:v>
      </x:c>
      <x:c r="C55" s="2" t="n">
        <x:v>10</x:v>
      </x:c>
      <x:c r="D55" s="2" t="str">
        <x:v>Door openings</x:v>
      </x:c>
      <x:c r="E55" s="18" t="n">
        <x:v>28</x:v>
      </x:c>
      <x:c r="F55" s="18" t="n">
        <x:v>0.9</x:v>
      </x:c>
      <x:c r="G55" s="18" t="n">
        <x:v>2.1</x:v>
      </x:c>
      <x:c r="H55" s="18" t="n">
        <x:f>E55*F55*G55</x:f>
        <x:v>52.92</x:v>
      </x:c>
      <x:c r="I55" s="2" t="str">
        <x:v>AR01, AR02</x:v>
      </x:c>
      <x:c r="J55" s="2" t="str">
        <x:v>Same openings deducted from masonry and plaster</x:v>
      </x:c>
      <x:c r="K55" s="2"/>
      <x:c r="L55" s="2"/>
      <x:c r="M55" s="2"/>
      <x:c r="N55" s="2"/>
      <x:c r="O55" s="2"/>
      <x:c r="P55" s="2"/>
      <x:c r="Q55" s="2"/>
    </x:row>
    <x:row r="56" ht="22" customHeight="1">
      <x:c r="A56" s="7" t="str">
        <x:v>T2-L11-OP01</x:v>
      </x:c>
      <x:c r="B56" s="7" t="str">
        <x:v>T2</x:v>
      </x:c>
      <x:c r="C56" s="7" t="n">
        <x:v>11</x:v>
      </x:c>
      <x:c r="D56" s="7" t="str">
        <x:v>Stair core</x:v>
      </x:c>
      <x:c r="E56" s="16" t="n">
        <x:v>1</x:v>
      </x:c>
      <x:c r="F56" s="16" t="n">
        <x:v>4</x:v>
      </x:c>
      <x:c r="G56" s="16" t="n">
        <x:v>6</x:v>
      </x:c>
      <x:c r="H56" s="16" t="n">
        <x:f>E56*F56*G56</x:f>
        <x:v>24</x:v>
      </x:c>
      <x:c r="I56" s="7" t="str">
        <x:v>RC03, FW01</x:v>
      </x:c>
      <x:c r="J56" s="7" t="str">
        <x:v>One opening per floor</x:v>
      </x:c>
      <x:c r="K56" s="2"/>
      <x:c r="L56" s="2"/>
      <x:c r="M56" s="2"/>
      <x:c r="N56" s="2"/>
      <x:c r="O56" s="2"/>
      <x:c r="P56" s="2"/>
      <x:c r="Q56" s="2"/>
    </x:row>
    <x:row r="57" ht="22" customHeight="1">
      <x:c r="A57" s="2" t="str">
        <x:v>T2-L11-OP02</x:v>
      </x:c>
      <x:c r="B57" s="2" t="str">
        <x:v>T2</x:v>
      </x:c>
      <x:c r="C57" s="2" t="n">
        <x:v>11</x:v>
      </x:c>
      <x:c r="D57" s="2" t="str">
        <x:v>Door openings</x:v>
      </x:c>
      <x:c r="E57" s="18" t="n">
        <x:v>28</x:v>
      </x:c>
      <x:c r="F57" s="18" t="n">
        <x:v>0.9</x:v>
      </x:c>
      <x:c r="G57" s="18" t="n">
        <x:v>2.1</x:v>
      </x:c>
      <x:c r="H57" s="18" t="n">
        <x:f>E57*F57*G57</x:f>
        <x:v>52.92</x:v>
      </x:c>
      <x:c r="I57" s="2" t="str">
        <x:v>AR01, AR02</x:v>
      </x:c>
      <x:c r="J57" s="2" t="str">
        <x:v>Same openings deducted from masonry and plaster</x:v>
      </x:c>
      <x:c r="K57" s="2"/>
      <x:c r="L57" s="2"/>
      <x:c r="M57" s="2"/>
      <x:c r="N57" s="2"/>
      <x:c r="O57" s="2"/>
      <x:c r="P57" s="2"/>
      <x:c r="Q57" s="2"/>
    </x:row>
    <x:row r="58" ht="22" customHeight="1">
      <x:c r="A58" s="7" t="str">
        <x:v>T2-L12-OP01</x:v>
      </x:c>
      <x:c r="B58" s="7" t="str">
        <x:v>T2</x:v>
      </x:c>
      <x:c r="C58" s="7" t="n">
        <x:v>12</x:v>
      </x:c>
      <x:c r="D58" s="7" t="str">
        <x:v>Stair core</x:v>
      </x:c>
      <x:c r="E58" s="16" t="n">
        <x:v>1</x:v>
      </x:c>
      <x:c r="F58" s="16" t="n">
        <x:v>4</x:v>
      </x:c>
      <x:c r="G58" s="16" t="n">
        <x:v>6</x:v>
      </x:c>
      <x:c r="H58" s="16" t="n">
        <x:f>E58*F58*G58</x:f>
        <x:v>24</x:v>
      </x:c>
      <x:c r="I58" s="7" t="str">
        <x:v>RC03, FW01</x:v>
      </x:c>
      <x:c r="J58" s="7" t="str">
        <x:v>One opening per floor</x:v>
      </x:c>
      <x:c r="K58" s="2"/>
      <x:c r="L58" s="2"/>
      <x:c r="M58" s="2"/>
      <x:c r="N58" s="2"/>
      <x:c r="O58" s="2"/>
      <x:c r="P58" s="2"/>
      <x:c r="Q58" s="2"/>
    </x:row>
    <x:row r="59" ht="22" customHeight="1">
      <x:c r="A59" s="2" t="str">
        <x:v>T2-L12-OP02</x:v>
      </x:c>
      <x:c r="B59" s="2" t="str">
        <x:v>T2</x:v>
      </x:c>
      <x:c r="C59" s="2" t="n">
        <x:v>12</x:v>
      </x:c>
      <x:c r="D59" s="2" t="str">
        <x:v>Door openings</x:v>
      </x:c>
      <x:c r="E59" s="18" t="n">
        <x:v>28</x:v>
      </x:c>
      <x:c r="F59" s="18" t="n">
        <x:v>0.9</x:v>
      </x:c>
      <x:c r="G59" s="18" t="n">
        <x:v>2.1</x:v>
      </x:c>
      <x:c r="H59" s="18" t="n">
        <x:f>E59*F59*G59</x:f>
        <x:v>52.92</x:v>
      </x:c>
      <x:c r="I59" s="2" t="str">
        <x:v>AR01, AR02</x:v>
      </x:c>
      <x:c r="J59" s="2" t="str">
        <x:v>Same openings deducted from masonry and plaster</x:v>
      </x:c>
      <x:c r="K59" s="2"/>
      <x:c r="L59" s="2"/>
      <x:c r="M59" s="2"/>
      <x:c r="N59" s="2"/>
      <x:c r="O59" s="2"/>
      <x:c r="P59" s="2"/>
      <x:c r="Q59" s="2"/>
    </x:row>
    <x:row r="60" ht="22" customHeight="1">
      <x:c r="A60" s="7" t="str">
        <x:v>T3-L00-OP01</x:v>
      </x:c>
      <x:c r="B60" s="7" t="str">
        <x:v>T3</x:v>
      </x:c>
      <x:c r="C60" s="7" t="n">
        <x:v>0</x:v>
      </x:c>
      <x:c r="D60" s="7" t="str">
        <x:v>Stair core</x:v>
      </x:c>
      <x:c r="E60" s="16" t="n">
        <x:v>1</x:v>
      </x:c>
      <x:c r="F60" s="16" t="n">
        <x:v>4</x:v>
      </x:c>
      <x:c r="G60" s="16" t="n">
        <x:v>6</x:v>
      </x:c>
      <x:c r="H60" s="16" t="n">
        <x:f>E60*F60*G60</x:f>
        <x:v>24</x:v>
      </x:c>
      <x:c r="I60" s="7" t="str">
        <x:v>RC03, FW01</x:v>
      </x:c>
      <x:c r="J60" s="7" t="str">
        <x:v>One opening per floor</x:v>
      </x:c>
      <x:c r="K60" s="2"/>
      <x:c r="L60" s="2"/>
      <x:c r="M60" s="2"/>
      <x:c r="N60" s="2"/>
      <x:c r="O60" s="2"/>
      <x:c r="P60" s="2"/>
      <x:c r="Q60" s="2"/>
    </x:row>
    <x:row r="61" ht="22" customHeight="1">
      <x:c r="A61" s="2" t="str">
        <x:v>T3-L00-OP02</x:v>
      </x:c>
      <x:c r="B61" s="2" t="str">
        <x:v>T3</x:v>
      </x:c>
      <x:c r="C61" s="2" t="n">
        <x:v>0</x:v>
      </x:c>
      <x:c r="D61" s="2" t="str">
        <x:v>Door openings</x:v>
      </x:c>
      <x:c r="E61" s="18" t="n">
        <x:v>28</x:v>
      </x:c>
      <x:c r="F61" s="18" t="n">
        <x:v>0.9</x:v>
      </x:c>
      <x:c r="G61" s="18" t="n">
        <x:v>2.1</x:v>
      </x:c>
      <x:c r="H61" s="18" t="n">
        <x:f>E61*F61*G61</x:f>
        <x:v>52.92</x:v>
      </x:c>
      <x:c r="I61" s="2" t="str">
        <x:v>AR01, AR02</x:v>
      </x:c>
      <x:c r="J61" s="2" t="str">
        <x:v>Same openings deducted from masonry and plaster</x:v>
      </x:c>
      <x:c r="K61" s="2"/>
      <x:c r="L61" s="2"/>
      <x:c r="M61" s="2"/>
      <x:c r="N61" s="2"/>
      <x:c r="O61" s="2"/>
      <x:c r="P61" s="2"/>
      <x:c r="Q61" s="2"/>
    </x:row>
    <x:row r="62" ht="22" customHeight="1">
      <x:c r="A62" s="7" t="str">
        <x:v>T3-L01-OP01</x:v>
      </x:c>
      <x:c r="B62" s="7" t="str">
        <x:v>T3</x:v>
      </x:c>
      <x:c r="C62" s="7" t="n">
        <x:v>1</x:v>
      </x:c>
      <x:c r="D62" s="7" t="str">
        <x:v>Stair core</x:v>
      </x:c>
      <x:c r="E62" s="16" t="n">
        <x:v>1</x:v>
      </x:c>
      <x:c r="F62" s="16" t="n">
        <x:v>4</x:v>
      </x:c>
      <x:c r="G62" s="16" t="n">
        <x:v>6</x:v>
      </x:c>
      <x:c r="H62" s="16" t="n">
        <x:f>E62*F62*G62</x:f>
        <x:v>24</x:v>
      </x:c>
      <x:c r="I62" s="7" t="str">
        <x:v>RC03, FW01</x:v>
      </x:c>
      <x:c r="J62" s="7" t="str">
        <x:v>One opening per floor</x:v>
      </x:c>
      <x:c r="K62" s="2"/>
      <x:c r="L62" s="2"/>
      <x:c r="M62" s="2"/>
      <x:c r="N62" s="2"/>
      <x:c r="O62" s="2"/>
      <x:c r="P62" s="2"/>
      <x:c r="Q62" s="2"/>
    </x:row>
    <x:row r="63" ht="22" customHeight="1">
      <x:c r="A63" s="2" t="str">
        <x:v>T3-L01-OP02</x:v>
      </x:c>
      <x:c r="B63" s="2" t="str">
        <x:v>T3</x:v>
      </x:c>
      <x:c r="C63" s="2" t="n">
        <x:v>1</x:v>
      </x:c>
      <x:c r="D63" s="2" t="str">
        <x:v>Door openings</x:v>
      </x:c>
      <x:c r="E63" s="18" t="n">
        <x:v>28</x:v>
      </x:c>
      <x:c r="F63" s="18" t="n">
        <x:v>0.9</x:v>
      </x:c>
      <x:c r="G63" s="18" t="n">
        <x:v>2.1</x:v>
      </x:c>
      <x:c r="H63" s="18" t="n">
        <x:f>E63*F63*G63</x:f>
        <x:v>52.92</x:v>
      </x:c>
      <x:c r="I63" s="2" t="str">
        <x:v>AR01, AR02</x:v>
      </x:c>
      <x:c r="J63" s="2" t="str">
        <x:v>Same openings deducted from masonry and plaster</x:v>
      </x:c>
      <x:c r="K63" s="2"/>
      <x:c r="L63" s="2"/>
      <x:c r="M63" s="2"/>
      <x:c r="N63" s="2"/>
      <x:c r="O63" s="2"/>
      <x:c r="P63" s="2"/>
      <x:c r="Q63" s="2"/>
    </x:row>
    <x:row r="64" ht="22" customHeight="1">
      <x:c r="A64" s="7" t="str">
        <x:v>T3-L02-OP01</x:v>
      </x:c>
      <x:c r="B64" s="7" t="str">
        <x:v>T3</x:v>
      </x:c>
      <x:c r="C64" s="7" t="n">
        <x:v>2</x:v>
      </x:c>
      <x:c r="D64" s="7" t="str">
        <x:v>Stair core</x:v>
      </x:c>
      <x:c r="E64" s="16" t="n">
        <x:v>1</x:v>
      </x:c>
      <x:c r="F64" s="16" t="n">
        <x:v>4</x:v>
      </x:c>
      <x:c r="G64" s="16" t="n">
        <x:v>6</x:v>
      </x:c>
      <x:c r="H64" s="16" t="n">
        <x:f>E64*F64*G64</x:f>
        <x:v>24</x:v>
      </x:c>
      <x:c r="I64" s="7" t="str">
        <x:v>RC03, FW01</x:v>
      </x:c>
      <x:c r="J64" s="7" t="str">
        <x:v>One opening per floor</x:v>
      </x:c>
      <x:c r="K64" s="2"/>
      <x:c r="L64" s="2"/>
      <x:c r="M64" s="2"/>
      <x:c r="N64" s="2"/>
      <x:c r="O64" s="2"/>
      <x:c r="P64" s="2"/>
      <x:c r="Q64" s="2"/>
    </x:row>
    <x:row r="65" ht="22" customHeight="1">
      <x:c r="A65" s="2" t="str">
        <x:v>T3-L02-OP02</x:v>
      </x:c>
      <x:c r="B65" s="2" t="str">
        <x:v>T3</x:v>
      </x:c>
      <x:c r="C65" s="2" t="n">
        <x:v>2</x:v>
      </x:c>
      <x:c r="D65" s="2" t="str">
        <x:v>Door openings</x:v>
      </x:c>
      <x:c r="E65" s="18" t="n">
        <x:v>28</x:v>
      </x:c>
      <x:c r="F65" s="18" t="n">
        <x:v>0.9</x:v>
      </x:c>
      <x:c r="G65" s="18" t="n">
        <x:v>2.1</x:v>
      </x:c>
      <x:c r="H65" s="18" t="n">
        <x:f>E65*F65*G65</x:f>
        <x:v>52.92</x:v>
      </x:c>
      <x:c r="I65" s="2" t="str">
        <x:v>AR01, AR02</x:v>
      </x:c>
      <x:c r="J65" s="2" t="str">
        <x:v>Same openings deducted from masonry and plaster</x:v>
      </x:c>
      <x:c r="K65" s="2"/>
      <x:c r="L65" s="2"/>
      <x:c r="M65" s="2"/>
      <x:c r="N65" s="2"/>
      <x:c r="O65" s="2"/>
      <x:c r="P65" s="2"/>
      <x:c r="Q65" s="2"/>
    </x:row>
    <x:row r="66" ht="22" customHeight="1">
      <x:c r="A66" s="7" t="str">
        <x:v>T3-L03-OP01</x:v>
      </x:c>
      <x:c r="B66" s="7" t="str">
        <x:v>T3</x:v>
      </x:c>
      <x:c r="C66" s="7" t="n">
        <x:v>3</x:v>
      </x:c>
      <x:c r="D66" s="7" t="str">
        <x:v>Stair core</x:v>
      </x:c>
      <x:c r="E66" s="16" t="n">
        <x:v>1</x:v>
      </x:c>
      <x:c r="F66" s="16" t="n">
        <x:v>4</x:v>
      </x:c>
      <x:c r="G66" s="16" t="n">
        <x:v>6</x:v>
      </x:c>
      <x:c r="H66" s="16" t="n">
        <x:f>E66*F66*G66</x:f>
        <x:v>24</x:v>
      </x:c>
      <x:c r="I66" s="7" t="str">
        <x:v>RC03, FW01</x:v>
      </x:c>
      <x:c r="J66" s="7" t="str">
        <x:v>One opening per floor</x:v>
      </x:c>
      <x:c r="K66" s="2"/>
      <x:c r="L66" s="2"/>
      <x:c r="M66" s="2"/>
      <x:c r="N66" s="2"/>
      <x:c r="O66" s="2"/>
      <x:c r="P66" s="2"/>
      <x:c r="Q66" s="2"/>
    </x:row>
    <x:row r="67" ht="22" customHeight="1">
      <x:c r="A67" s="2" t="str">
        <x:v>T3-L03-OP02</x:v>
      </x:c>
      <x:c r="B67" s="2" t="str">
        <x:v>T3</x:v>
      </x:c>
      <x:c r="C67" s="2" t="n">
        <x:v>3</x:v>
      </x:c>
      <x:c r="D67" s="2" t="str">
        <x:v>Door openings</x:v>
      </x:c>
      <x:c r="E67" s="18" t="n">
        <x:v>28</x:v>
      </x:c>
      <x:c r="F67" s="18" t="n">
        <x:v>0.9</x:v>
      </x:c>
      <x:c r="G67" s="18" t="n">
        <x:v>2.1</x:v>
      </x:c>
      <x:c r="H67" s="18" t="n">
        <x:f>E67*F67*G67</x:f>
        <x:v>52.92</x:v>
      </x:c>
      <x:c r="I67" s="2" t="str">
        <x:v>AR01, AR02</x:v>
      </x:c>
      <x:c r="J67" s="2" t="str">
        <x:v>Same openings deducted from masonry and plaster</x:v>
      </x:c>
      <x:c r="K67" s="2"/>
      <x:c r="L67" s="2"/>
      <x:c r="M67" s="2"/>
      <x:c r="N67" s="2"/>
      <x:c r="O67" s="2"/>
      <x:c r="P67" s="2"/>
      <x:c r="Q67" s="2"/>
    </x:row>
    <x:row r="68" ht="22" customHeight="1">
      <x:c r="A68" s="7" t="str">
        <x:v>T3-L04-OP01</x:v>
      </x:c>
      <x:c r="B68" s="7" t="str">
        <x:v>T3</x:v>
      </x:c>
      <x:c r="C68" s="7" t="n">
        <x:v>4</x:v>
      </x:c>
      <x:c r="D68" s="7" t="str">
        <x:v>Stair core</x:v>
      </x:c>
      <x:c r="E68" s="16" t="n">
        <x:v>1</x:v>
      </x:c>
      <x:c r="F68" s="16" t="n">
        <x:v>4</x:v>
      </x:c>
      <x:c r="G68" s="16" t="n">
        <x:v>6</x:v>
      </x:c>
      <x:c r="H68" s="16" t="n">
        <x:f>E68*F68*G68</x:f>
        <x:v>24</x:v>
      </x:c>
      <x:c r="I68" s="7" t="str">
        <x:v>RC03, FW01</x:v>
      </x:c>
      <x:c r="J68" s="7" t="str">
        <x:v>One opening per floor</x:v>
      </x:c>
      <x:c r="K68" s="2"/>
      <x:c r="L68" s="2"/>
      <x:c r="M68" s="2"/>
      <x:c r="N68" s="2"/>
      <x:c r="O68" s="2"/>
      <x:c r="P68" s="2"/>
      <x:c r="Q68" s="2"/>
    </x:row>
    <x:row r="69" ht="22" customHeight="1">
      <x:c r="A69" s="2" t="str">
        <x:v>T3-L04-OP02</x:v>
      </x:c>
      <x:c r="B69" s="2" t="str">
        <x:v>T3</x:v>
      </x:c>
      <x:c r="C69" s="2" t="n">
        <x:v>4</x:v>
      </x:c>
      <x:c r="D69" s="2" t="str">
        <x:v>Door openings</x:v>
      </x:c>
      <x:c r="E69" s="18" t="n">
        <x:v>28</x:v>
      </x:c>
      <x:c r="F69" s="18" t="n">
        <x:v>0.9</x:v>
      </x:c>
      <x:c r="G69" s="18" t="n">
        <x:v>2.1</x:v>
      </x:c>
      <x:c r="H69" s="18" t="n">
        <x:f>E69*F69*G69</x:f>
        <x:v>52.92</x:v>
      </x:c>
      <x:c r="I69" s="2" t="str">
        <x:v>AR01, AR02</x:v>
      </x:c>
      <x:c r="J69" s="2" t="str">
        <x:v>Same openings deducted from masonry and plaster</x:v>
      </x:c>
      <x:c r="K69" s="2"/>
      <x:c r="L69" s="2"/>
      <x:c r="M69" s="2"/>
      <x:c r="N69" s="2"/>
      <x:c r="O69" s="2"/>
      <x:c r="P69" s="2"/>
      <x:c r="Q69" s="2"/>
    </x:row>
    <x:row r="70" ht="22" customHeight="1">
      <x:c r="A70" s="7" t="str">
        <x:v>T3-L05-OP01</x:v>
      </x:c>
      <x:c r="B70" s="7" t="str">
        <x:v>T3</x:v>
      </x:c>
      <x:c r="C70" s="7" t="n">
        <x:v>5</x:v>
      </x:c>
      <x:c r="D70" s="7" t="str">
        <x:v>Stair core</x:v>
      </x:c>
      <x:c r="E70" s="16" t="n">
        <x:v>1</x:v>
      </x:c>
      <x:c r="F70" s="16" t="n">
        <x:v>4</x:v>
      </x:c>
      <x:c r="G70" s="16" t="n">
        <x:v>6</x:v>
      </x:c>
      <x:c r="H70" s="16" t="n">
        <x:f>E70*F70*G70</x:f>
        <x:v>24</x:v>
      </x:c>
      <x:c r="I70" s="7" t="str">
        <x:v>RC03, FW01</x:v>
      </x:c>
      <x:c r="J70" s="7" t="str">
        <x:v>One opening per floor</x:v>
      </x:c>
      <x:c r="K70" s="2"/>
      <x:c r="L70" s="2"/>
      <x:c r="M70" s="2"/>
      <x:c r="N70" s="2"/>
      <x:c r="O70" s="2"/>
      <x:c r="P70" s="2"/>
      <x:c r="Q70" s="2"/>
    </x:row>
    <x:row r="71" ht="22" customHeight="1">
      <x:c r="A71" s="2" t="str">
        <x:v>T3-L05-OP02</x:v>
      </x:c>
      <x:c r="B71" s="2" t="str">
        <x:v>T3</x:v>
      </x:c>
      <x:c r="C71" s="2" t="n">
        <x:v>5</x:v>
      </x:c>
      <x:c r="D71" s="2" t="str">
        <x:v>Door openings</x:v>
      </x:c>
      <x:c r="E71" s="18" t="n">
        <x:v>28</x:v>
      </x:c>
      <x:c r="F71" s="18" t="n">
        <x:v>0.9</x:v>
      </x:c>
      <x:c r="G71" s="18" t="n">
        <x:v>2.1</x:v>
      </x:c>
      <x:c r="H71" s="18" t="n">
        <x:f>E71*F71*G71</x:f>
        <x:v>52.92</x:v>
      </x:c>
      <x:c r="I71" s="2" t="str">
        <x:v>AR01, AR02</x:v>
      </x:c>
      <x:c r="J71" s="2" t="str">
        <x:v>Same openings deducted from masonry and plaster</x:v>
      </x:c>
      <x:c r="K71" s="2"/>
      <x:c r="L71" s="2"/>
      <x:c r="M71" s="2"/>
      <x:c r="N71" s="2"/>
      <x:c r="O71" s="2"/>
      <x:c r="P71" s="2"/>
      <x:c r="Q71" s="2"/>
    </x:row>
    <x:row r="72" ht="22" customHeight="1">
      <x:c r="A72" s="7" t="str">
        <x:v>T3-L06-OP01</x:v>
      </x:c>
      <x:c r="B72" s="7" t="str">
        <x:v>T3</x:v>
      </x:c>
      <x:c r="C72" s="7" t="n">
        <x:v>6</x:v>
      </x:c>
      <x:c r="D72" s="7" t="str">
        <x:v>Stair core</x:v>
      </x:c>
      <x:c r="E72" s="16" t="n">
        <x:v>1</x:v>
      </x:c>
      <x:c r="F72" s="16" t="n">
        <x:v>4</x:v>
      </x:c>
      <x:c r="G72" s="16" t="n">
        <x:v>6</x:v>
      </x:c>
      <x:c r="H72" s="16" t="n">
        <x:f>E72*F72*G72</x:f>
        <x:v>24</x:v>
      </x:c>
      <x:c r="I72" s="7" t="str">
        <x:v>RC03, FW01</x:v>
      </x:c>
      <x:c r="J72" s="7" t="str">
        <x:v>One opening per floor</x:v>
      </x:c>
      <x:c r="K72" s="2"/>
      <x:c r="L72" s="2"/>
      <x:c r="M72" s="2"/>
      <x:c r="N72" s="2"/>
      <x:c r="O72" s="2"/>
      <x:c r="P72" s="2"/>
      <x:c r="Q72" s="2"/>
    </x:row>
    <x:row r="73" ht="22" customHeight="1">
      <x:c r="A73" s="2" t="str">
        <x:v>T3-L06-OP02</x:v>
      </x:c>
      <x:c r="B73" s="2" t="str">
        <x:v>T3</x:v>
      </x:c>
      <x:c r="C73" s="2" t="n">
        <x:v>6</x:v>
      </x:c>
      <x:c r="D73" s="2" t="str">
        <x:v>Door openings</x:v>
      </x:c>
      <x:c r="E73" s="18" t="n">
        <x:v>28</x:v>
      </x:c>
      <x:c r="F73" s="18" t="n">
        <x:v>0.9</x:v>
      </x:c>
      <x:c r="G73" s="18" t="n">
        <x:v>2.1</x:v>
      </x:c>
      <x:c r="H73" s="18" t="n">
        <x:f>E73*F73*G73</x:f>
        <x:v>52.92</x:v>
      </x:c>
      <x:c r="I73" s="2" t="str">
        <x:v>AR01, AR02</x:v>
      </x:c>
      <x:c r="J73" s="2" t="str">
        <x:v>Same openings deducted from masonry and plaster</x:v>
      </x:c>
      <x:c r="K73" s="2"/>
      <x:c r="L73" s="2"/>
      <x:c r="M73" s="2"/>
      <x:c r="N73" s="2"/>
      <x:c r="O73" s="2"/>
      <x:c r="P73" s="2"/>
      <x:c r="Q73" s="2"/>
    </x:row>
    <x:row r="74" ht="22" customHeight="1">
      <x:c r="A74" s="7" t="str">
        <x:v>T3-L07-OP01</x:v>
      </x:c>
      <x:c r="B74" s="7" t="str">
        <x:v>T3</x:v>
      </x:c>
      <x:c r="C74" s="7" t="n">
        <x:v>7</x:v>
      </x:c>
      <x:c r="D74" s="7" t="str">
        <x:v>Stair core</x:v>
      </x:c>
      <x:c r="E74" s="16" t="n">
        <x:v>1</x:v>
      </x:c>
      <x:c r="F74" s="16" t="n">
        <x:v>4</x:v>
      </x:c>
      <x:c r="G74" s="16" t="n">
        <x:v>6</x:v>
      </x:c>
      <x:c r="H74" s="16" t="n">
        <x:f>E74*F74*G74</x:f>
        <x:v>24</x:v>
      </x:c>
      <x:c r="I74" s="7" t="str">
        <x:v>RC03, FW01</x:v>
      </x:c>
      <x:c r="J74" s="7" t="str">
        <x:v>One opening per floor</x:v>
      </x:c>
      <x:c r="K74" s="2"/>
      <x:c r="L74" s="2"/>
      <x:c r="M74" s="2"/>
      <x:c r="N74" s="2"/>
      <x:c r="O74" s="2"/>
      <x:c r="P74" s="2"/>
      <x:c r="Q74" s="2"/>
    </x:row>
    <x:row r="75" ht="22" customHeight="1">
      <x:c r="A75" s="2" t="str">
        <x:v>T3-L07-OP02</x:v>
      </x:c>
      <x:c r="B75" s="2" t="str">
        <x:v>T3</x:v>
      </x:c>
      <x:c r="C75" s="2" t="n">
        <x:v>7</x:v>
      </x:c>
      <x:c r="D75" s="2" t="str">
        <x:v>Door openings</x:v>
      </x:c>
      <x:c r="E75" s="18" t="n">
        <x:v>28</x:v>
      </x:c>
      <x:c r="F75" s="18" t="n">
        <x:v>0.9</x:v>
      </x:c>
      <x:c r="G75" s="18" t="n">
        <x:v>2.1</x:v>
      </x:c>
      <x:c r="H75" s="18" t="n">
        <x:f>E75*F75*G75</x:f>
        <x:v>52.92</x:v>
      </x:c>
      <x:c r="I75" s="2" t="str">
        <x:v>AR01, AR02</x:v>
      </x:c>
      <x:c r="J75" s="2" t="str">
        <x:v>Same openings deducted from masonry and plaster</x:v>
      </x:c>
      <x:c r="K75" s="2"/>
      <x:c r="L75" s="2"/>
      <x:c r="M75" s="2"/>
      <x:c r="N75" s="2"/>
      <x:c r="O75" s="2"/>
      <x:c r="P75" s="2"/>
      <x:c r="Q75" s="2"/>
    </x:row>
    <x:row r="76" ht="22" customHeight="1">
      <x:c r="A76" s="7" t="str">
        <x:v>T3-L08-OP01</x:v>
      </x:c>
      <x:c r="B76" s="7" t="str">
        <x:v>T3</x:v>
      </x:c>
      <x:c r="C76" s="7" t="n">
        <x:v>8</x:v>
      </x:c>
      <x:c r="D76" s="7" t="str">
        <x:v>Stair core</x:v>
      </x:c>
      <x:c r="E76" s="16" t="n">
        <x:v>1</x:v>
      </x:c>
      <x:c r="F76" s="16" t="n">
        <x:v>4</x:v>
      </x:c>
      <x:c r="G76" s="16" t="n">
        <x:v>6</x:v>
      </x:c>
      <x:c r="H76" s="16" t="n">
        <x:f>E76*F76*G76</x:f>
        <x:v>24</x:v>
      </x:c>
      <x:c r="I76" s="7" t="str">
        <x:v>RC03, FW01</x:v>
      </x:c>
      <x:c r="J76" s="7" t="str">
        <x:v>One opening per floor</x:v>
      </x:c>
      <x:c r="K76" s="2"/>
      <x:c r="L76" s="2"/>
      <x:c r="M76" s="2"/>
      <x:c r="N76" s="2"/>
      <x:c r="O76" s="2"/>
      <x:c r="P76" s="2"/>
      <x:c r="Q76" s="2"/>
    </x:row>
    <x:row r="77" ht="22" customHeight="1">
      <x:c r="A77" s="2" t="str">
        <x:v>T3-L08-OP02</x:v>
      </x:c>
      <x:c r="B77" s="2" t="str">
        <x:v>T3</x:v>
      </x:c>
      <x:c r="C77" s="2" t="n">
        <x:v>8</x:v>
      </x:c>
      <x:c r="D77" s="2" t="str">
        <x:v>Door openings</x:v>
      </x:c>
      <x:c r="E77" s="18" t="n">
        <x:v>28</x:v>
      </x:c>
      <x:c r="F77" s="18" t="n">
        <x:v>0.9</x:v>
      </x:c>
      <x:c r="G77" s="18" t="n">
        <x:v>2.1</x:v>
      </x:c>
      <x:c r="H77" s="18" t="n">
        <x:f>E77*F77*G77</x:f>
        <x:v>52.92</x:v>
      </x:c>
      <x:c r="I77" s="2" t="str">
        <x:v>AR01, AR02</x:v>
      </x:c>
      <x:c r="J77" s="2" t="str">
        <x:v>Same openings deducted from masonry and plaster</x:v>
      </x:c>
      <x:c r="K77" s="2"/>
      <x:c r="L77" s="2"/>
      <x:c r="M77" s="2"/>
      <x:c r="N77" s="2"/>
      <x:c r="O77" s="2"/>
      <x:c r="P77" s="2"/>
      <x:c r="Q77" s="2"/>
    </x:row>
    <x:row r="78" ht="22" customHeight="1">
      <x:c r="A78" s="7" t="str">
        <x:v>T3-L09-OP01</x:v>
      </x:c>
      <x:c r="B78" s="7" t="str">
        <x:v>T3</x:v>
      </x:c>
      <x:c r="C78" s="7" t="n">
        <x:v>9</x:v>
      </x:c>
      <x:c r="D78" s="7" t="str">
        <x:v>Stair core</x:v>
      </x:c>
      <x:c r="E78" s="16" t="n">
        <x:v>1</x:v>
      </x:c>
      <x:c r="F78" s="16" t="n">
        <x:v>4</x:v>
      </x:c>
      <x:c r="G78" s="16" t="n">
        <x:v>6</x:v>
      </x:c>
      <x:c r="H78" s="16" t="n">
        <x:f>E78*F78*G78</x:f>
        <x:v>24</x:v>
      </x:c>
      <x:c r="I78" s="7" t="str">
        <x:v>RC03, FW01</x:v>
      </x:c>
      <x:c r="J78" s="7" t="str">
        <x:v>One opening per floor</x:v>
      </x:c>
      <x:c r="K78" s="2"/>
      <x:c r="L78" s="2"/>
      <x:c r="M78" s="2"/>
      <x:c r="N78" s="2"/>
      <x:c r="O78" s="2"/>
      <x:c r="P78" s="2"/>
      <x:c r="Q78" s="2"/>
    </x:row>
    <x:row r="79" ht="22" customHeight="1">
      <x:c r="A79" s="2" t="str">
        <x:v>T3-L09-OP02</x:v>
      </x:c>
      <x:c r="B79" s="2" t="str">
        <x:v>T3</x:v>
      </x:c>
      <x:c r="C79" s="2" t="n">
        <x:v>9</x:v>
      </x:c>
      <x:c r="D79" s="2" t="str">
        <x:v>Door openings</x:v>
      </x:c>
      <x:c r="E79" s="18" t="n">
        <x:v>28</x:v>
      </x:c>
      <x:c r="F79" s="18" t="n">
        <x:v>0.9</x:v>
      </x:c>
      <x:c r="G79" s="18" t="n">
        <x:v>2.1</x:v>
      </x:c>
      <x:c r="H79" s="18" t="n">
        <x:f>E79*F79*G79</x:f>
        <x:v>52.92</x:v>
      </x:c>
      <x:c r="I79" s="2" t="str">
        <x:v>AR01, AR02</x:v>
      </x:c>
      <x:c r="J79" s="2" t="str">
        <x:v>Same openings deducted from masonry and plaster</x:v>
      </x:c>
      <x:c r="K79" s="2"/>
      <x:c r="L79" s="2"/>
      <x:c r="M79" s="2"/>
      <x:c r="N79" s="2"/>
      <x:c r="O79" s="2"/>
      <x:c r="P79" s="2"/>
      <x:c r="Q79" s="2"/>
    </x:row>
    <x:row r="80" ht="22" customHeight="1">
      <x:c r="A80" s="7" t="str">
        <x:v>T3-L10-OP01</x:v>
      </x:c>
      <x:c r="B80" s="7" t="str">
        <x:v>T3</x:v>
      </x:c>
      <x:c r="C80" s="7" t="n">
        <x:v>10</x:v>
      </x:c>
      <x:c r="D80" s="7" t="str">
        <x:v>Stair core</x:v>
      </x:c>
      <x:c r="E80" s="16" t="n">
        <x:v>1</x:v>
      </x:c>
      <x:c r="F80" s="16" t="n">
        <x:v>4</x:v>
      </x:c>
      <x:c r="G80" s="16" t="n">
        <x:v>6</x:v>
      </x:c>
      <x:c r="H80" s="16" t="n">
        <x:f>E80*F80*G80</x:f>
        <x:v>24</x:v>
      </x:c>
      <x:c r="I80" s="7" t="str">
        <x:v>RC03, FW01</x:v>
      </x:c>
      <x:c r="J80" s="7" t="str">
        <x:v>One opening per floor</x:v>
      </x:c>
      <x:c r="K80" s="2"/>
      <x:c r="L80" s="2"/>
      <x:c r="M80" s="2"/>
      <x:c r="N80" s="2"/>
      <x:c r="O80" s="2"/>
      <x:c r="P80" s="2"/>
      <x:c r="Q80" s="2"/>
    </x:row>
    <x:row r="81" ht="22" customHeight="1">
      <x:c r="A81" s="2" t="str">
        <x:v>T3-L10-OP02</x:v>
      </x:c>
      <x:c r="B81" s="2" t="str">
        <x:v>T3</x:v>
      </x:c>
      <x:c r="C81" s="2" t="n">
        <x:v>10</x:v>
      </x:c>
      <x:c r="D81" s="2" t="str">
        <x:v>Door openings</x:v>
      </x:c>
      <x:c r="E81" s="18" t="n">
        <x:v>28</x:v>
      </x:c>
      <x:c r="F81" s="18" t="n">
        <x:v>0.9</x:v>
      </x:c>
      <x:c r="G81" s="18" t="n">
        <x:v>2.1</x:v>
      </x:c>
      <x:c r="H81" s="18" t="n">
        <x:f>E81*F81*G81</x:f>
        <x:v>52.92</x:v>
      </x:c>
      <x:c r="I81" s="2" t="str">
        <x:v>AR01, AR02</x:v>
      </x:c>
      <x:c r="J81" s="2" t="str">
        <x:v>Same openings deducted from masonry and plaster</x:v>
      </x:c>
      <x:c r="K81" s="2"/>
      <x:c r="L81" s="2"/>
      <x:c r="M81" s="2"/>
      <x:c r="N81" s="2"/>
      <x:c r="O81" s="2"/>
      <x:c r="P81" s="2"/>
      <x:c r="Q81" s="2"/>
    </x:row>
    <x:row r="82" ht="22" customHeight="1">
      <x:c r="A82" s="7" t="str">
        <x:v>T3-L11-OP01</x:v>
      </x:c>
      <x:c r="B82" s="7" t="str">
        <x:v>T3</x:v>
      </x:c>
      <x:c r="C82" s="7" t="n">
        <x:v>11</x:v>
      </x:c>
      <x:c r="D82" s="7" t="str">
        <x:v>Stair core</x:v>
      </x:c>
      <x:c r="E82" s="16" t="n">
        <x:v>1</x:v>
      </x:c>
      <x:c r="F82" s="16" t="n">
        <x:v>4</x:v>
      </x:c>
      <x:c r="G82" s="16" t="n">
        <x:v>6</x:v>
      </x:c>
      <x:c r="H82" s="16" t="n">
        <x:f>E82*F82*G82</x:f>
        <x:v>24</x:v>
      </x:c>
      <x:c r="I82" s="7" t="str">
        <x:v>RC03, FW01</x:v>
      </x:c>
      <x:c r="J82" s="7" t="str">
        <x:v>One opening per floor</x:v>
      </x:c>
      <x:c r="K82" s="2"/>
      <x:c r="L82" s="2"/>
      <x:c r="M82" s="2"/>
      <x:c r="N82" s="2"/>
      <x:c r="O82" s="2"/>
      <x:c r="P82" s="2"/>
      <x:c r="Q82" s="2"/>
    </x:row>
    <x:row r="83" ht="22" customHeight="1">
      <x:c r="A83" s="2" t="str">
        <x:v>T3-L11-OP02</x:v>
      </x:c>
      <x:c r="B83" s="2" t="str">
        <x:v>T3</x:v>
      </x:c>
      <x:c r="C83" s="2" t="n">
        <x:v>11</x:v>
      </x:c>
      <x:c r="D83" s="2" t="str">
        <x:v>Door openings</x:v>
      </x:c>
      <x:c r="E83" s="18" t="n">
        <x:v>28</x:v>
      </x:c>
      <x:c r="F83" s="18" t="n">
        <x:v>0.9</x:v>
      </x:c>
      <x:c r="G83" s="18" t="n">
        <x:v>2.1</x:v>
      </x:c>
      <x:c r="H83" s="18" t="n">
        <x:f>E83*F83*G83</x:f>
        <x:v>52.92</x:v>
      </x:c>
      <x:c r="I83" s="2" t="str">
        <x:v>AR01, AR02</x:v>
      </x:c>
      <x:c r="J83" s="2" t="str">
        <x:v>Same openings deducted from masonry and plaster</x:v>
      </x:c>
      <x:c r="K83" s="2"/>
      <x:c r="L83" s="2"/>
      <x:c r="M83" s="2"/>
      <x:c r="N83" s="2"/>
      <x:c r="O83" s="2"/>
      <x:c r="P83" s="2"/>
      <x:c r="Q83" s="2"/>
    </x:row>
    <x:row r="84" ht="22" customHeight="1">
      <x:c r="A84" s="7" t="str">
        <x:v>T3-L12-OP01</x:v>
      </x:c>
      <x:c r="B84" s="7" t="str">
        <x:v>T3</x:v>
      </x:c>
      <x:c r="C84" s="7" t="n">
        <x:v>12</x:v>
      </x:c>
      <x:c r="D84" s="7" t="str">
        <x:v>Stair core</x:v>
      </x:c>
      <x:c r="E84" s="16" t="n">
        <x:v>1</x:v>
      </x:c>
      <x:c r="F84" s="16" t="n">
        <x:v>4</x:v>
      </x:c>
      <x:c r="G84" s="16" t="n">
        <x:v>6</x:v>
      </x:c>
      <x:c r="H84" s="16" t="n">
        <x:f>E84*F84*G84</x:f>
        <x:v>24</x:v>
      </x:c>
      <x:c r="I84" s="7" t="str">
        <x:v>RC03, FW01</x:v>
      </x:c>
      <x:c r="J84" s="7" t="str">
        <x:v>One opening per floor</x:v>
      </x:c>
      <x:c r="K84" s="2"/>
      <x:c r="L84" s="2"/>
      <x:c r="M84" s="2"/>
      <x:c r="N84" s="2"/>
      <x:c r="O84" s="2"/>
      <x:c r="P84" s="2"/>
      <x:c r="Q84" s="2"/>
    </x:row>
    <x:row r="85" ht="22" customHeight="1">
      <x:c r="A85" s="2" t="str">
        <x:v>T3-L12-OP02</x:v>
      </x:c>
      <x:c r="B85" s="2" t="str">
        <x:v>T3</x:v>
      </x:c>
      <x:c r="C85" s="2" t="n">
        <x:v>12</x:v>
      </x:c>
      <x:c r="D85" s="2" t="str">
        <x:v>Door openings</x:v>
      </x:c>
      <x:c r="E85" s="18" t="n">
        <x:v>28</x:v>
      </x:c>
      <x:c r="F85" s="18" t="n">
        <x:v>0.9</x:v>
      </x:c>
      <x:c r="G85" s="18" t="n">
        <x:v>2.1</x:v>
      </x:c>
      <x:c r="H85" s="18" t="n">
        <x:f>E85*F85*G85</x:f>
        <x:v>52.92</x:v>
      </x:c>
      <x:c r="I85" s="2" t="str">
        <x:v>AR01, AR02</x:v>
      </x:c>
      <x:c r="J85" s="2" t="str">
        <x:v>Same openings deducted from masonry and plaster</x:v>
      </x:c>
      <x:c r="K85" s="2"/>
      <x:c r="L85" s="2"/>
      <x:c r="M85" s="2"/>
      <x:c r="N85" s="2"/>
      <x:c r="O85" s="2"/>
      <x:c r="P85" s="2"/>
      <x:c r="Q85" s="2"/>
    </x:row>
    <x:row r="86" ht="22" customHeight="1">
      <x:c r="A86" s="7" t="str">
        <x:v>T4-L00-OP01</x:v>
      </x:c>
      <x:c r="B86" s="7" t="str">
        <x:v>T4</x:v>
      </x:c>
      <x:c r="C86" s="7" t="n">
        <x:v>0</x:v>
      </x:c>
      <x:c r="D86" s="7" t="str">
        <x:v>Stair core</x:v>
      </x:c>
      <x:c r="E86" s="16" t="n">
        <x:v>1</x:v>
      </x:c>
      <x:c r="F86" s="16" t="n">
        <x:v>4</x:v>
      </x:c>
      <x:c r="G86" s="16" t="n">
        <x:v>6</x:v>
      </x:c>
      <x:c r="H86" s="16" t="n">
        <x:f>E86*F86*G86</x:f>
        <x:v>24</x:v>
      </x:c>
      <x:c r="I86" s="7" t="str">
        <x:v>RC03, FW01</x:v>
      </x:c>
      <x:c r="J86" s="7" t="str">
        <x:v>One opening per floor</x:v>
      </x:c>
      <x:c r="K86" s="2"/>
      <x:c r="L86" s="2"/>
      <x:c r="M86" s="2"/>
      <x:c r="N86" s="2"/>
      <x:c r="O86" s="2"/>
      <x:c r="P86" s="2"/>
      <x:c r="Q86" s="2"/>
    </x:row>
    <x:row r="87" ht="22" customHeight="1">
      <x:c r="A87" s="2" t="str">
        <x:v>T4-L00-OP02</x:v>
      </x:c>
      <x:c r="B87" s="2" t="str">
        <x:v>T4</x:v>
      </x:c>
      <x:c r="C87" s="2" t="n">
        <x:v>0</x:v>
      </x:c>
      <x:c r="D87" s="2" t="str">
        <x:v>Door openings</x:v>
      </x:c>
      <x:c r="E87" s="18" t="n">
        <x:v>28</x:v>
      </x:c>
      <x:c r="F87" s="18" t="n">
        <x:v>0.9</x:v>
      </x:c>
      <x:c r="G87" s="18" t="n">
        <x:v>2.1</x:v>
      </x:c>
      <x:c r="H87" s="18" t="n">
        <x:f>E87*F87*G87</x:f>
        <x:v>52.92</x:v>
      </x:c>
      <x:c r="I87" s="2" t="str">
        <x:v>AR01, AR02</x:v>
      </x:c>
      <x:c r="J87" s="2" t="str">
        <x:v>Same openings deducted from masonry and plaster</x:v>
      </x:c>
      <x:c r="K87" s="2"/>
      <x:c r="L87" s="2"/>
      <x:c r="M87" s="2"/>
      <x:c r="N87" s="2"/>
      <x:c r="O87" s="2"/>
      <x:c r="P87" s="2"/>
      <x:c r="Q87" s="2"/>
    </x:row>
    <x:row r="88" ht="22" customHeight="1">
      <x:c r="A88" s="7" t="str">
        <x:v>T4-L01-OP01</x:v>
      </x:c>
      <x:c r="B88" s="7" t="str">
        <x:v>T4</x:v>
      </x:c>
      <x:c r="C88" s="7" t="n">
        <x:v>1</x:v>
      </x:c>
      <x:c r="D88" s="7" t="str">
        <x:v>Stair core</x:v>
      </x:c>
      <x:c r="E88" s="16" t="n">
        <x:v>1</x:v>
      </x:c>
      <x:c r="F88" s="16" t="n">
        <x:v>4</x:v>
      </x:c>
      <x:c r="G88" s="16" t="n">
        <x:v>6</x:v>
      </x:c>
      <x:c r="H88" s="16" t="n">
        <x:f>E88*F88*G88</x:f>
        <x:v>24</x:v>
      </x:c>
      <x:c r="I88" s="7" t="str">
        <x:v>RC03, FW01</x:v>
      </x:c>
      <x:c r="J88" s="7" t="str">
        <x:v>One opening per floor</x:v>
      </x:c>
      <x:c r="K88" s="2"/>
      <x:c r="L88" s="2"/>
      <x:c r="M88" s="2"/>
      <x:c r="N88" s="2"/>
      <x:c r="O88" s="2"/>
      <x:c r="P88" s="2"/>
      <x:c r="Q88" s="2"/>
    </x:row>
    <x:row r="89" ht="22" customHeight="1">
      <x:c r="A89" s="2" t="str">
        <x:v>T4-L01-OP02</x:v>
      </x:c>
      <x:c r="B89" s="2" t="str">
        <x:v>T4</x:v>
      </x:c>
      <x:c r="C89" s="2" t="n">
        <x:v>1</x:v>
      </x:c>
      <x:c r="D89" s="2" t="str">
        <x:v>Door openings</x:v>
      </x:c>
      <x:c r="E89" s="18" t="n">
        <x:v>28</x:v>
      </x:c>
      <x:c r="F89" s="18" t="n">
        <x:v>0.9</x:v>
      </x:c>
      <x:c r="G89" s="18" t="n">
        <x:v>2.1</x:v>
      </x:c>
      <x:c r="H89" s="18" t="n">
        <x:f>E89*F89*G89</x:f>
        <x:v>52.92</x:v>
      </x:c>
      <x:c r="I89" s="2" t="str">
        <x:v>AR01, AR02</x:v>
      </x:c>
      <x:c r="J89" s="2" t="str">
        <x:v>Same openings deducted from masonry and plaster</x:v>
      </x:c>
      <x:c r="K89" s="2"/>
      <x:c r="L89" s="2"/>
      <x:c r="M89" s="2"/>
      <x:c r="N89" s="2"/>
      <x:c r="O89" s="2"/>
      <x:c r="P89" s="2"/>
      <x:c r="Q89" s="2"/>
    </x:row>
    <x:row r="90" ht="22" customHeight="1">
      <x:c r="A90" s="7" t="str">
        <x:v>T4-L02-OP01</x:v>
      </x:c>
      <x:c r="B90" s="7" t="str">
        <x:v>T4</x:v>
      </x:c>
      <x:c r="C90" s="7" t="n">
        <x:v>2</x:v>
      </x:c>
      <x:c r="D90" s="7" t="str">
        <x:v>Stair core</x:v>
      </x:c>
      <x:c r="E90" s="16" t="n">
        <x:v>1</x:v>
      </x:c>
      <x:c r="F90" s="16" t="n">
        <x:v>4</x:v>
      </x:c>
      <x:c r="G90" s="16" t="n">
        <x:v>6</x:v>
      </x:c>
      <x:c r="H90" s="16" t="n">
        <x:f>E90*F90*G90</x:f>
        <x:v>24</x:v>
      </x:c>
      <x:c r="I90" s="7" t="str">
        <x:v>RC03, FW01</x:v>
      </x:c>
      <x:c r="J90" s="7" t="str">
        <x:v>One opening per floor</x:v>
      </x:c>
      <x:c r="K90" s="2"/>
      <x:c r="L90" s="2"/>
      <x:c r="M90" s="2"/>
      <x:c r="N90" s="2"/>
      <x:c r="O90" s="2"/>
      <x:c r="P90" s="2"/>
      <x:c r="Q90" s="2"/>
    </x:row>
    <x:row r="91" ht="22" customHeight="1">
      <x:c r="A91" s="2" t="str">
        <x:v>T4-L02-OP02</x:v>
      </x:c>
      <x:c r="B91" s="2" t="str">
        <x:v>T4</x:v>
      </x:c>
      <x:c r="C91" s="2" t="n">
        <x:v>2</x:v>
      </x:c>
      <x:c r="D91" s="2" t="str">
        <x:v>Door openings</x:v>
      </x:c>
      <x:c r="E91" s="18" t="n">
        <x:v>28</x:v>
      </x:c>
      <x:c r="F91" s="18" t="n">
        <x:v>0.9</x:v>
      </x:c>
      <x:c r="G91" s="18" t="n">
        <x:v>2.1</x:v>
      </x:c>
      <x:c r="H91" s="18" t="n">
        <x:f>E91*F91*G91</x:f>
        <x:v>52.92</x:v>
      </x:c>
      <x:c r="I91" s="2" t="str">
        <x:v>AR01, AR02</x:v>
      </x:c>
      <x:c r="J91" s="2" t="str">
        <x:v>Same openings deducted from masonry and plaster</x:v>
      </x:c>
      <x:c r="K91" s="2"/>
      <x:c r="L91" s="2"/>
      <x:c r="M91" s="2"/>
      <x:c r="N91" s="2"/>
      <x:c r="O91" s="2"/>
      <x:c r="P91" s="2"/>
      <x:c r="Q91" s="2"/>
    </x:row>
    <x:row r="92" ht="22" customHeight="1">
      <x:c r="A92" s="7" t="str">
        <x:v>T4-L03-OP01</x:v>
      </x:c>
      <x:c r="B92" s="7" t="str">
        <x:v>T4</x:v>
      </x:c>
      <x:c r="C92" s="7" t="n">
        <x:v>3</x:v>
      </x:c>
      <x:c r="D92" s="7" t="str">
        <x:v>Stair core</x:v>
      </x:c>
      <x:c r="E92" s="16" t="n">
        <x:v>1</x:v>
      </x:c>
      <x:c r="F92" s="16" t="n">
        <x:v>4</x:v>
      </x:c>
      <x:c r="G92" s="16" t="n">
        <x:v>6</x:v>
      </x:c>
      <x:c r="H92" s="16" t="n">
        <x:f>E92*F92*G92</x:f>
        <x:v>24</x:v>
      </x:c>
      <x:c r="I92" s="7" t="str">
        <x:v>RC03, FW01</x:v>
      </x:c>
      <x:c r="J92" s="7" t="str">
        <x:v>One opening per floor</x:v>
      </x:c>
      <x:c r="K92" s="2"/>
      <x:c r="L92" s="2"/>
      <x:c r="M92" s="2"/>
      <x:c r="N92" s="2"/>
      <x:c r="O92" s="2"/>
      <x:c r="P92" s="2"/>
      <x:c r="Q92" s="2"/>
    </x:row>
    <x:row r="93" ht="22" customHeight="1">
      <x:c r="A93" s="2" t="str">
        <x:v>T4-L03-OP02</x:v>
      </x:c>
      <x:c r="B93" s="2" t="str">
        <x:v>T4</x:v>
      </x:c>
      <x:c r="C93" s="2" t="n">
        <x:v>3</x:v>
      </x:c>
      <x:c r="D93" s="2" t="str">
        <x:v>Door openings</x:v>
      </x:c>
      <x:c r="E93" s="18" t="n">
        <x:v>28</x:v>
      </x:c>
      <x:c r="F93" s="18" t="n">
        <x:v>0.9</x:v>
      </x:c>
      <x:c r="G93" s="18" t="n">
        <x:v>2.1</x:v>
      </x:c>
      <x:c r="H93" s="18" t="n">
        <x:f>E93*F93*G93</x:f>
        <x:v>52.92</x:v>
      </x:c>
      <x:c r="I93" s="2" t="str">
        <x:v>AR01, AR02</x:v>
      </x:c>
      <x:c r="J93" s="2" t="str">
        <x:v>Same openings deducted from masonry and plaster</x:v>
      </x:c>
      <x:c r="K93" s="2"/>
      <x:c r="L93" s="2"/>
      <x:c r="M93" s="2"/>
      <x:c r="N93" s="2"/>
      <x:c r="O93" s="2"/>
      <x:c r="P93" s="2"/>
      <x:c r="Q93" s="2"/>
    </x:row>
    <x:row r="94" ht="22" customHeight="1">
      <x:c r="A94" s="7" t="str">
        <x:v>T4-L04-OP01</x:v>
      </x:c>
      <x:c r="B94" s="7" t="str">
        <x:v>T4</x:v>
      </x:c>
      <x:c r="C94" s="7" t="n">
        <x:v>4</x:v>
      </x:c>
      <x:c r="D94" s="7" t="str">
        <x:v>Stair core</x:v>
      </x:c>
      <x:c r="E94" s="16" t="n">
        <x:v>1</x:v>
      </x:c>
      <x:c r="F94" s="16" t="n">
        <x:v>4</x:v>
      </x:c>
      <x:c r="G94" s="16" t="n">
        <x:v>6</x:v>
      </x:c>
      <x:c r="H94" s="16" t="n">
        <x:f>E94*F94*G94</x:f>
        <x:v>24</x:v>
      </x:c>
      <x:c r="I94" s="7" t="str">
        <x:v>RC03, FW01</x:v>
      </x:c>
      <x:c r="J94" s="7" t="str">
        <x:v>One opening per floor</x:v>
      </x:c>
      <x:c r="K94" s="2"/>
      <x:c r="L94" s="2"/>
      <x:c r="M94" s="2"/>
      <x:c r="N94" s="2"/>
      <x:c r="O94" s="2"/>
      <x:c r="P94" s="2"/>
      <x:c r="Q94" s="2"/>
    </x:row>
    <x:row r="95" ht="22" customHeight="1">
      <x:c r="A95" s="2" t="str">
        <x:v>T4-L04-OP02</x:v>
      </x:c>
      <x:c r="B95" s="2" t="str">
        <x:v>T4</x:v>
      </x:c>
      <x:c r="C95" s="2" t="n">
        <x:v>4</x:v>
      </x:c>
      <x:c r="D95" s="2" t="str">
        <x:v>Door openings</x:v>
      </x:c>
      <x:c r="E95" s="18" t="n">
        <x:v>28</x:v>
      </x:c>
      <x:c r="F95" s="18" t="n">
        <x:v>0.9</x:v>
      </x:c>
      <x:c r="G95" s="18" t="n">
        <x:v>2.1</x:v>
      </x:c>
      <x:c r="H95" s="18" t="n">
        <x:f>E95*F95*G95</x:f>
        <x:v>52.92</x:v>
      </x:c>
      <x:c r="I95" s="2" t="str">
        <x:v>AR01, AR02</x:v>
      </x:c>
      <x:c r="J95" s="2" t="str">
        <x:v>Same openings deducted from masonry and plaster</x:v>
      </x:c>
      <x:c r="K95" s="2"/>
      <x:c r="L95" s="2"/>
      <x:c r="M95" s="2"/>
      <x:c r="N95" s="2"/>
      <x:c r="O95" s="2"/>
      <x:c r="P95" s="2"/>
      <x:c r="Q95" s="2"/>
    </x:row>
    <x:row r="96" ht="22" customHeight="1">
      <x:c r="A96" s="7" t="str">
        <x:v>T4-L05-OP01</x:v>
      </x:c>
      <x:c r="B96" s="7" t="str">
        <x:v>T4</x:v>
      </x:c>
      <x:c r="C96" s="7" t="n">
        <x:v>5</x:v>
      </x:c>
      <x:c r="D96" s="7" t="str">
        <x:v>Stair core</x:v>
      </x:c>
      <x:c r="E96" s="16" t="n">
        <x:v>1</x:v>
      </x:c>
      <x:c r="F96" s="16" t="n">
        <x:v>4</x:v>
      </x:c>
      <x:c r="G96" s="16" t="n">
        <x:v>6</x:v>
      </x:c>
      <x:c r="H96" s="16" t="n">
        <x:f>E96*F96*G96</x:f>
        <x:v>24</x:v>
      </x:c>
      <x:c r="I96" s="7" t="str">
        <x:v>RC03, FW01</x:v>
      </x:c>
      <x:c r="J96" s="7" t="str">
        <x:v>One opening per floor</x:v>
      </x:c>
      <x:c r="K96" s="2"/>
      <x:c r="L96" s="2"/>
      <x:c r="M96" s="2"/>
      <x:c r="N96" s="2"/>
      <x:c r="O96" s="2"/>
      <x:c r="P96" s="2"/>
      <x:c r="Q96" s="2"/>
    </x:row>
    <x:row r="97" ht="22" customHeight="1">
      <x:c r="A97" s="2" t="str">
        <x:v>T4-L05-OP02</x:v>
      </x:c>
      <x:c r="B97" s="2" t="str">
        <x:v>T4</x:v>
      </x:c>
      <x:c r="C97" s="2" t="n">
        <x:v>5</x:v>
      </x:c>
      <x:c r="D97" s="2" t="str">
        <x:v>Door openings</x:v>
      </x:c>
      <x:c r="E97" s="18" t="n">
        <x:v>28</x:v>
      </x:c>
      <x:c r="F97" s="18" t="n">
        <x:v>0.9</x:v>
      </x:c>
      <x:c r="G97" s="18" t="n">
        <x:v>2.1</x:v>
      </x:c>
      <x:c r="H97" s="18" t="n">
        <x:f>E97*F97*G97</x:f>
        <x:v>52.92</x:v>
      </x:c>
      <x:c r="I97" s="2" t="str">
        <x:v>AR01, AR02</x:v>
      </x:c>
      <x:c r="J97" s="2" t="str">
        <x:v>Same openings deducted from masonry and plaster</x:v>
      </x:c>
      <x:c r="K97" s="2"/>
      <x:c r="L97" s="2"/>
      <x:c r="M97" s="2"/>
      <x:c r="N97" s="2"/>
      <x:c r="O97" s="2"/>
      <x:c r="P97" s="2"/>
      <x:c r="Q97" s="2"/>
    </x:row>
    <x:row r="98" ht="22" customHeight="1">
      <x:c r="A98" s="7" t="str">
        <x:v>T4-L06-OP01</x:v>
      </x:c>
      <x:c r="B98" s="7" t="str">
        <x:v>T4</x:v>
      </x:c>
      <x:c r="C98" s="7" t="n">
        <x:v>6</x:v>
      </x:c>
      <x:c r="D98" s="7" t="str">
        <x:v>Stair core</x:v>
      </x:c>
      <x:c r="E98" s="16" t="n">
        <x:v>1</x:v>
      </x:c>
      <x:c r="F98" s="16" t="n">
        <x:v>4</x:v>
      </x:c>
      <x:c r="G98" s="16" t="n">
        <x:v>6</x:v>
      </x:c>
      <x:c r="H98" s="16" t="n">
        <x:f>E98*F98*G98</x:f>
        <x:v>24</x:v>
      </x:c>
      <x:c r="I98" s="7" t="str">
        <x:v>RC03, FW01</x:v>
      </x:c>
      <x:c r="J98" s="7" t="str">
        <x:v>One opening per floor</x:v>
      </x:c>
      <x:c r="K98" s="2"/>
      <x:c r="L98" s="2"/>
      <x:c r="M98" s="2"/>
      <x:c r="N98" s="2"/>
      <x:c r="O98" s="2"/>
      <x:c r="P98" s="2"/>
      <x:c r="Q98" s="2"/>
    </x:row>
    <x:row r="99" ht="22" customHeight="1">
      <x:c r="A99" s="2" t="str">
        <x:v>T4-L06-OP02</x:v>
      </x:c>
      <x:c r="B99" s="2" t="str">
        <x:v>T4</x:v>
      </x:c>
      <x:c r="C99" s="2" t="n">
        <x:v>6</x:v>
      </x:c>
      <x:c r="D99" s="2" t="str">
        <x:v>Door openings</x:v>
      </x:c>
      <x:c r="E99" s="18" t="n">
        <x:v>28</x:v>
      </x:c>
      <x:c r="F99" s="18" t="n">
        <x:v>0.9</x:v>
      </x:c>
      <x:c r="G99" s="18" t="n">
        <x:v>2.1</x:v>
      </x:c>
      <x:c r="H99" s="18" t="n">
        <x:f>E99*F99*G99</x:f>
        <x:v>52.92</x:v>
      </x:c>
      <x:c r="I99" s="2" t="str">
        <x:v>AR01, AR02</x:v>
      </x:c>
      <x:c r="J99" s="2" t="str">
        <x:v>Same openings deducted from masonry and plaster</x:v>
      </x:c>
      <x:c r="K99" s="2"/>
      <x:c r="L99" s="2"/>
      <x:c r="M99" s="2"/>
      <x:c r="N99" s="2"/>
      <x:c r="O99" s="2"/>
      <x:c r="P99" s="2"/>
      <x:c r="Q99" s="2"/>
    </x:row>
    <x:row r="100" ht="22" customHeight="1">
      <x:c r="A100" s="7" t="str">
        <x:v>T4-L07-OP01</x:v>
      </x:c>
      <x:c r="B100" s="7" t="str">
        <x:v>T4</x:v>
      </x:c>
      <x:c r="C100" s="7" t="n">
        <x:v>7</x:v>
      </x:c>
      <x:c r="D100" s="7" t="str">
        <x:v>Stair core</x:v>
      </x:c>
      <x:c r="E100" s="16" t="n">
        <x:v>1</x:v>
      </x:c>
      <x:c r="F100" s="16" t="n">
        <x:v>4</x:v>
      </x:c>
      <x:c r="G100" s="16" t="n">
        <x:v>6</x:v>
      </x:c>
      <x:c r="H100" s="16" t="n">
        <x:f>E100*F100*G100</x:f>
        <x:v>24</x:v>
      </x:c>
      <x:c r="I100" s="7" t="str">
        <x:v>RC03, FW01</x:v>
      </x:c>
      <x:c r="J100" s="7" t="str">
        <x:v>One opening per floor</x:v>
      </x:c>
      <x:c r="K100" s="2"/>
      <x:c r="L100" s="2"/>
      <x:c r="M100" s="2"/>
      <x:c r="N100" s="2"/>
      <x:c r="O100" s="2"/>
      <x:c r="P100" s="2"/>
      <x:c r="Q100" s="2"/>
    </x:row>
    <x:row r="101" ht="22" customHeight="1">
      <x:c r="A101" s="2" t="str">
        <x:v>T4-L07-OP02</x:v>
      </x:c>
      <x:c r="B101" s="2" t="str">
        <x:v>T4</x:v>
      </x:c>
      <x:c r="C101" s="2" t="n">
        <x:v>7</x:v>
      </x:c>
      <x:c r="D101" s="2" t="str">
        <x:v>Door openings</x:v>
      </x:c>
      <x:c r="E101" s="18" t="n">
        <x:v>28</x:v>
      </x:c>
      <x:c r="F101" s="18" t="n">
        <x:v>0.9</x:v>
      </x:c>
      <x:c r="G101" s="18" t="n">
        <x:v>2.1</x:v>
      </x:c>
      <x:c r="H101" s="18" t="n">
        <x:f>E101*F101*G101</x:f>
        <x:v>52.92</x:v>
      </x:c>
      <x:c r="I101" s="2" t="str">
        <x:v>AR01, AR02</x:v>
      </x:c>
      <x:c r="J101" s="2" t="str">
        <x:v>Same openings deducted from masonry and plaster</x:v>
      </x:c>
      <x:c r="K101" s="2"/>
      <x:c r="L101" s="2"/>
      <x:c r="M101" s="2"/>
      <x:c r="N101" s="2"/>
      <x:c r="O101" s="2"/>
      <x:c r="P101" s="2"/>
      <x:c r="Q101" s="2"/>
    </x:row>
    <x:row r="102" ht="22" customHeight="1">
      <x:c r="A102" s="7" t="str">
        <x:v>T4-L08-OP01</x:v>
      </x:c>
      <x:c r="B102" s="7" t="str">
        <x:v>T4</x:v>
      </x:c>
      <x:c r="C102" s="7" t="n">
        <x:v>8</x:v>
      </x:c>
      <x:c r="D102" s="7" t="str">
        <x:v>Stair core</x:v>
      </x:c>
      <x:c r="E102" s="16" t="n">
        <x:v>1</x:v>
      </x:c>
      <x:c r="F102" s="16" t="n">
        <x:v>4</x:v>
      </x:c>
      <x:c r="G102" s="16" t="n">
        <x:v>6</x:v>
      </x:c>
      <x:c r="H102" s="16" t="n">
        <x:f>E102*F102*G102</x:f>
        <x:v>24</x:v>
      </x:c>
      <x:c r="I102" s="7" t="str">
        <x:v>RC03, FW01</x:v>
      </x:c>
      <x:c r="J102" s="7" t="str">
        <x:v>One opening per floor</x:v>
      </x:c>
      <x:c r="K102" s="2"/>
      <x:c r="L102" s="2"/>
      <x:c r="M102" s="2"/>
      <x:c r="N102" s="2"/>
      <x:c r="O102" s="2"/>
      <x:c r="P102" s="2"/>
      <x:c r="Q102" s="2"/>
    </x:row>
    <x:row r="103" ht="22" customHeight="1">
      <x:c r="A103" s="2" t="str">
        <x:v>T4-L08-OP02</x:v>
      </x:c>
      <x:c r="B103" s="2" t="str">
        <x:v>T4</x:v>
      </x:c>
      <x:c r="C103" s="2" t="n">
        <x:v>8</x:v>
      </x:c>
      <x:c r="D103" s="2" t="str">
        <x:v>Door openings</x:v>
      </x:c>
      <x:c r="E103" s="18" t="n">
        <x:v>28</x:v>
      </x:c>
      <x:c r="F103" s="18" t="n">
        <x:v>0.9</x:v>
      </x:c>
      <x:c r="G103" s="18" t="n">
        <x:v>2.1</x:v>
      </x:c>
      <x:c r="H103" s="18" t="n">
        <x:f>E103*F103*G103</x:f>
        <x:v>52.92</x:v>
      </x:c>
      <x:c r="I103" s="2" t="str">
        <x:v>AR01, AR02</x:v>
      </x:c>
      <x:c r="J103" s="2" t="str">
        <x:v>Same openings deducted from masonry and plaster</x:v>
      </x:c>
      <x:c r="K103" s="2"/>
      <x:c r="L103" s="2"/>
      <x:c r="M103" s="2"/>
      <x:c r="N103" s="2"/>
      <x:c r="O103" s="2"/>
      <x:c r="P103" s="2"/>
      <x:c r="Q103" s="2"/>
    </x:row>
    <x:row r="104" ht="22" customHeight="1">
      <x:c r="A104" s="7" t="str">
        <x:v>T4-L09-OP01</x:v>
      </x:c>
      <x:c r="B104" s="7" t="str">
        <x:v>T4</x:v>
      </x:c>
      <x:c r="C104" s="7" t="n">
        <x:v>9</x:v>
      </x:c>
      <x:c r="D104" s="7" t="str">
        <x:v>Stair core</x:v>
      </x:c>
      <x:c r="E104" s="16" t="n">
        <x:v>1</x:v>
      </x:c>
      <x:c r="F104" s="16" t="n">
        <x:v>4</x:v>
      </x:c>
      <x:c r="G104" s="16" t="n">
        <x:v>6</x:v>
      </x:c>
      <x:c r="H104" s="16" t="n">
        <x:f>E104*F104*G104</x:f>
        <x:v>24</x:v>
      </x:c>
      <x:c r="I104" s="7" t="str">
        <x:v>RC03, FW01</x:v>
      </x:c>
      <x:c r="J104" s="7" t="str">
        <x:v>One opening per floor</x:v>
      </x:c>
      <x:c r="K104" s="2"/>
      <x:c r="L104" s="2"/>
      <x:c r="M104" s="2"/>
      <x:c r="N104" s="2"/>
      <x:c r="O104" s="2"/>
      <x:c r="P104" s="2"/>
      <x:c r="Q104" s="2"/>
    </x:row>
    <x:row r="105" ht="22" customHeight="1">
      <x:c r="A105" s="2" t="str">
        <x:v>T4-L09-OP02</x:v>
      </x:c>
      <x:c r="B105" s="2" t="str">
        <x:v>T4</x:v>
      </x:c>
      <x:c r="C105" s="2" t="n">
        <x:v>9</x:v>
      </x:c>
      <x:c r="D105" s="2" t="str">
        <x:v>Door openings</x:v>
      </x:c>
      <x:c r="E105" s="18" t="n">
        <x:v>28</x:v>
      </x:c>
      <x:c r="F105" s="18" t="n">
        <x:v>0.9</x:v>
      </x:c>
      <x:c r="G105" s="18" t="n">
        <x:v>2.1</x:v>
      </x:c>
      <x:c r="H105" s="18" t="n">
        <x:f>E105*F105*G105</x:f>
        <x:v>52.92</x:v>
      </x:c>
      <x:c r="I105" s="2" t="str">
        <x:v>AR01, AR02</x:v>
      </x:c>
      <x:c r="J105" s="2" t="str">
        <x:v>Same openings deducted from masonry and plaster</x:v>
      </x:c>
      <x:c r="K105" s="2"/>
      <x:c r="L105" s="2"/>
      <x:c r="M105" s="2"/>
      <x:c r="N105" s="2"/>
      <x:c r="O105" s="2"/>
      <x:c r="P105" s="2"/>
      <x:c r="Q105" s="2"/>
    </x:row>
    <x:row r="106" ht="22" customHeight="1">
      <x:c r="A106" s="7" t="str">
        <x:v>T4-L10-OP01</x:v>
      </x:c>
      <x:c r="B106" s="7" t="str">
        <x:v>T4</x:v>
      </x:c>
      <x:c r="C106" s="7" t="n">
        <x:v>10</x:v>
      </x:c>
      <x:c r="D106" s="7" t="str">
        <x:v>Stair core</x:v>
      </x:c>
      <x:c r="E106" s="16" t="n">
        <x:v>1</x:v>
      </x:c>
      <x:c r="F106" s="16" t="n">
        <x:v>4</x:v>
      </x:c>
      <x:c r="G106" s="16" t="n">
        <x:v>6</x:v>
      </x:c>
      <x:c r="H106" s="16" t="n">
        <x:f>E106*F106*G106</x:f>
        <x:v>24</x:v>
      </x:c>
      <x:c r="I106" s="7" t="str">
        <x:v>RC03, FW01</x:v>
      </x:c>
      <x:c r="J106" s="7" t="str">
        <x:v>One opening per floor</x:v>
      </x:c>
      <x:c r="K106" s="2"/>
      <x:c r="L106" s="2"/>
      <x:c r="M106" s="2"/>
      <x:c r="N106" s="2"/>
      <x:c r="O106" s="2"/>
      <x:c r="P106" s="2"/>
      <x:c r="Q106" s="2"/>
    </x:row>
    <x:row r="107" ht="22" customHeight="1">
      <x:c r="A107" s="2" t="str">
        <x:v>T4-L10-OP02</x:v>
      </x:c>
      <x:c r="B107" s="2" t="str">
        <x:v>T4</x:v>
      </x:c>
      <x:c r="C107" s="2" t="n">
        <x:v>10</x:v>
      </x:c>
      <x:c r="D107" s="2" t="str">
        <x:v>Door openings</x:v>
      </x:c>
      <x:c r="E107" s="18" t="n">
        <x:v>28</x:v>
      </x:c>
      <x:c r="F107" s="18" t="n">
        <x:v>0.9</x:v>
      </x:c>
      <x:c r="G107" s="18" t="n">
        <x:v>2.1</x:v>
      </x:c>
      <x:c r="H107" s="18" t="n">
        <x:f>E107*F107*G107</x:f>
        <x:v>52.92</x:v>
      </x:c>
      <x:c r="I107" s="2" t="str">
        <x:v>AR01, AR02</x:v>
      </x:c>
      <x:c r="J107" s="2" t="str">
        <x:v>Same openings deducted from masonry and plaster</x:v>
      </x:c>
      <x:c r="K107" s="2"/>
      <x:c r="L107" s="2"/>
      <x:c r="M107" s="2"/>
      <x:c r="N107" s="2"/>
      <x:c r="O107" s="2"/>
      <x:c r="P107" s="2"/>
      <x:c r="Q107" s="2"/>
    </x:row>
    <x:row r="108" ht="22" customHeight="1">
      <x:c r="A108" s="7" t="str">
        <x:v>T4-L11-OP01</x:v>
      </x:c>
      <x:c r="B108" s="7" t="str">
        <x:v>T4</x:v>
      </x:c>
      <x:c r="C108" s="7" t="n">
        <x:v>11</x:v>
      </x:c>
      <x:c r="D108" s="7" t="str">
        <x:v>Stair core</x:v>
      </x:c>
      <x:c r="E108" s="16" t="n">
        <x:v>1</x:v>
      </x:c>
      <x:c r="F108" s="16" t="n">
        <x:v>4</x:v>
      </x:c>
      <x:c r="G108" s="16" t="n">
        <x:v>6</x:v>
      </x:c>
      <x:c r="H108" s="16" t="n">
        <x:f>E108*F108*G108</x:f>
        <x:v>24</x:v>
      </x:c>
      <x:c r="I108" s="7" t="str">
        <x:v>RC03, FW01</x:v>
      </x:c>
      <x:c r="J108" s="7" t="str">
        <x:v>One opening per floor</x:v>
      </x:c>
      <x:c r="K108" s="2"/>
      <x:c r="L108" s="2"/>
      <x:c r="M108" s="2"/>
      <x:c r="N108" s="2"/>
      <x:c r="O108" s="2"/>
      <x:c r="P108" s="2"/>
      <x:c r="Q108" s="2"/>
    </x:row>
    <x:row r="109" ht="22" customHeight="1">
      <x:c r="A109" s="2" t="str">
        <x:v>T4-L11-OP02</x:v>
      </x:c>
      <x:c r="B109" s="2" t="str">
        <x:v>T4</x:v>
      </x:c>
      <x:c r="C109" s="2" t="n">
        <x:v>11</x:v>
      </x:c>
      <x:c r="D109" s="2" t="str">
        <x:v>Door openings</x:v>
      </x:c>
      <x:c r="E109" s="18" t="n">
        <x:v>28</x:v>
      </x:c>
      <x:c r="F109" s="18" t="n">
        <x:v>0.9</x:v>
      </x:c>
      <x:c r="G109" s="18" t="n">
        <x:v>2.1</x:v>
      </x:c>
      <x:c r="H109" s="18" t="n">
        <x:f>E109*F109*G109</x:f>
        <x:v>52.92</x:v>
      </x:c>
      <x:c r="I109" s="2" t="str">
        <x:v>AR01, AR02</x:v>
      </x:c>
      <x:c r="J109" s="2" t="str">
        <x:v>Same openings deducted from masonry and plaster</x:v>
      </x:c>
      <x:c r="K109" s="2"/>
      <x:c r="L109" s="2"/>
      <x:c r="M109" s="2"/>
      <x:c r="N109" s="2"/>
      <x:c r="O109" s="2"/>
      <x:c r="P109" s="2"/>
      <x:c r="Q109" s="2"/>
    </x:row>
    <x:row r="110" ht="22" customHeight="1">
      <x:c r="A110" s="7" t="str">
        <x:v>T4-L12-OP01</x:v>
      </x:c>
      <x:c r="B110" s="7" t="str">
        <x:v>T4</x:v>
      </x:c>
      <x:c r="C110" s="7" t="n">
        <x:v>12</x:v>
      </x:c>
      <x:c r="D110" s="7" t="str">
        <x:v>Stair core</x:v>
      </x:c>
      <x:c r="E110" s="16" t="n">
        <x:v>1</x:v>
      </x:c>
      <x:c r="F110" s="16" t="n">
        <x:v>4</x:v>
      </x:c>
      <x:c r="G110" s="16" t="n">
        <x:v>6</x:v>
      </x:c>
      <x:c r="H110" s="16" t="n">
        <x:f>E110*F110*G110</x:f>
        <x:v>24</x:v>
      </x:c>
      <x:c r="I110" s="7" t="str">
        <x:v>RC03, FW01</x:v>
      </x:c>
      <x:c r="J110" s="7" t="str">
        <x:v>One opening per floor</x:v>
      </x:c>
      <x:c r="K110" s="2"/>
      <x:c r="L110" s="2"/>
      <x:c r="M110" s="2"/>
      <x:c r="N110" s="2"/>
      <x:c r="O110" s="2"/>
      <x:c r="P110" s="2"/>
      <x:c r="Q110" s="2"/>
    </x:row>
    <x:row r="111" ht="22" customHeight="1">
      <x:c r="A111" s="2" t="str">
        <x:v>T4-L12-OP02</x:v>
      </x:c>
      <x:c r="B111" s="2" t="str">
        <x:v>T4</x:v>
      </x:c>
      <x:c r="C111" s="2" t="n">
        <x:v>12</x:v>
      </x:c>
      <x:c r="D111" s="2" t="str">
        <x:v>Door openings</x:v>
      </x:c>
      <x:c r="E111" s="18" t="n">
        <x:v>28</x:v>
      </x:c>
      <x:c r="F111" s="18" t="n">
        <x:v>0.9</x:v>
      </x:c>
      <x:c r="G111" s="18" t="n">
        <x:v>2.1</x:v>
      </x:c>
      <x:c r="H111" s="18" t="n">
        <x:f>E111*F111*G111</x:f>
        <x:v>52.92</x:v>
      </x:c>
      <x:c r="I111" s="2" t="str">
        <x:v>AR01, AR02</x:v>
      </x:c>
      <x:c r="J111" s="2" t="str">
        <x:v>Same openings deducted from masonry and plaster</x:v>
      </x:c>
      <x:c r="K111" s="2"/>
      <x:c r="L111" s="2"/>
      <x:c r="M111" s="2"/>
      <x:c r="N111" s="2"/>
      <x:c r="O111" s="2"/>
      <x:c r="P111" s="2"/>
      <x:c r="Q111" s="2"/>
    </x:row>
    <x:row r="112" ht="22" customHeight="1">
      <x:c r="A112" s="7" t="str">
        <x:v>T5-L00-OP01</x:v>
      </x:c>
      <x:c r="B112" s="7" t="str">
        <x:v>T5</x:v>
      </x:c>
      <x:c r="C112" s="7" t="n">
        <x:v>0</x:v>
      </x:c>
      <x:c r="D112" s="7" t="str">
        <x:v>Stair core</x:v>
      </x:c>
      <x:c r="E112" s="16" t="n">
        <x:v>1</x:v>
      </x:c>
      <x:c r="F112" s="16" t="n">
        <x:v>4</x:v>
      </x:c>
      <x:c r="G112" s="16" t="n">
        <x:v>6</x:v>
      </x:c>
      <x:c r="H112" s="16" t="n">
        <x:f>E112*F112*G112</x:f>
        <x:v>24</x:v>
      </x:c>
      <x:c r="I112" s="7" t="str">
        <x:v>RC03, FW01</x:v>
      </x:c>
      <x:c r="J112" s="7" t="str">
        <x:v>One opening per floor</x:v>
      </x:c>
      <x:c r="K112" s="2"/>
      <x:c r="L112" s="2"/>
      <x:c r="M112" s="2"/>
      <x:c r="N112" s="2"/>
      <x:c r="O112" s="2"/>
      <x:c r="P112" s="2"/>
      <x:c r="Q112" s="2"/>
    </x:row>
    <x:row r="113" ht="22" customHeight="1">
      <x:c r="A113" s="2" t="str">
        <x:v>T5-L00-OP02</x:v>
      </x:c>
      <x:c r="B113" s="2" t="str">
        <x:v>T5</x:v>
      </x:c>
      <x:c r="C113" s="2" t="n">
        <x:v>0</x:v>
      </x:c>
      <x:c r="D113" s="2" t="str">
        <x:v>Door openings</x:v>
      </x:c>
      <x:c r="E113" s="18" t="n">
        <x:v>28</x:v>
      </x:c>
      <x:c r="F113" s="18" t="n">
        <x:v>0.9</x:v>
      </x:c>
      <x:c r="G113" s="18" t="n">
        <x:v>2.1</x:v>
      </x:c>
      <x:c r="H113" s="18" t="n">
        <x:f>E113*F113*G113</x:f>
        <x:v>52.92</x:v>
      </x:c>
      <x:c r="I113" s="2" t="str">
        <x:v>AR01, AR02</x:v>
      </x:c>
      <x:c r="J113" s="2" t="str">
        <x:v>Same openings deducted from masonry and plaster</x:v>
      </x:c>
      <x:c r="K113" s="2"/>
      <x:c r="L113" s="2"/>
      <x:c r="M113" s="2"/>
      <x:c r="N113" s="2"/>
      <x:c r="O113" s="2"/>
      <x:c r="P113" s="2"/>
      <x:c r="Q113" s="2"/>
    </x:row>
    <x:row r="114" ht="22" customHeight="1">
      <x:c r="A114" s="7" t="str">
        <x:v>T5-L01-OP01</x:v>
      </x:c>
      <x:c r="B114" s="7" t="str">
        <x:v>T5</x:v>
      </x:c>
      <x:c r="C114" s="7" t="n">
        <x:v>1</x:v>
      </x:c>
      <x:c r="D114" s="7" t="str">
        <x:v>Stair core</x:v>
      </x:c>
      <x:c r="E114" s="16" t="n">
        <x:v>1</x:v>
      </x:c>
      <x:c r="F114" s="16" t="n">
        <x:v>4</x:v>
      </x:c>
      <x:c r="G114" s="16" t="n">
        <x:v>6</x:v>
      </x:c>
      <x:c r="H114" s="16" t="n">
        <x:f>E114*F114*G114</x:f>
        <x:v>24</x:v>
      </x:c>
      <x:c r="I114" s="7" t="str">
        <x:v>RC03, FW01</x:v>
      </x:c>
      <x:c r="J114" s="7" t="str">
        <x:v>One opening per floor</x:v>
      </x:c>
      <x:c r="K114" s="2"/>
      <x:c r="L114" s="2"/>
      <x:c r="M114" s="2"/>
      <x:c r="N114" s="2"/>
      <x:c r="O114" s="2"/>
      <x:c r="P114" s="2"/>
      <x:c r="Q114" s="2"/>
    </x:row>
    <x:row r="115" ht="22" customHeight="1">
      <x:c r="A115" s="2" t="str">
        <x:v>T5-L01-OP02</x:v>
      </x:c>
      <x:c r="B115" s="2" t="str">
        <x:v>T5</x:v>
      </x:c>
      <x:c r="C115" s="2" t="n">
        <x:v>1</x:v>
      </x:c>
      <x:c r="D115" s="2" t="str">
        <x:v>Door openings</x:v>
      </x:c>
      <x:c r="E115" s="18" t="n">
        <x:v>28</x:v>
      </x:c>
      <x:c r="F115" s="18" t="n">
        <x:v>0.9</x:v>
      </x:c>
      <x:c r="G115" s="18" t="n">
        <x:v>2.1</x:v>
      </x:c>
      <x:c r="H115" s="18" t="n">
        <x:f>E115*F115*G115</x:f>
        <x:v>52.92</x:v>
      </x:c>
      <x:c r="I115" s="2" t="str">
        <x:v>AR01, AR02</x:v>
      </x:c>
      <x:c r="J115" s="2" t="str">
        <x:v>Same openings deducted from masonry and plaster</x:v>
      </x:c>
      <x:c r="K115" s="2"/>
      <x:c r="L115" s="2"/>
      <x:c r="M115" s="2"/>
      <x:c r="N115" s="2"/>
      <x:c r="O115" s="2"/>
      <x:c r="P115" s="2"/>
      <x:c r="Q115" s="2"/>
    </x:row>
    <x:row r="116" ht="22" customHeight="1">
      <x:c r="A116" s="7" t="str">
        <x:v>T5-L02-OP01</x:v>
      </x:c>
      <x:c r="B116" s="7" t="str">
        <x:v>T5</x:v>
      </x:c>
      <x:c r="C116" s="7" t="n">
        <x:v>2</x:v>
      </x:c>
      <x:c r="D116" s="7" t="str">
        <x:v>Stair core</x:v>
      </x:c>
      <x:c r="E116" s="16" t="n">
        <x:v>1</x:v>
      </x:c>
      <x:c r="F116" s="16" t="n">
        <x:v>4</x:v>
      </x:c>
      <x:c r="G116" s="16" t="n">
        <x:v>6</x:v>
      </x:c>
      <x:c r="H116" s="16" t="n">
        <x:f>E116*F116*G116</x:f>
        <x:v>24</x:v>
      </x:c>
      <x:c r="I116" s="7" t="str">
        <x:v>RC03, FW01</x:v>
      </x:c>
      <x:c r="J116" s="7" t="str">
        <x:v>One opening per floor</x:v>
      </x:c>
      <x:c r="K116" s="2"/>
      <x:c r="L116" s="2"/>
      <x:c r="M116" s="2"/>
      <x:c r="N116" s="2"/>
      <x:c r="O116" s="2"/>
      <x:c r="P116" s="2"/>
      <x:c r="Q116" s="2"/>
    </x:row>
    <x:row r="117" ht="22" customHeight="1">
      <x:c r="A117" s="2" t="str">
        <x:v>T5-L02-OP02</x:v>
      </x:c>
      <x:c r="B117" s="2" t="str">
        <x:v>T5</x:v>
      </x:c>
      <x:c r="C117" s="2" t="n">
        <x:v>2</x:v>
      </x:c>
      <x:c r="D117" s="2" t="str">
        <x:v>Door openings</x:v>
      </x:c>
      <x:c r="E117" s="18" t="n">
        <x:v>28</x:v>
      </x:c>
      <x:c r="F117" s="18" t="n">
        <x:v>0.9</x:v>
      </x:c>
      <x:c r="G117" s="18" t="n">
        <x:v>2.1</x:v>
      </x:c>
      <x:c r="H117" s="18" t="n">
        <x:f>E117*F117*G117</x:f>
        <x:v>52.92</x:v>
      </x:c>
      <x:c r="I117" s="2" t="str">
        <x:v>AR01, AR02</x:v>
      </x:c>
      <x:c r="J117" s="2" t="str">
        <x:v>Same openings deducted from masonry and plaster</x:v>
      </x:c>
      <x:c r="K117" s="2"/>
      <x:c r="L117" s="2"/>
      <x:c r="M117" s="2"/>
      <x:c r="N117" s="2"/>
      <x:c r="O117" s="2"/>
      <x:c r="P117" s="2"/>
      <x:c r="Q117" s="2"/>
    </x:row>
    <x:row r="118" ht="22" customHeight="1">
      <x:c r="A118" s="7" t="str">
        <x:v>T5-L03-OP01</x:v>
      </x:c>
      <x:c r="B118" s="7" t="str">
        <x:v>T5</x:v>
      </x:c>
      <x:c r="C118" s="7" t="n">
        <x:v>3</x:v>
      </x:c>
      <x:c r="D118" s="7" t="str">
        <x:v>Stair core</x:v>
      </x:c>
      <x:c r="E118" s="16" t="n">
        <x:v>1</x:v>
      </x:c>
      <x:c r="F118" s="16" t="n">
        <x:v>4</x:v>
      </x:c>
      <x:c r="G118" s="16" t="n">
        <x:v>6</x:v>
      </x:c>
      <x:c r="H118" s="16" t="n">
        <x:f>E118*F118*G118</x:f>
        <x:v>24</x:v>
      </x:c>
      <x:c r="I118" s="7" t="str">
        <x:v>RC03, FW01</x:v>
      </x:c>
      <x:c r="J118" s="7" t="str">
        <x:v>One opening per floor</x:v>
      </x:c>
      <x:c r="K118" s="2"/>
      <x:c r="L118" s="2"/>
      <x:c r="M118" s="2"/>
      <x:c r="N118" s="2"/>
      <x:c r="O118" s="2"/>
      <x:c r="P118" s="2"/>
      <x:c r="Q118" s="2"/>
    </x:row>
    <x:row r="119" ht="22" customHeight="1">
      <x:c r="A119" s="2" t="str">
        <x:v>T5-L03-OP02</x:v>
      </x:c>
      <x:c r="B119" s="2" t="str">
        <x:v>T5</x:v>
      </x:c>
      <x:c r="C119" s="2" t="n">
        <x:v>3</x:v>
      </x:c>
      <x:c r="D119" s="2" t="str">
        <x:v>Door openings</x:v>
      </x:c>
      <x:c r="E119" s="18" t="n">
        <x:v>28</x:v>
      </x:c>
      <x:c r="F119" s="18" t="n">
        <x:v>0.9</x:v>
      </x:c>
      <x:c r="G119" s="18" t="n">
        <x:v>2.1</x:v>
      </x:c>
      <x:c r="H119" s="18" t="n">
        <x:f>E119*F119*G119</x:f>
        <x:v>52.92</x:v>
      </x:c>
      <x:c r="I119" s="2" t="str">
        <x:v>AR01, AR02</x:v>
      </x:c>
      <x:c r="J119" s="2" t="str">
        <x:v>Same openings deducted from masonry and plaster</x:v>
      </x:c>
      <x:c r="K119" s="2"/>
      <x:c r="L119" s="2"/>
      <x:c r="M119" s="2"/>
      <x:c r="N119" s="2"/>
      <x:c r="O119" s="2"/>
      <x:c r="P119" s="2"/>
      <x:c r="Q119" s="2"/>
    </x:row>
    <x:row r="120" ht="22" customHeight="1">
      <x:c r="A120" s="7" t="str">
        <x:v>T5-L04-OP01</x:v>
      </x:c>
      <x:c r="B120" s="7" t="str">
        <x:v>T5</x:v>
      </x:c>
      <x:c r="C120" s="7" t="n">
        <x:v>4</x:v>
      </x:c>
      <x:c r="D120" s="7" t="str">
        <x:v>Stair core</x:v>
      </x:c>
      <x:c r="E120" s="16" t="n">
        <x:v>1</x:v>
      </x:c>
      <x:c r="F120" s="16" t="n">
        <x:v>4</x:v>
      </x:c>
      <x:c r="G120" s="16" t="n">
        <x:v>6</x:v>
      </x:c>
      <x:c r="H120" s="16" t="n">
        <x:f>E120*F120*G120</x:f>
        <x:v>24</x:v>
      </x:c>
      <x:c r="I120" s="7" t="str">
        <x:v>RC03, FW01</x:v>
      </x:c>
      <x:c r="J120" s="7" t="str">
        <x:v>One opening per floor</x:v>
      </x:c>
      <x:c r="K120" s="2"/>
      <x:c r="L120" s="2"/>
      <x:c r="M120" s="2"/>
      <x:c r="N120" s="2"/>
      <x:c r="O120" s="2"/>
      <x:c r="P120" s="2"/>
      <x:c r="Q120" s="2"/>
    </x:row>
    <x:row r="121" ht="22" customHeight="1">
      <x:c r="A121" s="2" t="str">
        <x:v>T5-L04-OP02</x:v>
      </x:c>
      <x:c r="B121" s="2" t="str">
        <x:v>T5</x:v>
      </x:c>
      <x:c r="C121" s="2" t="n">
        <x:v>4</x:v>
      </x:c>
      <x:c r="D121" s="2" t="str">
        <x:v>Door openings</x:v>
      </x:c>
      <x:c r="E121" s="18" t="n">
        <x:v>28</x:v>
      </x:c>
      <x:c r="F121" s="18" t="n">
        <x:v>0.9</x:v>
      </x:c>
      <x:c r="G121" s="18" t="n">
        <x:v>2.1</x:v>
      </x:c>
      <x:c r="H121" s="18" t="n">
        <x:f>E121*F121*G121</x:f>
        <x:v>52.92</x:v>
      </x:c>
      <x:c r="I121" s="2" t="str">
        <x:v>AR01, AR02</x:v>
      </x:c>
      <x:c r="J121" s="2" t="str">
        <x:v>Same openings deducted from masonry and plaster</x:v>
      </x:c>
      <x:c r="K121" s="2"/>
      <x:c r="L121" s="2"/>
      <x:c r="M121" s="2"/>
      <x:c r="N121" s="2"/>
      <x:c r="O121" s="2"/>
      <x:c r="P121" s="2"/>
      <x:c r="Q121" s="2"/>
    </x:row>
    <x:row r="122" ht="22" customHeight="1">
      <x:c r="A122" s="7" t="str">
        <x:v>T5-L05-OP01</x:v>
      </x:c>
      <x:c r="B122" s="7" t="str">
        <x:v>T5</x:v>
      </x:c>
      <x:c r="C122" s="7" t="n">
        <x:v>5</x:v>
      </x:c>
      <x:c r="D122" s="7" t="str">
        <x:v>Stair core</x:v>
      </x:c>
      <x:c r="E122" s="16" t="n">
        <x:v>1</x:v>
      </x:c>
      <x:c r="F122" s="16" t="n">
        <x:v>4</x:v>
      </x:c>
      <x:c r="G122" s="16" t="n">
        <x:v>6</x:v>
      </x:c>
      <x:c r="H122" s="16" t="n">
        <x:f>E122*F122*G122</x:f>
        <x:v>24</x:v>
      </x:c>
      <x:c r="I122" s="7" t="str">
        <x:v>RC03, FW01</x:v>
      </x:c>
      <x:c r="J122" s="7" t="str">
        <x:v>One opening per floor</x:v>
      </x:c>
      <x:c r="K122" s="2"/>
      <x:c r="L122" s="2"/>
      <x:c r="M122" s="2"/>
      <x:c r="N122" s="2"/>
      <x:c r="O122" s="2"/>
      <x:c r="P122" s="2"/>
      <x:c r="Q122" s="2"/>
    </x:row>
    <x:row r="123" ht="22" customHeight="1">
      <x:c r="A123" s="2" t="str">
        <x:v>T5-L05-OP02</x:v>
      </x:c>
      <x:c r="B123" s="2" t="str">
        <x:v>T5</x:v>
      </x:c>
      <x:c r="C123" s="2" t="n">
        <x:v>5</x:v>
      </x:c>
      <x:c r="D123" s="2" t="str">
        <x:v>Door openings</x:v>
      </x:c>
      <x:c r="E123" s="18" t="n">
        <x:v>28</x:v>
      </x:c>
      <x:c r="F123" s="18" t="n">
        <x:v>0.9</x:v>
      </x:c>
      <x:c r="G123" s="18" t="n">
        <x:v>2.1</x:v>
      </x:c>
      <x:c r="H123" s="18" t="n">
        <x:f>E123*F123*G123</x:f>
        <x:v>52.92</x:v>
      </x:c>
      <x:c r="I123" s="2" t="str">
        <x:v>AR01, AR02</x:v>
      </x:c>
      <x:c r="J123" s="2" t="str">
        <x:v>Same openings deducted from masonry and plaster</x:v>
      </x:c>
      <x:c r="K123" s="2"/>
      <x:c r="L123" s="2"/>
      <x:c r="M123" s="2"/>
      <x:c r="N123" s="2"/>
      <x:c r="O123" s="2"/>
      <x:c r="P123" s="2"/>
      <x:c r="Q123" s="2"/>
    </x:row>
    <x:row r="124" ht="22" customHeight="1">
      <x:c r="A124" s="7" t="str">
        <x:v>T5-L06-OP01</x:v>
      </x:c>
      <x:c r="B124" s="7" t="str">
        <x:v>T5</x:v>
      </x:c>
      <x:c r="C124" s="7" t="n">
        <x:v>6</x:v>
      </x:c>
      <x:c r="D124" s="7" t="str">
        <x:v>Stair core</x:v>
      </x:c>
      <x:c r="E124" s="16" t="n">
        <x:v>1</x:v>
      </x:c>
      <x:c r="F124" s="16" t="n">
        <x:v>4</x:v>
      </x:c>
      <x:c r="G124" s="16" t="n">
        <x:v>6</x:v>
      </x:c>
      <x:c r="H124" s="16" t="n">
        <x:f>E124*F124*G124</x:f>
        <x:v>24</x:v>
      </x:c>
      <x:c r="I124" s="7" t="str">
        <x:v>RC03, FW01</x:v>
      </x:c>
      <x:c r="J124" s="7" t="str">
        <x:v>One opening per floor</x:v>
      </x:c>
      <x:c r="K124" s="2"/>
      <x:c r="L124" s="2"/>
      <x:c r="M124" s="2"/>
      <x:c r="N124" s="2"/>
      <x:c r="O124" s="2"/>
      <x:c r="P124" s="2"/>
      <x:c r="Q124" s="2"/>
    </x:row>
    <x:row r="125" ht="22" customHeight="1">
      <x:c r="A125" s="2" t="str">
        <x:v>T5-L06-OP02</x:v>
      </x:c>
      <x:c r="B125" s="2" t="str">
        <x:v>T5</x:v>
      </x:c>
      <x:c r="C125" s="2" t="n">
        <x:v>6</x:v>
      </x:c>
      <x:c r="D125" s="2" t="str">
        <x:v>Door openings</x:v>
      </x:c>
      <x:c r="E125" s="18" t="n">
        <x:v>28</x:v>
      </x:c>
      <x:c r="F125" s="18" t="n">
        <x:v>0.9</x:v>
      </x:c>
      <x:c r="G125" s="18" t="n">
        <x:v>2.1</x:v>
      </x:c>
      <x:c r="H125" s="18" t="n">
        <x:f>E125*F125*G125</x:f>
        <x:v>52.92</x:v>
      </x:c>
      <x:c r="I125" s="2" t="str">
        <x:v>AR01, AR02</x:v>
      </x:c>
      <x:c r="J125" s="2" t="str">
        <x:v>Same openings deducted from masonry and plaster</x:v>
      </x:c>
      <x:c r="K125" s="2"/>
      <x:c r="L125" s="2"/>
      <x:c r="M125" s="2"/>
      <x:c r="N125" s="2"/>
      <x:c r="O125" s="2"/>
      <x:c r="P125" s="2"/>
      <x:c r="Q125" s="2"/>
    </x:row>
    <x:row r="126" ht="22" customHeight="1">
      <x:c r="A126" s="7" t="str">
        <x:v>T5-L07-OP01</x:v>
      </x:c>
      <x:c r="B126" s="7" t="str">
        <x:v>T5</x:v>
      </x:c>
      <x:c r="C126" s="7" t="n">
        <x:v>7</x:v>
      </x:c>
      <x:c r="D126" s="7" t="str">
        <x:v>Stair core</x:v>
      </x:c>
      <x:c r="E126" s="16" t="n">
        <x:v>1</x:v>
      </x:c>
      <x:c r="F126" s="16" t="n">
        <x:v>4</x:v>
      </x:c>
      <x:c r="G126" s="16" t="n">
        <x:v>6</x:v>
      </x:c>
      <x:c r="H126" s="16" t="n">
        <x:f>E126*F126*G126</x:f>
        <x:v>24</x:v>
      </x:c>
      <x:c r="I126" s="7" t="str">
        <x:v>RC03, FW01</x:v>
      </x:c>
      <x:c r="J126" s="7" t="str">
        <x:v>One opening per floor</x:v>
      </x:c>
      <x:c r="K126" s="2"/>
      <x:c r="L126" s="2"/>
      <x:c r="M126" s="2"/>
      <x:c r="N126" s="2"/>
      <x:c r="O126" s="2"/>
      <x:c r="P126" s="2"/>
      <x:c r="Q126" s="2"/>
    </x:row>
    <x:row r="127" ht="22" customHeight="1">
      <x:c r="A127" s="2" t="str">
        <x:v>T5-L07-OP02</x:v>
      </x:c>
      <x:c r="B127" s="2" t="str">
        <x:v>T5</x:v>
      </x:c>
      <x:c r="C127" s="2" t="n">
        <x:v>7</x:v>
      </x:c>
      <x:c r="D127" s="2" t="str">
        <x:v>Door openings</x:v>
      </x:c>
      <x:c r="E127" s="18" t="n">
        <x:v>28</x:v>
      </x:c>
      <x:c r="F127" s="18" t="n">
        <x:v>0.9</x:v>
      </x:c>
      <x:c r="G127" s="18" t="n">
        <x:v>2.1</x:v>
      </x:c>
      <x:c r="H127" s="18" t="n">
        <x:f>E127*F127*G127</x:f>
        <x:v>52.92</x:v>
      </x:c>
      <x:c r="I127" s="2" t="str">
        <x:v>AR01, AR02</x:v>
      </x:c>
      <x:c r="J127" s="2" t="str">
        <x:v>Same openings deducted from masonry and plaster</x:v>
      </x:c>
      <x:c r="K127" s="2"/>
      <x:c r="L127" s="2"/>
      <x:c r="M127" s="2"/>
      <x:c r="N127" s="2"/>
      <x:c r="O127" s="2"/>
      <x:c r="P127" s="2"/>
      <x:c r="Q127" s="2"/>
    </x:row>
    <x:row r="128" ht="22" customHeight="1">
      <x:c r="A128" s="7" t="str">
        <x:v>T5-L08-OP01</x:v>
      </x:c>
      <x:c r="B128" s="7" t="str">
        <x:v>T5</x:v>
      </x:c>
      <x:c r="C128" s="7" t="n">
        <x:v>8</x:v>
      </x:c>
      <x:c r="D128" s="7" t="str">
        <x:v>Stair core</x:v>
      </x:c>
      <x:c r="E128" s="16" t="n">
        <x:v>1</x:v>
      </x:c>
      <x:c r="F128" s="16" t="n">
        <x:v>4</x:v>
      </x:c>
      <x:c r="G128" s="16" t="n">
        <x:v>6</x:v>
      </x:c>
      <x:c r="H128" s="16" t="n">
        <x:f>E128*F128*G128</x:f>
        <x:v>24</x:v>
      </x:c>
      <x:c r="I128" s="7" t="str">
        <x:v>RC03, FW01</x:v>
      </x:c>
      <x:c r="J128" s="7" t="str">
        <x:v>One opening per floor</x:v>
      </x:c>
      <x:c r="K128" s="2"/>
      <x:c r="L128" s="2"/>
      <x:c r="M128" s="2"/>
      <x:c r="N128" s="2"/>
      <x:c r="O128" s="2"/>
      <x:c r="P128" s="2"/>
      <x:c r="Q128" s="2"/>
    </x:row>
    <x:row r="129" ht="22" customHeight="1">
      <x:c r="A129" s="2" t="str">
        <x:v>T5-L08-OP02</x:v>
      </x:c>
      <x:c r="B129" s="2" t="str">
        <x:v>T5</x:v>
      </x:c>
      <x:c r="C129" s="2" t="n">
        <x:v>8</x:v>
      </x:c>
      <x:c r="D129" s="2" t="str">
        <x:v>Door openings</x:v>
      </x:c>
      <x:c r="E129" s="18" t="n">
        <x:v>28</x:v>
      </x:c>
      <x:c r="F129" s="18" t="n">
        <x:v>0.9</x:v>
      </x:c>
      <x:c r="G129" s="18" t="n">
        <x:v>2.1</x:v>
      </x:c>
      <x:c r="H129" s="18" t="n">
        <x:f>E129*F129*G129</x:f>
        <x:v>52.92</x:v>
      </x:c>
      <x:c r="I129" s="2" t="str">
        <x:v>AR01, AR02</x:v>
      </x:c>
      <x:c r="J129" s="2" t="str">
        <x:v>Same openings deducted from masonry and plaster</x:v>
      </x:c>
      <x:c r="K129" s="2"/>
      <x:c r="L129" s="2"/>
      <x:c r="M129" s="2"/>
      <x:c r="N129" s="2"/>
      <x:c r="O129" s="2"/>
      <x:c r="P129" s="2"/>
      <x:c r="Q129" s="2"/>
    </x:row>
    <x:row r="130" ht="22" customHeight="1">
      <x:c r="A130" s="7" t="str">
        <x:v>T5-L09-OP01</x:v>
      </x:c>
      <x:c r="B130" s="7" t="str">
        <x:v>T5</x:v>
      </x:c>
      <x:c r="C130" s="7" t="n">
        <x:v>9</x:v>
      </x:c>
      <x:c r="D130" s="7" t="str">
        <x:v>Stair core</x:v>
      </x:c>
      <x:c r="E130" s="16" t="n">
        <x:v>1</x:v>
      </x:c>
      <x:c r="F130" s="16" t="n">
        <x:v>4</x:v>
      </x:c>
      <x:c r="G130" s="16" t="n">
        <x:v>6</x:v>
      </x:c>
      <x:c r="H130" s="16" t="n">
        <x:f>E130*F130*G130</x:f>
        <x:v>24</x:v>
      </x:c>
      <x:c r="I130" s="7" t="str">
        <x:v>RC03, FW01</x:v>
      </x:c>
      <x:c r="J130" s="7" t="str">
        <x:v>One opening per floor</x:v>
      </x:c>
      <x:c r="K130" s="2"/>
      <x:c r="L130" s="2"/>
      <x:c r="M130" s="2"/>
      <x:c r="N130" s="2"/>
      <x:c r="O130" s="2"/>
      <x:c r="P130" s="2"/>
      <x:c r="Q130" s="2"/>
    </x:row>
    <x:row r="131" ht="22" customHeight="1">
      <x:c r="A131" s="2" t="str">
        <x:v>T5-L09-OP02</x:v>
      </x:c>
      <x:c r="B131" s="2" t="str">
        <x:v>T5</x:v>
      </x:c>
      <x:c r="C131" s="2" t="n">
        <x:v>9</x:v>
      </x:c>
      <x:c r="D131" s="2" t="str">
        <x:v>Door openings</x:v>
      </x:c>
      <x:c r="E131" s="18" t="n">
        <x:v>28</x:v>
      </x:c>
      <x:c r="F131" s="18" t="n">
        <x:v>0.9</x:v>
      </x:c>
      <x:c r="G131" s="18" t="n">
        <x:v>2.1</x:v>
      </x:c>
      <x:c r="H131" s="18" t="n">
        <x:f>E131*F131*G131</x:f>
        <x:v>52.92</x:v>
      </x:c>
      <x:c r="I131" s="2" t="str">
        <x:v>AR01, AR02</x:v>
      </x:c>
      <x:c r="J131" s="2" t="str">
        <x:v>Same openings deducted from masonry and plaster</x:v>
      </x:c>
      <x:c r="K131" s="2"/>
      <x:c r="L131" s="2"/>
      <x:c r="M131" s="2"/>
      <x:c r="N131" s="2"/>
      <x:c r="O131" s="2"/>
      <x:c r="P131" s="2"/>
      <x:c r="Q131" s="2"/>
    </x:row>
    <x:row r="132" ht="22" customHeight="1">
      <x:c r="A132" s="7" t="str">
        <x:v>T5-L10-OP01</x:v>
      </x:c>
      <x:c r="B132" s="7" t="str">
        <x:v>T5</x:v>
      </x:c>
      <x:c r="C132" s="7" t="n">
        <x:v>10</x:v>
      </x:c>
      <x:c r="D132" s="7" t="str">
        <x:v>Stair core</x:v>
      </x:c>
      <x:c r="E132" s="16" t="n">
        <x:v>1</x:v>
      </x:c>
      <x:c r="F132" s="16" t="n">
        <x:v>4</x:v>
      </x:c>
      <x:c r="G132" s="16" t="n">
        <x:v>6</x:v>
      </x:c>
      <x:c r="H132" s="16" t="n">
        <x:f>E132*F132*G132</x:f>
        <x:v>24</x:v>
      </x:c>
      <x:c r="I132" s="7" t="str">
        <x:v>RC03, FW01</x:v>
      </x:c>
      <x:c r="J132" s="7" t="str">
        <x:v>One opening per floor</x:v>
      </x:c>
      <x:c r="K132" s="2"/>
      <x:c r="L132" s="2"/>
      <x:c r="M132" s="2"/>
      <x:c r="N132" s="2"/>
      <x:c r="O132" s="2"/>
      <x:c r="P132" s="2"/>
      <x:c r="Q132" s="2"/>
    </x:row>
    <x:row r="133" ht="22" customHeight="1">
      <x:c r="A133" s="2" t="str">
        <x:v>T5-L10-OP02</x:v>
      </x:c>
      <x:c r="B133" s="2" t="str">
        <x:v>T5</x:v>
      </x:c>
      <x:c r="C133" s="2" t="n">
        <x:v>10</x:v>
      </x:c>
      <x:c r="D133" s="2" t="str">
        <x:v>Door openings</x:v>
      </x:c>
      <x:c r="E133" s="18" t="n">
        <x:v>28</x:v>
      </x:c>
      <x:c r="F133" s="18" t="n">
        <x:v>0.9</x:v>
      </x:c>
      <x:c r="G133" s="18" t="n">
        <x:v>2.1</x:v>
      </x:c>
      <x:c r="H133" s="18" t="n">
        <x:f>E133*F133*G133</x:f>
        <x:v>52.92</x:v>
      </x:c>
      <x:c r="I133" s="2" t="str">
        <x:v>AR01, AR02</x:v>
      </x:c>
      <x:c r="J133" s="2" t="str">
        <x:v>Same openings deducted from masonry and plaster</x:v>
      </x:c>
      <x:c r="K133" s="2"/>
      <x:c r="L133" s="2"/>
      <x:c r="M133" s="2"/>
      <x:c r="N133" s="2"/>
      <x:c r="O133" s="2"/>
      <x:c r="P133" s="2"/>
      <x:c r="Q133" s="2"/>
    </x:row>
    <x:row r="134" ht="22" customHeight="1">
      <x:c r="A134" s="7" t="str">
        <x:v>T5-L11-OP01</x:v>
      </x:c>
      <x:c r="B134" s="7" t="str">
        <x:v>T5</x:v>
      </x:c>
      <x:c r="C134" s="7" t="n">
        <x:v>11</x:v>
      </x:c>
      <x:c r="D134" s="7" t="str">
        <x:v>Stair core</x:v>
      </x:c>
      <x:c r="E134" s="16" t="n">
        <x:v>1</x:v>
      </x:c>
      <x:c r="F134" s="16" t="n">
        <x:v>4</x:v>
      </x:c>
      <x:c r="G134" s="16" t="n">
        <x:v>6</x:v>
      </x:c>
      <x:c r="H134" s="16" t="n">
        <x:f>E134*F134*G134</x:f>
        <x:v>24</x:v>
      </x:c>
      <x:c r="I134" s="7" t="str">
        <x:v>RC03, FW01</x:v>
      </x:c>
      <x:c r="J134" s="7" t="str">
        <x:v>One opening per floor</x:v>
      </x:c>
      <x:c r="K134" s="2"/>
      <x:c r="L134" s="2"/>
      <x:c r="M134" s="2"/>
      <x:c r="N134" s="2"/>
      <x:c r="O134" s="2"/>
      <x:c r="P134" s="2"/>
      <x:c r="Q134" s="2"/>
    </x:row>
    <x:row r="135" ht="22" customHeight="1">
      <x:c r="A135" s="2" t="str">
        <x:v>T5-L11-OP02</x:v>
      </x:c>
      <x:c r="B135" s="2" t="str">
        <x:v>T5</x:v>
      </x:c>
      <x:c r="C135" s="2" t="n">
        <x:v>11</x:v>
      </x:c>
      <x:c r="D135" s="2" t="str">
        <x:v>Door openings</x:v>
      </x:c>
      <x:c r="E135" s="18" t="n">
        <x:v>28</x:v>
      </x:c>
      <x:c r="F135" s="18" t="n">
        <x:v>0.9</x:v>
      </x:c>
      <x:c r="G135" s="18" t="n">
        <x:v>2.1</x:v>
      </x:c>
      <x:c r="H135" s="18" t="n">
        <x:f>E135*F135*G135</x:f>
        <x:v>52.92</x:v>
      </x:c>
      <x:c r="I135" s="2" t="str">
        <x:v>AR01, AR02</x:v>
      </x:c>
      <x:c r="J135" s="2" t="str">
        <x:v>Same openings deducted from masonry and plaster</x:v>
      </x:c>
      <x:c r="K135" s="2"/>
      <x:c r="L135" s="2"/>
      <x:c r="M135" s="2"/>
      <x:c r="N135" s="2"/>
      <x:c r="O135" s="2"/>
      <x:c r="P135" s="2"/>
      <x:c r="Q135" s="2"/>
    </x:row>
    <x:row r="136" ht="22" customHeight="1">
      <x:c r="A136" s="7" t="str">
        <x:v>T5-L12-OP01</x:v>
      </x:c>
      <x:c r="B136" s="7" t="str">
        <x:v>T5</x:v>
      </x:c>
      <x:c r="C136" s="7" t="n">
        <x:v>12</x:v>
      </x:c>
      <x:c r="D136" s="7" t="str">
        <x:v>Stair core</x:v>
      </x:c>
      <x:c r="E136" s="16" t="n">
        <x:v>1</x:v>
      </x:c>
      <x:c r="F136" s="16" t="n">
        <x:v>4</x:v>
      </x:c>
      <x:c r="G136" s="16" t="n">
        <x:v>6</x:v>
      </x:c>
      <x:c r="H136" s="16" t="n">
        <x:f>E136*F136*G136</x:f>
        <x:v>24</x:v>
      </x:c>
      <x:c r="I136" s="7" t="str">
        <x:v>RC03, FW01</x:v>
      </x:c>
      <x:c r="J136" s="7" t="str">
        <x:v>One opening per floor</x:v>
      </x:c>
      <x:c r="K136" s="2"/>
      <x:c r="L136" s="2"/>
      <x:c r="M136" s="2"/>
      <x:c r="N136" s="2"/>
      <x:c r="O136" s="2"/>
      <x:c r="P136" s="2"/>
      <x:c r="Q136" s="2"/>
    </x:row>
    <x:row r="137" ht="22" customHeight="1">
      <x:c r="A137" s="2" t="str">
        <x:v>T5-L12-OP02</x:v>
      </x:c>
      <x:c r="B137" s="2" t="str">
        <x:v>T5</x:v>
      </x:c>
      <x:c r="C137" s="2" t="n">
        <x:v>12</x:v>
      </x:c>
      <x:c r="D137" s="2" t="str">
        <x:v>Door openings</x:v>
      </x:c>
      <x:c r="E137" s="18" t="n">
        <x:v>28</x:v>
      </x:c>
      <x:c r="F137" s="18" t="n">
        <x:v>0.9</x:v>
      </x:c>
      <x:c r="G137" s="18" t="n">
        <x:v>2.1</x:v>
      </x:c>
      <x:c r="H137" s="18" t="n">
        <x:f>E137*F137*G137</x:f>
        <x:v>52.92</x:v>
      </x:c>
      <x:c r="I137" s="2" t="str">
        <x:v>AR01, AR02</x:v>
      </x:c>
      <x:c r="J137" s="2" t="str">
        <x:v>Same openings deducted from masonry and plaster</x:v>
      </x:c>
      <x:c r="K137" s="2"/>
      <x:c r="L137" s="2"/>
      <x:c r="M137" s="2"/>
      <x:c r="N137" s="2"/>
      <x:c r="O137" s="2"/>
      <x:c r="P137" s="2"/>
      <x:c r="Q137" s="2"/>
    </x:row>
    <x:row r="138" ht="22" customHeight="1">
      <x:c r="A138" s="7" t="str">
        <x:v>T6-L00-OP01</x:v>
      </x:c>
      <x:c r="B138" s="7" t="str">
        <x:v>T6</x:v>
      </x:c>
      <x:c r="C138" s="7" t="n">
        <x:v>0</x:v>
      </x:c>
      <x:c r="D138" s="7" t="str">
        <x:v>Stair core</x:v>
      </x:c>
      <x:c r="E138" s="16" t="n">
        <x:v>1</x:v>
      </x:c>
      <x:c r="F138" s="16" t="n">
        <x:v>4</x:v>
      </x:c>
      <x:c r="G138" s="16" t="n">
        <x:v>6</x:v>
      </x:c>
      <x:c r="H138" s="16" t="n">
        <x:f>E138*F138*G138</x:f>
        <x:v>24</x:v>
      </x:c>
      <x:c r="I138" s="7" t="str">
        <x:v>RC03, FW01</x:v>
      </x:c>
      <x:c r="J138" s="7" t="str">
        <x:v>One opening per floor</x:v>
      </x:c>
      <x:c r="K138" s="2"/>
      <x:c r="L138" s="2"/>
      <x:c r="M138" s="2"/>
      <x:c r="N138" s="2"/>
      <x:c r="O138" s="2"/>
      <x:c r="P138" s="2"/>
      <x:c r="Q138" s="2"/>
    </x:row>
    <x:row r="139" ht="22" customHeight="1">
      <x:c r="A139" s="2" t="str">
        <x:v>T6-L00-OP02</x:v>
      </x:c>
      <x:c r="B139" s="2" t="str">
        <x:v>T6</x:v>
      </x:c>
      <x:c r="C139" s="2" t="n">
        <x:v>0</x:v>
      </x:c>
      <x:c r="D139" s="2" t="str">
        <x:v>Door openings</x:v>
      </x:c>
      <x:c r="E139" s="18" t="n">
        <x:v>28</x:v>
      </x:c>
      <x:c r="F139" s="18" t="n">
        <x:v>0.9</x:v>
      </x:c>
      <x:c r="G139" s="18" t="n">
        <x:v>2.1</x:v>
      </x:c>
      <x:c r="H139" s="18" t="n">
        <x:f>E139*F139*G139</x:f>
        <x:v>52.92</x:v>
      </x:c>
      <x:c r="I139" s="2" t="str">
        <x:v>AR01, AR02</x:v>
      </x:c>
      <x:c r="J139" s="2" t="str">
        <x:v>Same openings deducted from masonry and plaster</x:v>
      </x:c>
      <x:c r="K139" s="2"/>
      <x:c r="L139" s="2"/>
      <x:c r="M139" s="2"/>
      <x:c r="N139" s="2"/>
      <x:c r="O139" s="2"/>
      <x:c r="P139" s="2"/>
      <x:c r="Q139" s="2"/>
    </x:row>
    <x:row r="140" ht="22" customHeight="1">
      <x:c r="A140" s="7" t="str">
        <x:v>T6-L01-OP01</x:v>
      </x:c>
      <x:c r="B140" s="7" t="str">
        <x:v>T6</x:v>
      </x:c>
      <x:c r="C140" s="7" t="n">
        <x:v>1</x:v>
      </x:c>
      <x:c r="D140" s="7" t="str">
        <x:v>Stair core</x:v>
      </x:c>
      <x:c r="E140" s="16" t="n">
        <x:v>1</x:v>
      </x:c>
      <x:c r="F140" s="16" t="n">
        <x:v>4</x:v>
      </x:c>
      <x:c r="G140" s="16" t="n">
        <x:v>6</x:v>
      </x:c>
      <x:c r="H140" s="16" t="n">
        <x:f>E140*F140*G140</x:f>
        <x:v>24</x:v>
      </x:c>
      <x:c r="I140" s="7" t="str">
        <x:v>RC03, FW01</x:v>
      </x:c>
      <x:c r="J140" s="7" t="str">
        <x:v>One opening per floor</x:v>
      </x:c>
      <x:c r="K140" s="2"/>
      <x:c r="L140" s="2"/>
      <x:c r="M140" s="2"/>
      <x:c r="N140" s="2"/>
      <x:c r="O140" s="2"/>
      <x:c r="P140" s="2"/>
      <x:c r="Q140" s="2"/>
    </x:row>
    <x:row r="141" ht="22" customHeight="1">
      <x:c r="A141" s="2" t="str">
        <x:v>T6-L01-OP02</x:v>
      </x:c>
      <x:c r="B141" s="2" t="str">
        <x:v>T6</x:v>
      </x:c>
      <x:c r="C141" s="2" t="n">
        <x:v>1</x:v>
      </x:c>
      <x:c r="D141" s="2" t="str">
        <x:v>Door openings</x:v>
      </x:c>
      <x:c r="E141" s="18" t="n">
        <x:v>28</x:v>
      </x:c>
      <x:c r="F141" s="18" t="n">
        <x:v>0.9</x:v>
      </x:c>
      <x:c r="G141" s="18" t="n">
        <x:v>2.1</x:v>
      </x:c>
      <x:c r="H141" s="18" t="n">
        <x:f>E141*F141*G141</x:f>
        <x:v>52.92</x:v>
      </x:c>
      <x:c r="I141" s="2" t="str">
        <x:v>AR01, AR02</x:v>
      </x:c>
      <x:c r="J141" s="2" t="str">
        <x:v>Same openings deducted from masonry and plaster</x:v>
      </x:c>
      <x:c r="K141" s="2"/>
      <x:c r="L141" s="2"/>
      <x:c r="M141" s="2"/>
      <x:c r="N141" s="2"/>
      <x:c r="O141" s="2"/>
      <x:c r="P141" s="2"/>
      <x:c r="Q141" s="2"/>
    </x:row>
    <x:row r="142" ht="22" customHeight="1">
      <x:c r="A142" s="7" t="str">
        <x:v>T6-L02-OP01</x:v>
      </x:c>
      <x:c r="B142" s="7" t="str">
        <x:v>T6</x:v>
      </x:c>
      <x:c r="C142" s="7" t="n">
        <x:v>2</x:v>
      </x:c>
      <x:c r="D142" s="7" t="str">
        <x:v>Stair core</x:v>
      </x:c>
      <x:c r="E142" s="16" t="n">
        <x:v>1</x:v>
      </x:c>
      <x:c r="F142" s="16" t="n">
        <x:v>4</x:v>
      </x:c>
      <x:c r="G142" s="16" t="n">
        <x:v>6</x:v>
      </x:c>
      <x:c r="H142" s="16" t="n">
        <x:f>E142*F142*G142</x:f>
        <x:v>24</x:v>
      </x:c>
      <x:c r="I142" s="7" t="str">
        <x:v>RC03, FW01</x:v>
      </x:c>
      <x:c r="J142" s="7" t="str">
        <x:v>One opening per floor</x:v>
      </x:c>
      <x:c r="K142" s="2"/>
      <x:c r="L142" s="2"/>
      <x:c r="M142" s="2"/>
      <x:c r="N142" s="2"/>
      <x:c r="O142" s="2"/>
      <x:c r="P142" s="2"/>
      <x:c r="Q142" s="2"/>
    </x:row>
    <x:row r="143" ht="22" customHeight="1">
      <x:c r="A143" s="2" t="str">
        <x:v>T6-L02-OP02</x:v>
      </x:c>
      <x:c r="B143" s="2" t="str">
        <x:v>T6</x:v>
      </x:c>
      <x:c r="C143" s="2" t="n">
        <x:v>2</x:v>
      </x:c>
      <x:c r="D143" s="2" t="str">
        <x:v>Door openings</x:v>
      </x:c>
      <x:c r="E143" s="18" t="n">
        <x:v>28</x:v>
      </x:c>
      <x:c r="F143" s="18" t="n">
        <x:v>0.9</x:v>
      </x:c>
      <x:c r="G143" s="18" t="n">
        <x:v>2.1</x:v>
      </x:c>
      <x:c r="H143" s="18" t="n">
        <x:f>E143*F143*G143</x:f>
        <x:v>52.92</x:v>
      </x:c>
      <x:c r="I143" s="2" t="str">
        <x:v>AR01, AR02</x:v>
      </x:c>
      <x:c r="J143" s="2" t="str">
        <x:v>Same openings deducted from masonry and plaster</x:v>
      </x:c>
      <x:c r="K143" s="2"/>
      <x:c r="L143" s="2"/>
      <x:c r="M143" s="2"/>
      <x:c r="N143" s="2"/>
      <x:c r="O143" s="2"/>
      <x:c r="P143" s="2"/>
      <x:c r="Q143" s="2"/>
    </x:row>
    <x:row r="144" ht="22" customHeight="1">
      <x:c r="A144" s="7" t="str">
        <x:v>T6-L03-OP01</x:v>
      </x:c>
      <x:c r="B144" s="7" t="str">
        <x:v>T6</x:v>
      </x:c>
      <x:c r="C144" s="7" t="n">
        <x:v>3</x:v>
      </x:c>
      <x:c r="D144" s="7" t="str">
        <x:v>Stair core</x:v>
      </x:c>
      <x:c r="E144" s="16" t="n">
        <x:v>1</x:v>
      </x:c>
      <x:c r="F144" s="16" t="n">
        <x:v>4</x:v>
      </x:c>
      <x:c r="G144" s="16" t="n">
        <x:v>6</x:v>
      </x:c>
      <x:c r="H144" s="16" t="n">
        <x:f>E144*F144*G144</x:f>
        <x:v>24</x:v>
      </x:c>
      <x:c r="I144" s="7" t="str">
        <x:v>RC03, FW01</x:v>
      </x:c>
      <x:c r="J144" s="7" t="str">
        <x:v>One opening per floor</x:v>
      </x:c>
      <x:c r="K144" s="2"/>
      <x:c r="L144" s="2"/>
      <x:c r="M144" s="2"/>
      <x:c r="N144" s="2"/>
      <x:c r="O144" s="2"/>
      <x:c r="P144" s="2"/>
      <x:c r="Q144" s="2"/>
    </x:row>
    <x:row r="145" ht="22" customHeight="1">
      <x:c r="A145" s="2" t="str">
        <x:v>T6-L03-OP02</x:v>
      </x:c>
      <x:c r="B145" s="2" t="str">
        <x:v>T6</x:v>
      </x:c>
      <x:c r="C145" s="2" t="n">
        <x:v>3</x:v>
      </x:c>
      <x:c r="D145" s="2" t="str">
        <x:v>Door openings</x:v>
      </x:c>
      <x:c r="E145" s="18" t="n">
        <x:v>28</x:v>
      </x:c>
      <x:c r="F145" s="18" t="n">
        <x:v>0.9</x:v>
      </x:c>
      <x:c r="G145" s="18" t="n">
        <x:v>2.1</x:v>
      </x:c>
      <x:c r="H145" s="18" t="n">
        <x:f>E145*F145*G145</x:f>
        <x:v>52.92</x:v>
      </x:c>
      <x:c r="I145" s="2" t="str">
        <x:v>AR01, AR02</x:v>
      </x:c>
      <x:c r="J145" s="2" t="str">
        <x:v>Same openings deducted from masonry and plaster</x:v>
      </x:c>
      <x:c r="K145" s="2"/>
      <x:c r="L145" s="2"/>
      <x:c r="M145" s="2"/>
      <x:c r="N145" s="2"/>
      <x:c r="O145" s="2"/>
      <x:c r="P145" s="2"/>
      <x:c r="Q145" s="2"/>
    </x:row>
    <x:row r="146" ht="22" customHeight="1">
      <x:c r="A146" s="7" t="str">
        <x:v>T6-L04-OP01</x:v>
      </x:c>
      <x:c r="B146" s="7" t="str">
        <x:v>T6</x:v>
      </x:c>
      <x:c r="C146" s="7" t="n">
        <x:v>4</x:v>
      </x:c>
      <x:c r="D146" s="7" t="str">
        <x:v>Stair core</x:v>
      </x:c>
      <x:c r="E146" s="16" t="n">
        <x:v>1</x:v>
      </x:c>
      <x:c r="F146" s="16" t="n">
        <x:v>4</x:v>
      </x:c>
      <x:c r="G146" s="16" t="n">
        <x:v>6</x:v>
      </x:c>
      <x:c r="H146" s="16" t="n">
        <x:f>E146*F146*G146</x:f>
        <x:v>24</x:v>
      </x:c>
      <x:c r="I146" s="7" t="str">
        <x:v>RC03, FW01</x:v>
      </x:c>
      <x:c r="J146" s="7" t="str">
        <x:v>One opening per floor</x:v>
      </x:c>
      <x:c r="K146" s="2"/>
      <x:c r="L146" s="2"/>
      <x:c r="M146" s="2"/>
      <x:c r="N146" s="2"/>
      <x:c r="O146" s="2"/>
      <x:c r="P146" s="2"/>
      <x:c r="Q146" s="2"/>
    </x:row>
    <x:row r="147" ht="22" customHeight="1">
      <x:c r="A147" s="2" t="str">
        <x:v>T6-L04-OP02</x:v>
      </x:c>
      <x:c r="B147" s="2" t="str">
        <x:v>T6</x:v>
      </x:c>
      <x:c r="C147" s="2" t="n">
        <x:v>4</x:v>
      </x:c>
      <x:c r="D147" s="2" t="str">
        <x:v>Door openings</x:v>
      </x:c>
      <x:c r="E147" s="18" t="n">
        <x:v>28</x:v>
      </x:c>
      <x:c r="F147" s="18" t="n">
        <x:v>0.9</x:v>
      </x:c>
      <x:c r="G147" s="18" t="n">
        <x:v>2.1</x:v>
      </x:c>
      <x:c r="H147" s="18" t="n">
        <x:f>E147*F147*G147</x:f>
        <x:v>52.92</x:v>
      </x:c>
      <x:c r="I147" s="2" t="str">
        <x:v>AR01, AR02</x:v>
      </x:c>
      <x:c r="J147" s="2" t="str">
        <x:v>Same openings deducted from masonry and plaster</x:v>
      </x:c>
      <x:c r="K147" s="2"/>
      <x:c r="L147" s="2"/>
      <x:c r="M147" s="2"/>
      <x:c r="N147" s="2"/>
      <x:c r="O147" s="2"/>
      <x:c r="P147" s="2"/>
      <x:c r="Q147" s="2"/>
    </x:row>
    <x:row r="148" ht="22" customHeight="1">
      <x:c r="A148" s="7" t="str">
        <x:v>T6-L05-OP01</x:v>
      </x:c>
      <x:c r="B148" s="7" t="str">
        <x:v>T6</x:v>
      </x:c>
      <x:c r="C148" s="7" t="n">
        <x:v>5</x:v>
      </x:c>
      <x:c r="D148" s="7" t="str">
        <x:v>Stair core</x:v>
      </x:c>
      <x:c r="E148" s="16" t="n">
        <x:v>1</x:v>
      </x:c>
      <x:c r="F148" s="16" t="n">
        <x:v>4</x:v>
      </x:c>
      <x:c r="G148" s="16" t="n">
        <x:v>6</x:v>
      </x:c>
      <x:c r="H148" s="16" t="n">
        <x:f>E148*F148*G148</x:f>
        <x:v>24</x:v>
      </x:c>
      <x:c r="I148" s="7" t="str">
        <x:v>RC03, FW01</x:v>
      </x:c>
      <x:c r="J148" s="7" t="str">
        <x:v>One opening per floor</x:v>
      </x:c>
      <x:c r="K148" s="2"/>
      <x:c r="L148" s="2"/>
      <x:c r="M148" s="2"/>
      <x:c r="N148" s="2"/>
      <x:c r="O148" s="2"/>
      <x:c r="P148" s="2"/>
      <x:c r="Q148" s="2"/>
    </x:row>
    <x:row r="149" ht="22" customHeight="1">
      <x:c r="A149" s="2" t="str">
        <x:v>T6-L05-OP02</x:v>
      </x:c>
      <x:c r="B149" s="2" t="str">
        <x:v>T6</x:v>
      </x:c>
      <x:c r="C149" s="2" t="n">
        <x:v>5</x:v>
      </x:c>
      <x:c r="D149" s="2" t="str">
        <x:v>Door openings</x:v>
      </x:c>
      <x:c r="E149" s="18" t="n">
        <x:v>28</x:v>
      </x:c>
      <x:c r="F149" s="18" t="n">
        <x:v>0.9</x:v>
      </x:c>
      <x:c r="G149" s="18" t="n">
        <x:v>2.1</x:v>
      </x:c>
      <x:c r="H149" s="18" t="n">
        <x:f>E149*F149*G149</x:f>
        <x:v>52.92</x:v>
      </x:c>
      <x:c r="I149" s="2" t="str">
        <x:v>AR01, AR02</x:v>
      </x:c>
      <x:c r="J149" s="2" t="str">
        <x:v>Same openings deducted from masonry and plaster</x:v>
      </x:c>
      <x:c r="K149" s="2"/>
      <x:c r="L149" s="2"/>
      <x:c r="M149" s="2"/>
      <x:c r="N149" s="2"/>
      <x:c r="O149" s="2"/>
      <x:c r="P149" s="2"/>
      <x:c r="Q149" s="2"/>
    </x:row>
    <x:row r="150" ht="22" customHeight="1">
      <x:c r="A150" s="7" t="str">
        <x:v>T6-L06-OP01</x:v>
      </x:c>
      <x:c r="B150" s="7" t="str">
        <x:v>T6</x:v>
      </x:c>
      <x:c r="C150" s="7" t="n">
        <x:v>6</x:v>
      </x:c>
      <x:c r="D150" s="7" t="str">
        <x:v>Stair core</x:v>
      </x:c>
      <x:c r="E150" s="16" t="n">
        <x:v>1</x:v>
      </x:c>
      <x:c r="F150" s="16" t="n">
        <x:v>4</x:v>
      </x:c>
      <x:c r="G150" s="16" t="n">
        <x:v>6</x:v>
      </x:c>
      <x:c r="H150" s="16" t="n">
        <x:f>E150*F150*G150</x:f>
        <x:v>24</x:v>
      </x:c>
      <x:c r="I150" s="7" t="str">
        <x:v>RC03, FW01</x:v>
      </x:c>
      <x:c r="J150" s="7" t="str">
        <x:v>One opening per floor</x:v>
      </x:c>
      <x:c r="K150" s="2"/>
      <x:c r="L150" s="2"/>
      <x:c r="M150" s="2"/>
      <x:c r="N150" s="2"/>
      <x:c r="O150" s="2"/>
      <x:c r="P150" s="2"/>
      <x:c r="Q150" s="2"/>
    </x:row>
    <x:row r="151" ht="22" customHeight="1">
      <x:c r="A151" s="2" t="str">
        <x:v>T6-L06-OP02</x:v>
      </x:c>
      <x:c r="B151" s="2" t="str">
        <x:v>T6</x:v>
      </x:c>
      <x:c r="C151" s="2" t="n">
        <x:v>6</x:v>
      </x:c>
      <x:c r="D151" s="2" t="str">
        <x:v>Door openings</x:v>
      </x:c>
      <x:c r="E151" s="18" t="n">
        <x:v>28</x:v>
      </x:c>
      <x:c r="F151" s="18" t="n">
        <x:v>0.9</x:v>
      </x:c>
      <x:c r="G151" s="18" t="n">
        <x:v>2.1</x:v>
      </x:c>
      <x:c r="H151" s="18" t="n">
        <x:f>E151*F151*G151</x:f>
        <x:v>52.92</x:v>
      </x:c>
      <x:c r="I151" s="2" t="str">
        <x:v>AR01, AR02</x:v>
      </x:c>
      <x:c r="J151" s="2" t="str">
        <x:v>Same openings deducted from masonry and plaster</x:v>
      </x:c>
      <x:c r="K151" s="2"/>
      <x:c r="L151" s="2"/>
      <x:c r="M151" s="2"/>
      <x:c r="N151" s="2"/>
      <x:c r="O151" s="2"/>
      <x:c r="P151" s="2"/>
      <x:c r="Q151" s="2"/>
    </x:row>
    <x:row r="152" ht="22" customHeight="1">
      <x:c r="A152" s="7" t="str">
        <x:v>T6-L07-OP01</x:v>
      </x:c>
      <x:c r="B152" s="7" t="str">
        <x:v>T6</x:v>
      </x:c>
      <x:c r="C152" s="7" t="n">
        <x:v>7</x:v>
      </x:c>
      <x:c r="D152" s="7" t="str">
        <x:v>Stair core</x:v>
      </x:c>
      <x:c r="E152" s="16" t="n">
        <x:v>1</x:v>
      </x:c>
      <x:c r="F152" s="16" t="n">
        <x:v>4</x:v>
      </x:c>
      <x:c r="G152" s="16" t="n">
        <x:v>6</x:v>
      </x:c>
      <x:c r="H152" s="16" t="n">
        <x:f>E152*F152*G152</x:f>
        <x:v>24</x:v>
      </x:c>
      <x:c r="I152" s="7" t="str">
        <x:v>RC03, FW01</x:v>
      </x:c>
      <x:c r="J152" s="7" t="str">
        <x:v>One opening per floor</x:v>
      </x:c>
      <x:c r="K152" s="2"/>
      <x:c r="L152" s="2"/>
      <x:c r="M152" s="2"/>
      <x:c r="N152" s="2"/>
      <x:c r="O152" s="2"/>
      <x:c r="P152" s="2"/>
      <x:c r="Q152" s="2"/>
    </x:row>
    <x:row r="153" ht="22" customHeight="1">
      <x:c r="A153" s="2" t="str">
        <x:v>T6-L07-OP02</x:v>
      </x:c>
      <x:c r="B153" s="2" t="str">
        <x:v>T6</x:v>
      </x:c>
      <x:c r="C153" s="2" t="n">
        <x:v>7</x:v>
      </x:c>
      <x:c r="D153" s="2" t="str">
        <x:v>Door openings</x:v>
      </x:c>
      <x:c r="E153" s="18" t="n">
        <x:v>28</x:v>
      </x:c>
      <x:c r="F153" s="18" t="n">
        <x:v>0.9</x:v>
      </x:c>
      <x:c r="G153" s="18" t="n">
        <x:v>2.1</x:v>
      </x:c>
      <x:c r="H153" s="18" t="n">
        <x:f>E153*F153*G153</x:f>
        <x:v>52.92</x:v>
      </x:c>
      <x:c r="I153" s="2" t="str">
        <x:v>AR01, AR02</x:v>
      </x:c>
      <x:c r="J153" s="2" t="str">
        <x:v>Same openings deducted from masonry and plaster</x:v>
      </x:c>
      <x:c r="K153" s="2"/>
      <x:c r="L153" s="2"/>
      <x:c r="M153" s="2"/>
      <x:c r="N153" s="2"/>
      <x:c r="O153" s="2"/>
      <x:c r="P153" s="2"/>
      <x:c r="Q153" s="2"/>
    </x:row>
    <x:row r="154" ht="22" customHeight="1">
      <x:c r="A154" s="7" t="str">
        <x:v>T6-L08-OP01</x:v>
      </x:c>
      <x:c r="B154" s="7" t="str">
        <x:v>T6</x:v>
      </x:c>
      <x:c r="C154" s="7" t="n">
        <x:v>8</x:v>
      </x:c>
      <x:c r="D154" s="7" t="str">
        <x:v>Stair core</x:v>
      </x:c>
      <x:c r="E154" s="16" t="n">
        <x:v>1</x:v>
      </x:c>
      <x:c r="F154" s="16" t="n">
        <x:v>4</x:v>
      </x:c>
      <x:c r="G154" s="16" t="n">
        <x:v>6</x:v>
      </x:c>
      <x:c r="H154" s="16" t="n">
        <x:f>E154*F154*G154</x:f>
        <x:v>24</x:v>
      </x:c>
      <x:c r="I154" s="7" t="str">
        <x:v>RC03, FW01</x:v>
      </x:c>
      <x:c r="J154" s="7" t="str">
        <x:v>One opening per floor</x:v>
      </x:c>
      <x:c r="K154" s="2"/>
      <x:c r="L154" s="2"/>
      <x:c r="M154" s="2"/>
      <x:c r="N154" s="2"/>
      <x:c r="O154" s="2"/>
      <x:c r="P154" s="2"/>
      <x:c r="Q154" s="2"/>
    </x:row>
    <x:row r="155" ht="22" customHeight="1">
      <x:c r="A155" s="2" t="str">
        <x:v>T6-L08-OP02</x:v>
      </x:c>
      <x:c r="B155" s="2" t="str">
        <x:v>T6</x:v>
      </x:c>
      <x:c r="C155" s="2" t="n">
        <x:v>8</x:v>
      </x:c>
      <x:c r="D155" s="2" t="str">
        <x:v>Door openings</x:v>
      </x:c>
      <x:c r="E155" s="18" t="n">
        <x:v>28</x:v>
      </x:c>
      <x:c r="F155" s="18" t="n">
        <x:v>0.9</x:v>
      </x:c>
      <x:c r="G155" s="18" t="n">
        <x:v>2.1</x:v>
      </x:c>
      <x:c r="H155" s="18" t="n">
        <x:f>E155*F155*G155</x:f>
        <x:v>52.92</x:v>
      </x:c>
      <x:c r="I155" s="2" t="str">
        <x:v>AR01, AR02</x:v>
      </x:c>
      <x:c r="J155" s="2" t="str">
        <x:v>Same openings deducted from masonry and plaster</x:v>
      </x:c>
      <x:c r="K155" s="2"/>
      <x:c r="L155" s="2"/>
      <x:c r="M155" s="2"/>
      <x:c r="N155" s="2"/>
      <x:c r="O155" s="2"/>
      <x:c r="P155" s="2"/>
      <x:c r="Q155" s="2"/>
    </x:row>
    <x:row r="156" ht="22" customHeight="1">
      <x:c r="A156" s="7" t="str">
        <x:v>T6-L09-OP01</x:v>
      </x:c>
      <x:c r="B156" s="7" t="str">
        <x:v>T6</x:v>
      </x:c>
      <x:c r="C156" s="7" t="n">
        <x:v>9</x:v>
      </x:c>
      <x:c r="D156" s="7" t="str">
        <x:v>Stair core</x:v>
      </x:c>
      <x:c r="E156" s="16" t="n">
        <x:v>1</x:v>
      </x:c>
      <x:c r="F156" s="16" t="n">
        <x:v>4</x:v>
      </x:c>
      <x:c r="G156" s="16" t="n">
        <x:v>6</x:v>
      </x:c>
      <x:c r="H156" s="16" t="n">
        <x:f>E156*F156*G156</x:f>
        <x:v>24</x:v>
      </x:c>
      <x:c r="I156" s="7" t="str">
        <x:v>RC03, FW01</x:v>
      </x:c>
      <x:c r="J156" s="7" t="str">
        <x:v>One opening per floor</x:v>
      </x:c>
      <x:c r="K156" s="2"/>
      <x:c r="L156" s="2"/>
      <x:c r="M156" s="2"/>
      <x:c r="N156" s="2"/>
      <x:c r="O156" s="2"/>
      <x:c r="P156" s="2"/>
      <x:c r="Q156" s="2"/>
    </x:row>
    <x:row r="157" ht="22" customHeight="1">
      <x:c r="A157" s="2" t="str">
        <x:v>T6-L09-OP02</x:v>
      </x:c>
      <x:c r="B157" s="2" t="str">
        <x:v>T6</x:v>
      </x:c>
      <x:c r="C157" s="2" t="n">
        <x:v>9</x:v>
      </x:c>
      <x:c r="D157" s="2" t="str">
        <x:v>Door openings</x:v>
      </x:c>
      <x:c r="E157" s="18" t="n">
        <x:v>28</x:v>
      </x:c>
      <x:c r="F157" s="18" t="n">
        <x:v>0.9</x:v>
      </x:c>
      <x:c r="G157" s="18" t="n">
        <x:v>2.1</x:v>
      </x:c>
      <x:c r="H157" s="18" t="n">
        <x:f>E157*F157*G157</x:f>
        <x:v>52.92</x:v>
      </x:c>
      <x:c r="I157" s="2" t="str">
        <x:v>AR01, AR02</x:v>
      </x:c>
      <x:c r="J157" s="2" t="str">
        <x:v>Same openings deducted from masonry and plaster</x:v>
      </x:c>
      <x:c r="K157" s="2"/>
      <x:c r="L157" s="2"/>
      <x:c r="M157" s="2"/>
      <x:c r="N157" s="2"/>
      <x:c r="O157" s="2"/>
      <x:c r="P157" s="2"/>
      <x:c r="Q157" s="2"/>
    </x:row>
    <x:row r="158" ht="22" customHeight="1">
      <x:c r="A158" s="7" t="str">
        <x:v>T6-L10-OP01</x:v>
      </x:c>
      <x:c r="B158" s="7" t="str">
        <x:v>T6</x:v>
      </x:c>
      <x:c r="C158" s="7" t="n">
        <x:v>10</x:v>
      </x:c>
      <x:c r="D158" s="7" t="str">
        <x:v>Stair core</x:v>
      </x:c>
      <x:c r="E158" s="16" t="n">
        <x:v>1</x:v>
      </x:c>
      <x:c r="F158" s="16" t="n">
        <x:v>4</x:v>
      </x:c>
      <x:c r="G158" s="16" t="n">
        <x:v>6</x:v>
      </x:c>
      <x:c r="H158" s="16" t="n">
        <x:f>E158*F158*G158</x:f>
        <x:v>24</x:v>
      </x:c>
      <x:c r="I158" s="7" t="str">
        <x:v>RC03, FW01</x:v>
      </x:c>
      <x:c r="J158" s="7" t="str">
        <x:v>One opening per floor</x:v>
      </x:c>
      <x:c r="K158" s="2"/>
      <x:c r="L158" s="2"/>
      <x:c r="M158" s="2"/>
      <x:c r="N158" s="2"/>
      <x:c r="O158" s="2"/>
      <x:c r="P158" s="2"/>
      <x:c r="Q158" s="2"/>
    </x:row>
    <x:row r="159" ht="22" customHeight="1">
      <x:c r="A159" s="2" t="str">
        <x:v>T6-L10-OP02</x:v>
      </x:c>
      <x:c r="B159" s="2" t="str">
        <x:v>T6</x:v>
      </x:c>
      <x:c r="C159" s="2" t="n">
        <x:v>10</x:v>
      </x:c>
      <x:c r="D159" s="2" t="str">
        <x:v>Door openings</x:v>
      </x:c>
      <x:c r="E159" s="18" t="n">
        <x:v>28</x:v>
      </x:c>
      <x:c r="F159" s="18" t="n">
        <x:v>0.9</x:v>
      </x:c>
      <x:c r="G159" s="18" t="n">
        <x:v>2.1</x:v>
      </x:c>
      <x:c r="H159" s="18" t="n">
        <x:f>E159*F159*G159</x:f>
        <x:v>52.92</x:v>
      </x:c>
      <x:c r="I159" s="2" t="str">
        <x:v>AR01, AR02</x:v>
      </x:c>
      <x:c r="J159" s="2" t="str">
        <x:v>Same openings deducted from masonry and plaster</x:v>
      </x:c>
      <x:c r="K159" s="2"/>
      <x:c r="L159" s="2"/>
      <x:c r="M159" s="2"/>
      <x:c r="N159" s="2"/>
      <x:c r="O159" s="2"/>
      <x:c r="P159" s="2"/>
      <x:c r="Q159" s="2"/>
    </x:row>
    <x:row r="160" ht="22" customHeight="1">
      <x:c r="A160" s="7" t="str">
        <x:v>T6-L11-OP01</x:v>
      </x:c>
      <x:c r="B160" s="7" t="str">
        <x:v>T6</x:v>
      </x:c>
      <x:c r="C160" s="7" t="n">
        <x:v>11</x:v>
      </x:c>
      <x:c r="D160" s="7" t="str">
        <x:v>Stair core</x:v>
      </x:c>
      <x:c r="E160" s="16" t="n">
        <x:v>1</x:v>
      </x:c>
      <x:c r="F160" s="16" t="n">
        <x:v>4</x:v>
      </x:c>
      <x:c r="G160" s="16" t="n">
        <x:v>6</x:v>
      </x:c>
      <x:c r="H160" s="16" t="n">
        <x:f>E160*F160*G160</x:f>
        <x:v>24</x:v>
      </x:c>
      <x:c r="I160" s="7" t="str">
        <x:v>RC03, FW01</x:v>
      </x:c>
      <x:c r="J160" s="7" t="str">
        <x:v>One opening per floor</x:v>
      </x:c>
      <x:c r="K160" s="2"/>
      <x:c r="L160" s="2"/>
      <x:c r="M160" s="2"/>
      <x:c r="N160" s="2"/>
      <x:c r="O160" s="2"/>
      <x:c r="P160" s="2"/>
      <x:c r="Q160" s="2"/>
    </x:row>
    <x:row r="161" ht="22" customHeight="1">
      <x:c r="A161" s="2" t="str">
        <x:v>T6-L11-OP02</x:v>
      </x:c>
      <x:c r="B161" s="2" t="str">
        <x:v>T6</x:v>
      </x:c>
      <x:c r="C161" s="2" t="n">
        <x:v>11</x:v>
      </x:c>
      <x:c r="D161" s="2" t="str">
        <x:v>Door openings</x:v>
      </x:c>
      <x:c r="E161" s="18" t="n">
        <x:v>28</x:v>
      </x:c>
      <x:c r="F161" s="18" t="n">
        <x:v>0.9</x:v>
      </x:c>
      <x:c r="G161" s="18" t="n">
        <x:v>2.1</x:v>
      </x:c>
      <x:c r="H161" s="18" t="n">
        <x:f>E161*F161*G161</x:f>
        <x:v>52.92</x:v>
      </x:c>
      <x:c r="I161" s="2" t="str">
        <x:v>AR01, AR02</x:v>
      </x:c>
      <x:c r="J161" s="2" t="str">
        <x:v>Same openings deducted from masonry and plaster</x:v>
      </x:c>
      <x:c r="K161" s="2"/>
      <x:c r="L161" s="2"/>
      <x:c r="M161" s="2"/>
      <x:c r="N161" s="2"/>
      <x:c r="O161" s="2"/>
      <x:c r="P161" s="2"/>
      <x:c r="Q161" s="2"/>
    </x:row>
    <x:row r="162" ht="22" customHeight="1">
      <x:c r="A162" s="7" t="str">
        <x:v>T6-L12-OP01</x:v>
      </x:c>
      <x:c r="B162" s="7" t="str">
        <x:v>T6</x:v>
      </x:c>
      <x:c r="C162" s="7" t="n">
        <x:v>12</x:v>
      </x:c>
      <x:c r="D162" s="7" t="str">
        <x:v>Stair core</x:v>
      </x:c>
      <x:c r="E162" s="16" t="n">
        <x:v>1</x:v>
      </x:c>
      <x:c r="F162" s="16" t="n">
        <x:v>4</x:v>
      </x:c>
      <x:c r="G162" s="16" t="n">
        <x:v>6</x:v>
      </x:c>
      <x:c r="H162" s="16" t="n">
        <x:f>E162*F162*G162</x:f>
        <x:v>24</x:v>
      </x:c>
      <x:c r="I162" s="7" t="str">
        <x:v>RC03, FW01</x:v>
      </x:c>
      <x:c r="J162" s="7" t="str">
        <x:v>One opening per floor</x:v>
      </x:c>
      <x:c r="K162" s="2"/>
      <x:c r="L162" s="2"/>
      <x:c r="M162" s="2"/>
      <x:c r="N162" s="2"/>
      <x:c r="O162" s="2"/>
      <x:c r="P162" s="2"/>
      <x:c r="Q162" s="2"/>
    </x:row>
    <x:row r="163" ht="22" customHeight="1">
      <x:c r="A163" s="2" t="str">
        <x:v>T6-L12-OP02</x:v>
      </x:c>
      <x:c r="B163" s="2" t="str">
        <x:v>T6</x:v>
      </x:c>
      <x:c r="C163" s="2" t="n">
        <x:v>12</x:v>
      </x:c>
      <x:c r="D163" s="2" t="str">
        <x:v>Door openings</x:v>
      </x:c>
      <x:c r="E163" s="18" t="n">
        <x:v>28</x:v>
      </x:c>
      <x:c r="F163" s="18" t="n">
        <x:v>0.9</x:v>
      </x:c>
      <x:c r="G163" s="18" t="n">
        <x:v>2.1</x:v>
      </x:c>
      <x:c r="H163" s="18" t="n">
        <x:f>E163*F163*G163</x:f>
        <x:v>52.92</x:v>
      </x:c>
      <x:c r="I163" s="2" t="str">
        <x:v>AR01, AR02</x:v>
      </x:c>
      <x:c r="J163" s="2" t="str">
        <x:v>Same openings deducted from masonry and plaster</x:v>
      </x:c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52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Unit rate build-up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Indicative USD estimating inputs; materials, labor and plant are editable. No current supplier quotations.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Item</x:v>
      </x:c>
      <x:c r="B7" s="6" t="str">
        <x:v>Trade</x:v>
      </x:c>
      <x:c r="C7" s="6" t="str">
        <x:v>Description</x:v>
      </x:c>
      <x:c r="D7" s="6" t="str">
        <x:v>Unit</x:v>
      </x:c>
      <x:c r="E7" s="6" t="str">
        <x:v>Material USD</x:v>
      </x:c>
      <x:c r="F7" s="6" t="str">
        <x:v>Labor USD</x:v>
      </x:c>
      <x:c r="G7" s="6" t="str">
        <x:v>Plant USD</x:v>
      </x:c>
      <x:c r="H7" s="6" t="str">
        <x:v>Rate USD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7" t="str">
        <x:v>EW01</x:v>
      </x:c>
      <x:c r="B8" s="7" t="str">
        <x:v>Earthworks</x:v>
      </x:c>
      <x:c r="C8" s="7" t="str">
        <x:v>Bulk excavation</x:v>
      </x:c>
      <x:c r="D8" s="7" t="str">
        <x:v>m3</x:v>
      </x:c>
      <x:c r="E8" s="15" t="n">
        <x:v>0</x:v>
      </x:c>
      <x:c r="F8" s="15" t="n">
        <x:v>1.6</x:v>
      </x:c>
      <x:c r="G8" s="15" t="n">
        <x:v>5.8</x:v>
      </x:c>
      <x:c r="H8" s="16" t="n">
        <x:f>E8*'Controls'!$B$39+F8*'Controls'!$B$40+G8*'Controls'!$B$41</x:f>
        <x:v>7.4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EW02</x:v>
      </x:c>
      <x:c r="B9" s="2" t="str">
        <x:v>Earthworks</x:v>
      </x:c>
      <x:c r="C9" s="2" t="str">
        <x:v>Dispose surplus, loose measure</x:v>
      </x:c>
      <x:c r="D9" s="2" t="str">
        <x:v>m3</x:v>
      </x:c>
      <x:c r="E9" s="17" t="n">
        <x:v>1.2</x:v>
      </x:c>
      <x:c r="F9" s="17" t="n">
        <x:v>0.7</x:v>
      </x:c>
      <x:c r="G9" s="17" t="n">
        <x:v>4.5</x:v>
      </x:c>
      <x:c r="H9" s="18" t="n">
        <x:f>E9*'Controls'!$B$39+F9*'Controls'!$B$40+G9*'Controls'!$B$41</x:f>
        <x:v>6.4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7" t="str">
        <x:v>EW03</x:v>
      </x:c>
      <x:c r="B10" s="7" t="str">
        <x:v>Earthworks</x:v>
      </x:c>
      <x:c r="C10" s="7" t="str">
        <x:v>Selected compacted backfill</x:v>
      </x:c>
      <x:c r="D10" s="7" t="str">
        <x:v>m3</x:v>
      </x:c>
      <x:c r="E10" s="15" t="n">
        <x:v>10</x:v>
      </x:c>
      <x:c r="F10" s="15" t="n">
        <x:v>2.1</x:v>
      </x:c>
      <x:c r="G10" s="15" t="n">
        <x:v>3.2</x:v>
      </x:c>
      <x:c r="H10" s="16" t="n">
        <x:f>E10*'Controls'!$B$39+F10*'Controls'!$B$40+G10*'Controls'!$B$41</x:f>
        <x:v>15.3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RC01</x:v>
      </x:c>
      <x:c r="B11" s="2" t="str">
        <x:v>Concrete</x:v>
      </x:c>
      <x:c r="C11" s="2" t="str">
        <x:v>Lean concrete blinding</x:v>
      </x:c>
      <x:c r="D11" s="2" t="str">
        <x:v>m3</x:v>
      </x:c>
      <x:c r="E11" s="17" t="n">
        <x:v>78</x:v>
      </x:c>
      <x:c r="F11" s="17" t="n">
        <x:v>9</x:v>
      </x:c>
      <x:c r="G11" s="17" t="n">
        <x:v>7</x:v>
      </x:c>
      <x:c r="H11" s="18" t="n">
        <x:f>E11*'Controls'!$B$39+F11*'Controls'!$B$40+G11*'Controls'!$B$41</x:f>
        <x:v>94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7" t="str">
        <x:v>RC02</x:v>
      </x:c>
      <x:c r="B12" s="7" t="str">
        <x:v>Concrete</x:v>
      </x:c>
      <x:c r="C12" s="7" t="str">
        <x:v>Raft and thickening concrete</x:v>
      </x:c>
      <x:c r="D12" s="7" t="str">
        <x:v>m3</x:v>
      </x:c>
      <x:c r="E12" s="15" t="n">
        <x:v>110</x:v>
      </x:c>
      <x:c r="F12" s="15" t="n">
        <x:v>14</x:v>
      </x:c>
      <x:c r="G12" s="15" t="n">
        <x:v>12</x:v>
      </x:c>
      <x:c r="H12" s="16" t="n">
        <x:f>E12*'Controls'!$B$39+F12*'Controls'!$B$40+G12*'Controls'!$B$41</x:f>
        <x:v>136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RC03</x:v>
      </x:c>
      <x:c r="B13" s="2" t="str">
        <x:v>Concrete</x:v>
      </x:c>
      <x:c r="C13" s="2" t="str">
        <x:v>Suspended floor slab concrete</x:v>
      </x:c>
      <x:c r="D13" s="2" t="str">
        <x:v>m3</x:v>
      </x:c>
      <x:c r="E13" s="17" t="n">
        <x:v>113</x:v>
      </x:c>
      <x:c r="F13" s="17" t="n">
        <x:v>18</x:v>
      </x:c>
      <x:c r="G13" s="17" t="n">
        <x:v>12</x:v>
      </x:c>
      <x:c r="H13" s="18" t="n">
        <x:f>E13*'Controls'!$B$39+F13*'Controls'!$B$40+G13*'Controls'!$B$41</x:f>
        <x:v>143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7" t="str">
        <x:v>RC04</x:v>
      </x:c>
      <x:c r="B14" s="7" t="str">
        <x:v>Concrete</x:v>
      </x:c>
      <x:c r="C14" s="7" t="str">
        <x:v>Beam downstand concrete</x:v>
      </x:c>
      <x:c r="D14" s="7" t="str">
        <x:v>m3</x:v>
      </x:c>
      <x:c r="E14" s="15" t="n">
        <x:v>113</x:v>
      </x:c>
      <x:c r="F14" s="15" t="n">
        <x:v>24</x:v>
      </x:c>
      <x:c r="G14" s="15" t="n">
        <x:v>14</x:v>
      </x:c>
      <x:c r="H14" s="16" t="n">
        <x:f>E14*'Controls'!$B$39+F14*'Controls'!$B$40+G14*'Controls'!$B$41</x:f>
        <x:v>151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v>RC05</x:v>
      </x:c>
      <x:c r="B15" s="2" t="str">
        <x:v>Concrete</x:v>
      </x:c>
      <x:c r="C15" s="2" t="str">
        <x:v>Column concrete</x:v>
      </x:c>
      <x:c r="D15" s="2" t="str">
        <x:v>m3</x:v>
      </x:c>
      <x:c r="E15" s="17" t="n">
        <x:v>118</x:v>
      </x:c>
      <x:c r="F15" s="17" t="n">
        <x:v>30</x:v>
      </x:c>
      <x:c r="G15" s="17" t="n">
        <x:v>16</x:v>
      </x:c>
      <x:c r="H15" s="18" t="n">
        <x:f>E15*'Controls'!$B$39+F15*'Controls'!$B$40+G15*'Controls'!$B$41</x:f>
        <x:v>164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7" t="str">
        <x:v>RC06</x:v>
      </x:c>
      <x:c r="B16" s="7" t="str">
        <x:v>Concrete</x:v>
      </x:c>
      <x:c r="C16" s="7" t="str">
        <x:v>Core wall concrete</x:v>
      </x:c>
      <x:c r="D16" s="7" t="str">
        <x:v>m3</x:v>
      </x:c>
      <x:c r="E16" s="15" t="n">
        <x:v>118</x:v>
      </x:c>
      <x:c r="F16" s="15" t="n">
        <x:v>28</x:v>
      </x:c>
      <x:c r="G16" s="15" t="n">
        <x:v>15</x:v>
      </x:c>
      <x:c r="H16" s="16" t="n">
        <x:f>E16*'Controls'!$B$39+F16*'Controls'!$B$40+G16*'Controls'!$B$41</x:f>
        <x:v>161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 t="str">
        <x:v>RC07</x:v>
      </x:c>
      <x:c r="B17" s="2" t="str">
        <x:v>Concrete</x:v>
      </x:c>
      <x:c r="C17" s="2" t="str">
        <x:v>Stair concrete</x:v>
      </x:c>
      <x:c r="D17" s="2" t="str">
        <x:v>m3</x:v>
      </x:c>
      <x:c r="E17" s="17" t="n">
        <x:v>118</x:v>
      </x:c>
      <x:c r="F17" s="17" t="n">
        <x:v>40</x:v>
      </x:c>
      <x:c r="G17" s="17" t="n">
        <x:v>12</x:v>
      </x:c>
      <x:c r="H17" s="18" t="n">
        <x:f>E17*'Controls'!$B$39+F17*'Controls'!$B$40+G17*'Controls'!$B$41</x:f>
        <x:v>170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7" t="str">
        <x:v>RC08</x:v>
      </x:c>
      <x:c r="B18" s="7" t="str">
        <x:v>Concrete</x:v>
      </x:c>
      <x:c r="C18" s="7" t="str">
        <x:v>Basement perimeter wall concrete</x:v>
      </x:c>
      <x:c r="D18" s="7" t="str">
        <x:v>m3</x:v>
      </x:c>
      <x:c r="E18" s="15" t="n">
        <x:v>115</x:v>
      </x:c>
      <x:c r="F18" s="15" t="n">
        <x:v>27</x:v>
      </x:c>
      <x:c r="G18" s="15" t="n">
        <x:v>13</x:v>
      </x:c>
      <x:c r="H18" s="16" t="n">
        <x:f>E18*'Controls'!$B$39+F18*'Controls'!$B$40+G18*'Controls'!$B$41</x:f>
        <x:v>155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 t="str">
        <x:v>RC09</x:v>
      </x:c>
      <x:c r="B19" s="2" t="str">
        <x:v>Concrete</x:v>
      </x:c>
      <x:c r="C19" s="2" t="str">
        <x:v>Podium roof slab concrete</x:v>
      </x:c>
      <x:c r="D19" s="2" t="str">
        <x:v>m3</x:v>
      </x:c>
      <x:c r="E19" s="17" t="n">
        <x:v>113</x:v>
      </x:c>
      <x:c r="F19" s="17" t="n">
        <x:v>18</x:v>
      </x:c>
      <x:c r="G19" s="17" t="n">
        <x:v>12</x:v>
      </x:c>
      <x:c r="H19" s="18" t="n">
        <x:f>E19*'Controls'!$B$39+F19*'Controls'!$B$40+G19*'Controls'!$B$41</x:f>
        <x:v>143</x:v>
      </x:c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7" t="str">
        <x:v>RB01</x:v>
      </x:c>
      <x:c r="B20" s="7" t="str">
        <x:v>Reinforcement</x:v>
      </x:c>
      <x:c r="C20" s="7" t="str">
        <x:v>Scheduled reinforcement, cut bend fix</x:v>
      </x:c>
      <x:c r="D20" s="7" t="str">
        <x:v>t</x:v>
      </x:c>
      <x:c r="E20" s="15" t="n">
        <x:v>690</x:v>
      </x:c>
      <x:c r="F20" s="15" t="n">
        <x:v>155</x:v>
      </x:c>
      <x:c r="G20" s="15" t="n">
        <x:v>24</x:v>
      </x:c>
      <x:c r="H20" s="16" t="n">
        <x:f>E20*'Controls'!$B$39+F20*'Controls'!$B$40+G20*'Controls'!$B$41</x:f>
        <x:v>869</x:v>
      </x:c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 t="str">
        <x:v>FW01</x:v>
      </x:c>
      <x:c r="B21" s="2" t="str">
        <x:v>Formwork</x:v>
      </x:c>
      <x:c r="C21" s="2" t="str">
        <x:v>Slab soffit formwork</x:v>
      </x:c>
      <x:c r="D21" s="2" t="str">
        <x:v>m2</x:v>
      </x:c>
      <x:c r="E21" s="17" t="n">
        <x:v>11</x:v>
      </x:c>
      <x:c r="F21" s="17" t="n">
        <x:v>9</x:v>
      </x:c>
      <x:c r="G21" s="17" t="n">
        <x:v>2</x:v>
      </x:c>
      <x:c r="H21" s="18" t="n">
        <x:f>E21*'Controls'!$B$39+F21*'Controls'!$B$40+G21*'Controls'!$B$41</x:f>
        <x:v>22</x:v>
      </x:c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7" t="str">
        <x:v>FW02</x:v>
      </x:c>
      <x:c r="B22" s="7" t="str">
        <x:v>Formwork</x:v>
      </x:c>
      <x:c r="C22" s="7" t="str">
        <x:v>Beam sides and soffit formwork</x:v>
      </x:c>
      <x:c r="D22" s="7" t="str">
        <x:v>m2</x:v>
      </x:c>
      <x:c r="E22" s="15" t="n">
        <x:v>12</x:v>
      </x:c>
      <x:c r="F22" s="15" t="n">
        <x:v>12</x:v>
      </x:c>
      <x:c r="G22" s="15" t="n">
        <x:v>2</x:v>
      </x:c>
      <x:c r="H22" s="16" t="n">
        <x:f>E22*'Controls'!$B$39+F22*'Controls'!$B$40+G22*'Controls'!$B$41</x:f>
        <x:v>26</x:v>
      </x:c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v>FW03</x:v>
      </x:c>
      <x:c r="B23" s="2" t="str">
        <x:v>Formwork</x:v>
      </x:c>
      <x:c r="C23" s="2" t="str">
        <x:v>Column formwork</x:v>
      </x:c>
      <x:c r="D23" s="2" t="str">
        <x:v>m2</x:v>
      </x:c>
      <x:c r="E23" s="17" t="n">
        <x:v>12</x:v>
      </x:c>
      <x:c r="F23" s="17" t="n">
        <x:v>13</x:v>
      </x:c>
      <x:c r="G23" s="17" t="n">
        <x:v>2</x:v>
      </x:c>
      <x:c r="H23" s="18" t="n">
        <x:f>E23*'Controls'!$B$39+F23*'Controls'!$B$40+G23*'Controls'!$B$41</x:f>
        <x:v>27</x:v>
      </x:c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7" t="str">
        <x:v>FW04</x:v>
      </x:c>
      <x:c r="B24" s="7" t="str">
        <x:v>Formwork</x:v>
      </x:c>
      <x:c r="C24" s="7" t="str">
        <x:v>Core wall formwork, both faces</x:v>
      </x:c>
      <x:c r="D24" s="7" t="str">
        <x:v>m2</x:v>
      </x:c>
      <x:c r="E24" s="15" t="n">
        <x:v>12</x:v>
      </x:c>
      <x:c r="F24" s="15" t="n">
        <x:v>11</x:v>
      </x:c>
      <x:c r="G24" s="15" t="n">
        <x:v>2</x:v>
      </x:c>
      <x:c r="H24" s="16" t="n">
        <x:f>E24*'Controls'!$B$39+F24*'Controls'!$B$40+G24*'Controls'!$B$41</x:f>
        <x:v>25</x:v>
      </x:c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v>FW05</x:v>
      </x:c>
      <x:c r="B25" s="2" t="str">
        <x:v>Formwork</x:v>
      </x:c>
      <x:c r="C25" s="2" t="str">
        <x:v>Basement wall formwork</x:v>
      </x:c>
      <x:c r="D25" s="2" t="str">
        <x:v>m2</x:v>
      </x:c>
      <x:c r="E25" s="17" t="n">
        <x:v>11</x:v>
      </x:c>
      <x:c r="F25" s="17" t="n">
        <x:v>10</x:v>
      </x:c>
      <x:c r="G25" s="17" t="n">
        <x:v>2</x:v>
      </x:c>
      <x:c r="H25" s="18" t="n">
        <x:f>E25*'Controls'!$B$39+F25*'Controls'!$B$40+G25*'Controls'!$B$41</x:f>
        <x:v>23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7" t="str">
        <x:v>FW06</x:v>
      </x:c>
      <x:c r="B26" s="7" t="str">
        <x:v>Formwork</x:v>
      </x:c>
      <x:c r="C26" s="7" t="str">
        <x:v>Podium soffit formwork</x:v>
      </x:c>
      <x:c r="D26" s="7" t="str">
        <x:v>m2</x:v>
      </x:c>
      <x:c r="E26" s="15" t="n">
        <x:v>11</x:v>
      </x:c>
      <x:c r="F26" s="15" t="n">
        <x:v>9</x:v>
      </x:c>
      <x:c r="G26" s="15" t="n">
        <x:v>2</x:v>
      </x:c>
      <x:c r="H26" s="16" t="n">
        <x:f>E26*'Controls'!$B$39+F26*'Controls'!$B$40+G26*'Controls'!$B$41</x:f>
        <x:v>22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v>EN01</x:v>
      </x:c>
      <x:c r="B27" s="2" t="str">
        <x:v>Envelope</x:v>
      </x:c>
      <x:c r="C27" s="2" t="str">
        <x:v>Basement waterproofing membrane</x:v>
      </x:c>
      <x:c r="D27" s="2" t="str">
        <x:v>m2</x:v>
      </x:c>
      <x:c r="E27" s="17" t="n">
        <x:v>13</x:v>
      </x:c>
      <x:c r="F27" s="17" t="n">
        <x:v>4</x:v>
      </x:c>
      <x:c r="G27" s="17" t="n">
        <x:v>1</x:v>
      </x:c>
      <x:c r="H27" s="18" t="n">
        <x:f>E27*'Controls'!$B$39+F27*'Controls'!$B$40+G27*'Controls'!$B$41</x:f>
        <x:v>18</x:v>
      </x:c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7" t="str">
        <x:v>EN02</x:v>
      </x:c>
      <x:c r="B28" s="7" t="str">
        <x:v>Envelope</x:v>
      </x:c>
      <x:c r="C28" s="7" t="str">
        <x:v>Roof waterproofing membrane</x:v>
      </x:c>
      <x:c r="D28" s="7" t="str">
        <x:v>m2</x:v>
      </x:c>
      <x:c r="E28" s="15" t="n">
        <x:v>14</x:v>
      </x:c>
      <x:c r="F28" s="15" t="n">
        <x:v>5</x:v>
      </x:c>
      <x:c r="G28" s="15" t="n">
        <x:v>1</x:v>
      </x:c>
      <x:c r="H28" s="16" t="n">
        <x:f>E28*'Controls'!$B$39+F28*'Controls'!$B$40+G28*'Controls'!$B$41</x:f>
        <x:v>20</x:v>
      </x:c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 t="str">
        <x:v>EN03</x:v>
      </x:c>
      <x:c r="B29" s="2" t="str">
        <x:v>Envelope</x:v>
      </x:c>
      <x:c r="C29" s="2" t="str">
        <x:v>External insulated facade, opaque area</x:v>
      </x:c>
      <x:c r="D29" s="2" t="str">
        <x:v>m2</x:v>
      </x:c>
      <x:c r="E29" s="17" t="n">
        <x:v>62</x:v>
      </x:c>
      <x:c r="F29" s="17" t="n">
        <x:v>18</x:v>
      </x:c>
      <x:c r="G29" s="17" t="n">
        <x:v>4</x:v>
      </x:c>
      <x:c r="H29" s="18" t="n">
        <x:f>E29*'Controls'!$B$39+F29*'Controls'!$B$40+G29*'Controls'!$B$41</x:f>
        <x:v>84</x:v>
      </x:c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7" t="str">
        <x:v>EN04</x:v>
      </x:c>
      <x:c r="B30" s="7" t="str">
        <x:v>Envelope</x:v>
      </x:c>
      <x:c r="C30" s="7" t="str">
        <x:v>External glazing and frames</x:v>
      </x:c>
      <x:c r="D30" s="7" t="str">
        <x:v>m2</x:v>
      </x:c>
      <x:c r="E30" s="15" t="n">
        <x:v>185</x:v>
      </x:c>
      <x:c r="F30" s="15" t="n">
        <x:v>30</x:v>
      </x:c>
      <x:c r="G30" s="15" t="n">
        <x:v>5</x:v>
      </x:c>
      <x:c r="H30" s="16" t="n">
        <x:f>E30*'Controls'!$B$39+F30*'Controls'!$B$40+G30*'Controls'!$B$41</x:f>
        <x:v>220</x:v>
      </x:c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 t="str">
        <x:v>AR01</x:v>
      </x:c>
      <x:c r="B31" s="2" t="str">
        <x:v>Finishes</x:v>
      </x:c>
      <x:c r="C31" s="2" t="str">
        <x:v>Internal masonry partitions</x:v>
      </x:c>
      <x:c r="D31" s="2" t="str">
        <x:v>m3</x:v>
      </x:c>
      <x:c r="E31" s="17" t="n">
        <x:v>91</x:v>
      </x:c>
      <x:c r="F31" s="17" t="n">
        <x:v>38</x:v>
      </x:c>
      <x:c r="G31" s="17" t="n">
        <x:v>6</x:v>
      </x:c>
      <x:c r="H31" s="18" t="n">
        <x:f>E31*'Controls'!$B$39+F31*'Controls'!$B$40+G31*'Controls'!$B$41</x:f>
        <x:v>135</x:v>
      </x:c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7" t="str">
        <x:v>AR02</x:v>
      </x:c>
      <x:c r="B32" s="7" t="str">
        <x:v>Finishes</x:v>
      </x:c>
      <x:c r="C32" s="7" t="str">
        <x:v>Internal plaster, both faces net</x:v>
      </x:c>
      <x:c r="D32" s="7" t="str">
        <x:v>m2</x:v>
      </x:c>
      <x:c r="E32" s="15" t="n">
        <x:v>5.5</x:v>
      </x:c>
      <x:c r="F32" s="15" t="n">
        <x:v>6</x:v>
      </x:c>
      <x:c r="G32" s="15" t="n">
        <x:v>1</x:v>
      </x:c>
      <x:c r="H32" s="16" t="n">
        <x:f>E32*'Controls'!$B$39+F32*'Controls'!$B$40+G32*'Controls'!$B$41</x:f>
        <x:v>12.5</x:v>
      </x:c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 t="str">
        <x:v>AR03</x:v>
      </x:c>
      <x:c r="B33" s="2" t="str">
        <x:v>Finishes</x:v>
      </x:c>
      <x:c r="C33" s="2" t="str">
        <x:v>Floor screed, 50 mm</x:v>
      </x:c>
      <x:c r="D33" s="2" t="str">
        <x:v>m2</x:v>
      </x:c>
      <x:c r="E33" s="17" t="n">
        <x:v>7.5</x:v>
      </x:c>
      <x:c r="F33" s="17" t="n">
        <x:v>4.5</x:v>
      </x:c>
      <x:c r="G33" s="17" t="n">
        <x:v>1</x:v>
      </x:c>
      <x:c r="H33" s="18" t="n">
        <x:f>E33*'Controls'!$B$39+F33*'Controls'!$B$40+G33*'Controls'!$B$41</x:f>
        <x:v>13</x:v>
      </x:c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7" t="str">
        <x:v>AR04</x:v>
      </x:c>
      <x:c r="B34" s="7" t="str">
        <x:v>Finishes</x:v>
      </x:c>
      <x:c r="C34" s="7" t="str">
        <x:v>Floor tiles and skirtings</x:v>
      </x:c>
      <x:c r="D34" s="7" t="str">
        <x:v>m2</x:v>
      </x:c>
      <x:c r="E34" s="15" t="n">
        <x:v>23</x:v>
      </x:c>
      <x:c r="F34" s="15" t="n">
        <x:v>10</x:v>
      </x:c>
      <x:c r="G34" s="15" t="n">
        <x:v>1.5</x:v>
      </x:c>
      <x:c r="H34" s="16" t="n">
        <x:f>E34*'Controls'!$B$39+F34*'Controls'!$B$40+G34*'Controls'!$B$41</x:f>
        <x:v>34.5</x:v>
      </x:c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 t="str">
        <x:v>AR05</x:v>
      </x:c>
      <x:c r="B35" s="2" t="str">
        <x:v>Finishes</x:v>
      </x:c>
      <x:c r="C35" s="2" t="str">
        <x:v>Internal paint, two coats</x:v>
      </x:c>
      <x:c r="D35" s="2" t="str">
        <x:v>m2</x:v>
      </x:c>
      <x:c r="E35" s="17" t="n">
        <x:v>3.8</x:v>
      </x:c>
      <x:c r="F35" s="17" t="n">
        <x:v>4.2</x:v>
      </x:c>
      <x:c r="G35" s="17" t="n">
        <x:v>0.5</x:v>
      </x:c>
      <x:c r="H35" s="18" t="n">
        <x:f>E35*'Controls'!$B$39+F35*'Controls'!$B$40+G35*'Controls'!$B$41</x:f>
        <x:v>8.5</x:v>
      </x:c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7" t="str">
        <x:v>AR06</x:v>
      </x:c>
      <x:c r="B36" s="7" t="str">
        <x:v>Finishes</x:v>
      </x:c>
      <x:c r="C36" s="7" t="str">
        <x:v>Internal door sets</x:v>
      </x:c>
      <x:c r="D36" s="7" t="str">
        <x:v>nr</x:v>
      </x:c>
      <x:c r="E36" s="15" t="n">
        <x:v>165</x:v>
      </x:c>
      <x:c r="F36" s="15" t="n">
        <x:v>38</x:v>
      </x:c>
      <x:c r="G36" s="15" t="n">
        <x:v>4</x:v>
      </x:c>
      <x:c r="H36" s="16" t="n">
        <x:f>E36*'Controls'!$B$39+F36*'Controls'!$B$40+G36*'Controls'!$B$41</x:f>
        <x:v>207</x:v>
      </x:c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 t="str">
        <x:v>EX01</x:v>
      </x:c>
      <x:c r="B37" s="2" t="str">
        <x:v>External</x:v>
      </x:c>
      <x:c r="C37" s="2" t="str">
        <x:v>External paving</x:v>
      </x:c>
      <x:c r="D37" s="2" t="str">
        <x:v>m2</x:v>
      </x:c>
      <x:c r="E37" s="17" t="n">
        <x:v>25</x:v>
      </x:c>
      <x:c r="F37" s="17" t="n">
        <x:v>9</x:v>
      </x:c>
      <x:c r="G37" s="17" t="n">
        <x:v>4</x:v>
      </x:c>
      <x:c r="H37" s="18" t="n">
        <x:f>E37*'Controls'!$B$39+F37*'Controls'!$B$40+G37*'Controls'!$B$41</x:f>
        <x:v>38</x:v>
      </x:c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7" t="str">
        <x:v>EX02</x:v>
      </x:c>
      <x:c r="B38" s="7" t="str">
        <x:v>External</x:v>
      </x:c>
      <x:c r="C38" s="7" t="str">
        <x:v>Stormwater carrier pipe</x:v>
      </x:c>
      <x:c r="D38" s="7" t="str">
        <x:v>m</x:v>
      </x:c>
      <x:c r="E38" s="15" t="n">
        <x:v>42</x:v>
      </x:c>
      <x:c r="F38" s="15" t="n">
        <x:v>15</x:v>
      </x:c>
      <x:c r="G38" s="15" t="n">
        <x:v>9</x:v>
      </x:c>
      <x:c r="H38" s="16" t="n">
        <x:f>E38*'Controls'!$B$39+F38*'Controls'!$B$40+G38*'Controls'!$B$41</x:f>
        <x:v>66</x:v>
      </x:c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 t="str">
        <x:v>EX03</x:v>
      </x:c>
      <x:c r="B39" s="2" t="str">
        <x:v>External</x:v>
      </x:c>
      <x:c r="C39" s="2" t="str">
        <x:v>Stormwater inspection chambers</x:v>
      </x:c>
      <x:c r="D39" s="2" t="str">
        <x:v>nr</x:v>
      </x:c>
      <x:c r="E39" s="17" t="n">
        <x:v>360</x:v>
      </x:c>
      <x:c r="F39" s="17" t="n">
        <x:v>145</x:v>
      </x:c>
      <x:c r="G39" s="17" t="n">
        <x:v>55</x:v>
      </x:c>
      <x:c r="H39" s="18" t="n">
        <x:f>E39*'Controls'!$B$39+F39*'Controls'!$B$40+G39*'Controls'!$B$41</x:f>
        <x:v>560</x:v>
      </x:c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6" hidden="0" customWidth="1"/>
    <x:col min="4" max="4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Cost by trade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Same measured scope as BOQ; no duplicate allowances.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Trade</x:v>
      </x:c>
      <x:c r="B7" s="6" t="str">
        <x:v>Direct cost USD</x:v>
      </x:c>
      <x:c r="C7" s="6" t="str">
        <x:v>Share</x:v>
      </x:c>
      <x:c r="D7" s="6" t="str">
        <x:v>Scope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7" t="str">
        <x:v>Earthworks</x:v>
      </x:c>
      <x:c r="B8" s="26" t="n">
        <x:f>SUMIFS('BOQ'!$G$8:$G$39,'BOQ'!$B$8:$B$39,A8)</x:f>
        <x:v>1076882.4000000001</x:v>
      </x:c>
      <x:c r="C8" s="28" t="n">
        <x:f>B8/'BOQ'!G41</x:f>
        <x:v>0.04761411031574699</x:v>
      </x:c>
      <x:c r="D8" s="7" t="str">
        <x:v>Measured package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Concrete</x:v>
      </x:c>
      <x:c r="B9" s="27" t="n">
        <x:f>SUMIFS('BOQ'!$G$8:$G$39,'BOQ'!$B$8:$B$39,A9)</x:f>
        <x:v>4853421.665999996</x:v>
      </x:c>
      <x:c r="C9" s="29" t="n">
        <x:f>B9/'BOQ'!G41</x:f>
        <x:v>0.21459293476591346</x:v>
      </x:c>
      <x:c r="D9" s="2" t="str">
        <x:v>Measured package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7" t="str">
        <x:v>Reinforcement</x:v>
      </x:c>
      <x:c r="B10" s="26" t="n">
        <x:f>SUMIFS('BOQ'!$G$8:$G$39,'BOQ'!$B$8:$B$39,A10)</x:f>
        <x:v>4024100.6838441757</x:v>
      </x:c>
      <x:c r="C10" s="28" t="n">
        <x:f>B10/'BOQ'!G41</x:f>
        <x:v>0.1779246962177388</x:v>
      </x:c>
      <x:c r="D10" s="7" t="str">
        <x:v>Preliminary scheduled quantities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Formwork</x:v>
      </x:c>
      <x:c r="B11" s="27" t="n">
        <x:f>SUMIFS('BOQ'!$G$8:$G$39,'BOQ'!$B$8:$B$39,A11)</x:f>
        <x:v>2589263.7600000002</x:v>
      </x:c>
      <x:c r="C11" s="29" t="n">
        <x:f>B11/'BOQ'!G41</x:f>
        <x:v>0.11448370806803589</x:v>
      </x:c>
      <x:c r="D11" s="2" t="str">
        <x:v>Measured package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7" t="str">
        <x:v>Envelope</x:v>
      </x:c>
      <x:c r="B12" s="26" t="n">
        <x:f>SUMIFS('BOQ'!$G$8:$G$39,'BOQ'!$B$8:$B$39,A12)</x:f>
        <x:v>3868326.144</x:v>
      </x:c>
      <x:c r="C12" s="28" t="n">
        <x:f>B12/'BOQ'!G41</x:f>
        <x:v>0.17103716037861158</x:v>
      </x:c>
      <x:c r="D12" s="7" t="str">
        <x:v>Waterproofing, opaque facade and glazing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Finishes</x:v>
      </x:c>
      <x:c r="B13" s="27" t="n">
        <x:f>SUMIFS('BOQ'!$G$8:$G$39,'BOQ'!$B$8:$B$39,A13)</x:f>
        <x:v>5957080.740000001</x:v>
      </x:c>
      <x:c r="C13" s="29" t="n">
        <x:f>B13/'BOQ'!G41</x:f>
        <x:v>0.26339096963064096</x:v>
      </x:c>
      <x:c r="D13" s="2" t="str">
        <x:v>Measured package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7" t="str">
        <x:v>External</x:v>
      </x:c>
      <x:c r="B14" s="26" t="n">
        <x:f>SUMIFS('BOQ'!$G$8:$G$39,'BOQ'!$B$8:$B$39,A14)</x:f>
        <x:v>247800</x:v>
      </x:c>
      <x:c r="C14" s="28" t="n">
        <x:f>B14/'BOQ'!G41</x:f>
        <x:v>0.010956420623312353</x:v>
      </x:c>
      <x:c r="D14" s="7" t="str">
        <x:v>Measured package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7"/>
      <x:c r="C15" s="29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17" hidden="0" customWidth="1"/>
    <x:col min="5" max="5" width="22" hidden="0" customWidth="1"/>
    <x:col min="6" max="6" width="6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Procurement quantities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Allowances shown separately. Quantities are not supplier orders.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Material</x:v>
      </x:c>
      <x:c r="B7" s="6" t="str">
        <x:v>Unit</x:v>
      </x:c>
      <x:c r="C7" s="6" t="str">
        <x:v>Net installed</x:v>
      </x:c>
      <x:c r="D7" s="6" t="str">
        <x:v>Allowance</x:v>
      </x:c>
      <x:c r="E7" s="6" t="str">
        <x:v>Order quantity</x:v>
      </x:c>
      <x:c r="F7" s="6" t="str">
        <x:v>Basis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7" t="str">
        <x:v>Concrete</x:v>
      </x:c>
      <x:c r="B8" s="7" t="str">
        <x:v>m3</x:v>
      </x:c>
      <x:c r="C8" s="16" t="n">
        <x:f>SUMIFS('BOQ'!E8:E39,'BOQ'!B8:B39,"Concrete")</x:f>
        <x:v>34385.97959999998</x:v>
      </x:c>
      <x:c r="D8" s="28" t="n">
        <x:f>'Controls'!$B$35</x:f>
        <x:v>0.025</x:v>
      </x:c>
      <x:c r="E8" s="16" t="n">
        <x:f>C8*(1+D8)</x:f>
        <x:v>35245.62908999997</x:v>
      </x:c>
      <x:c r="F8" s="7" t="str">
        <x:v>Order allowance excluded from net BOQ quantity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Reinforcement</x:v>
      </x:c>
      <x:c r="B9" s="2" t="str">
        <x:v>t</x:v>
      </x:c>
      <x:c r="C9" s="18" t="n">
        <x:f>SUMIFS('BOQ'!E8:E39,'BOQ'!A8:A39,"RB01")</x:f>
        <x:v>4630.725758163609</x:v>
      </x:c>
      <x:c r="D9" s="29" t="n">
        <x:f>'Controls'!$B$34</x:f>
        <x:v>0.04</x:v>
      </x:c>
      <x:c r="E9" s="18" t="n">
        <x:f>C9*(1+D9)</x:f>
        <x:v>4815.954788490153</x:v>
      </x:c>
      <x:c r="F9" s="2" t="str">
        <x:v>Order allowance excluded from net BOQ quantity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7" t="str">
        <x:v>Masonry</x:v>
      </x:c>
      <x:c r="B10" s="7" t="str">
        <x:v>m3</x:v>
      </x:c>
      <x:c r="C10" s="16" t="n">
        <x:f>SUMIFS('BOQ'!E8:E39,'BOQ'!A8:A39,"AR01")</x:f>
        <x:v>7051.356000000001</x:v>
      </x:c>
      <x:c r="D10" s="28" t="n">
        <x:f>'Controls'!$B$36</x:f>
        <x:v>0.05</x:v>
      </x:c>
      <x:c r="E10" s="16" t="n">
        <x:f>C10*(1+D10)</x:f>
        <x:v>7403.923800000001</x:v>
      </x:c>
      <x:c r="F10" s="7" t="str">
        <x:v>Order allowance excluded from net BOQ quantity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Floor tiles</x:v>
      </x:c>
      <x:c r="B11" s="2" t="str">
        <x:v>m2</x:v>
      </x:c>
      <x:c r="C11" s="18" t="n">
        <x:f>SUMIFS('BOQ'!E8:E39,'BOQ'!A8:A39,"AR04")</x:f>
        <x:v>54288</x:v>
      </x:c>
      <x:c r="D11" s="29" t="n">
        <x:f>'Controls'!$B$54</x:f>
        <x:v>0.07</x:v>
      </x:c>
      <x:c r="E11" s="18" t="n">
        <x:f>C11*(1+D11)</x:f>
        <x:v>58088.16</x:v>
      </x:c>
      <x:c r="F11" s="2" t="str">
        <x:v>Order allowance excluded from net BOQ quantity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7" t="str">
        <x:v>Facade</x:v>
      </x:c>
      <x:c r="B12" s="7" t="str">
        <x:v>m2</x:v>
      </x:c>
      <x:c r="C12" s="16" t="n">
        <x:f>SUMIFS('BOQ'!E8:E39,'BOQ'!A8:A39,"EN03")</x:f>
        <x:v>19408.895999999997</x:v>
      </x:c>
      <x:c r="D12" s="28" t="n">
        <x:f>'Controls'!$B$37</x:f>
        <x:v>0.04</x:v>
      </x:c>
      <x:c r="E12" s="16" t="n">
        <x:f>C12*(1+D12)</x:f>
        <x:v>20185.251839999997</x:v>
      </x:c>
      <x:c r="F12" s="7" t="str">
        <x:v>Order allowance excluded from net BOQ quantity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25" hidden="0" customWidth="1"/>
    <x:col min="4" max="4" width="21" hidden="0" customWidth="1"/>
    <x:col min="5" max="5" width="17" hidden="0" customWidth="1"/>
    <x:col min="6" max="6" width="16" hidden="0" customWidth="1"/>
    <x:col min="7" max="7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Measurement and cost reconciliation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Independent arithmetic reference frozen at Rev 01. Changes to geometry require a new reference review.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Control</x:v>
      </x:c>
      <x:c r="B7" s="6" t="str">
        <x:v>Workbook result</x:v>
      </x:c>
      <x:c r="C7" s="6" t="str">
        <x:v>Independent reference</x:v>
      </x:c>
      <x:c r="D7" s="6" t="str">
        <x:v>Difference</x:v>
      </x:c>
      <x:c r="E7" s="6" t="str">
        <x:v>Tolerance</x:v>
      </x:c>
      <x:c r="F7" s="6" t="str">
        <x:v>Status</x:v>
      </x:c>
      <x:c r="G7" s="6" t="str">
        <x:v>Unit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7" t="str">
        <x:v>Total GFA</x:v>
      </x:c>
      <x:c r="B8" s="20" t="n">
        <x:f>'Controls'!$B$8*'Controls'!$B$9*'Controls'!$B$10*'Controls'!$B$11+'Controls'!$B$22*'Controls'!$B$23</x:f>
        <x:v>70560</x:v>
      </x:c>
      <x:c r="C8" s="20" t="n">
        <x:v>70560</x:v>
      </x:c>
      <x:c r="D8" s="20" t="n">
        <x:f>B8-C8</x:f>
        <x:v>0</x:v>
      </x:c>
      <x:c r="E8" s="20" t="n">
        <x:v>0.001</x:v>
      </x:c>
      <x:c r="F8" s="7" t="str">
        <x:f>IF(ABS(D8)&lt;=E8,"OK","REVIEW")</x:f>
        <x:v>OK</x:v>
      </x:c>
      <x:c r="G8" s="7" t="str">
        <x:v>m2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Floor opening area</x:v>
      </x:c>
      <x:c r="B9" s="21" t="n">
        <x:f>SUMIFS('Openings'!H8:H163,'Openings'!D8:D163,"Stair core")</x:f>
        <x:v>1872</x:v>
      </x:c>
      <x:c r="C9" s="21" t="n">
        <x:v>1872</x:v>
      </x:c>
      <x:c r="D9" s="21" t="n">
        <x:f>B9-C9</x:f>
        <x:v>0</x:v>
      </x:c>
      <x:c r="E9" s="21" t="n">
        <x:v>0.001</x:v>
      </x:c>
      <x:c r="F9" s="2" t="str">
        <x:f>IF(ABS(D9)&lt;=E9,"OK","REVIEW")</x:f>
        <x:v>OK</x:v>
      </x:c>
      <x:c r="G9" s="2" t="str">
        <x:v>m2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7" t="str">
        <x:v>Net suspended slab concrete</x:v>
      </x:c>
      <x:c r="B10" s="20" t="n">
        <x:f>SUMIFS('BOQ'!E8:E39,'BOQ'!A8:A39,"RC03")</x:f>
        <x:v>11943.359999999971</x:v>
      </x:c>
      <x:c r="C10" s="20" t="n">
        <x:v>11943.36</x:v>
      </x:c>
      <x:c r="D10" s="20" t="n">
        <x:f>B10-C10</x:f>
        <x:v>-2.9103830456733704e-11</x:v>
      </x:c>
      <x:c r="E10" s="20" t="n">
        <x:v>0.001</x:v>
      </x:c>
      <x:c r="F10" s="7" t="str">
        <x:f>IF(ABS(D10)&lt;=E10,"OK","REVIEW")</x:f>
        <x:v>OK</x:v>
      </x:c>
      <x:c r="G10" s="7" t="str">
        <x:v>m3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Base raft plus tower thickenings</x:v>
      </x:c>
      <x:c r="B11" s="21" t="n">
        <x:f>SUMIFS('BOQ'!E8:E39,'BOQ'!A8:A39,"RC02")</x:f>
        <x:v>12240</x:v>
      </x:c>
      <x:c r="C11" s="21" t="n">
        <x:v>12240</x:v>
      </x:c>
      <x:c r="D11" s="21" t="n">
        <x:f>B11-C11</x:f>
        <x:v>0</x:v>
      </x:c>
      <x:c r="E11" s="21" t="n">
        <x:v>0.001</x:v>
      </x:c>
      <x:c r="F11" s="2" t="str">
        <x:f>IF(ABS(D11)&lt;=E11,"OK","REVIEW")</x:f>
        <x:v>OK</x:v>
      </x:c>
      <x:c r="G11" s="2" t="str">
        <x:v>m3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7" t="str">
        <x:v>Net scheduled reinforcement</x:v>
      </x:c>
      <x:c r="B12" s="20" t="n">
        <x:f>SUM('Rebar schedule'!I8:I1029)/1000</x:f>
        <x:v>4630.725758163609</x:v>
      </x:c>
      <x:c r="C12" s="20" t="n">
        <x:v>4630.725758163609</x:v>
      </x:c>
      <x:c r="D12" s="20" t="n">
        <x:f>B12-C12</x:f>
        <x:v>0</x:v>
      </x:c>
      <x:c r="E12" s="20" t="n">
        <x:v>0.001</x:v>
      </x:c>
      <x:c r="F12" s="7" t="str">
        <x:f>IF(ABS(D12)&lt;=E12,"OK","REVIEW")</x:f>
        <x:v>OK</x:v>
      </x:c>
      <x:c r="G12" s="7" t="str">
        <x:v>t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Trades reconcile to BOQ</x:v>
      </x:c>
      <x:c r="B13" s="21" t="n">
        <x:f>SUM('Trade summary'!B8:B14)-'BOQ'!G41</x:f>
        <x:v>0</x:v>
      </x:c>
      <x:c r="C13" s="21" t="n">
        <x:v>0</x:v>
      </x:c>
      <x:c r="D13" s="21" t="n">
        <x:f>B13-C13</x:f>
        <x:v>0</x:v>
      </x:c>
      <x:c r="E13" s="21" t="n">
        <x:v>0.001</x:v>
      </x:c>
      <x:c r="F13" s="2" t="str">
        <x:f>IF(ABS(D13)&lt;=E13,"OK","REVIEW")</x:f>
        <x:v>OK</x:v>
      </x:c>
      <x:c r="G13" s="2" t="str">
        <x:v>USD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7" t="str">
        <x:v>Facade area reconciliation</x:v>
      </x:c>
      <x:c r="B14" s="20" t="n">
        <x:f>SUMIFS('BOQ'!E8:E39,'BOQ'!A8:A39,"EN03")+SUMIFS('BOQ'!E8:E39,'BOQ'!A8:A39,"EN04")</x:f>
        <x:v>26956.8</x:v>
      </x:c>
      <x:c r="C14" s="20" t="n">
        <x:v>26956.8</x:v>
      </x:c>
      <x:c r="D14" s="20" t="n">
        <x:f>B14-C14</x:f>
        <x:v>0</x:v>
      </x:c>
      <x:c r="E14" s="20" t="n">
        <x:v>0.001</x:v>
      </x:c>
      <x:c r="F14" s="7" t="str">
        <x:f>IF(ABS(D14)&lt;=E14,"OK","REVIEW")</x:f>
        <x:v>OK</x:v>
      </x:c>
      <x:c r="G14" s="7" t="str">
        <x:v>m2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v>Floor soffit plus beam footprint</x:v>
      </x:c>
      <x:c r="B15" s="21" t="n">
        <x:f>SUMIFS('BOQ'!E8:E39,'BOQ'!A8:A39,"FW01")+78*269.5*.3</x:f>
        <x:v>54288.00000000007</x:v>
      </x:c>
      <x:c r="C15" s="21" t="n">
        <x:v>54288</x:v>
      </x:c>
      <x:c r="D15" s="21" t="n">
        <x:f>B15-C15</x:f>
        <x:v>7.275957614183426e-11</x:v>
      </x:c>
      <x:c r="E15" s="21" t="n">
        <x:v>0.001</x:v>
      </x:c>
      <x:c r="F15" s="2" t="str">
        <x:f>IF(ABS(D15)&lt;=E15,"OK","REVIEW")</x:f>
        <x:v>OK</x:v>
      </x:c>
      <x:c r="G15" s="2" t="str">
        <x:v>m2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conditionalFormatting sqref="D8:D15">
    <x:cfRule type="cellIs" dxfId="0" priority="1" operator="greaterThan">
      <x:formula>0.001</x:formula>
    </x:cfRule>
    <x:cfRule type="cellIs" dxfId="1" priority="2" operator="lessThan">
      <x:formula>-0.001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8795A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1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12" t="str">
        <x:v>Scope and measurement basis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13" t="str">
        <x:v>Read with Controls, rate build-ups and detailed measurement registers.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2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4" customHeight="1">
      <x:c r="A7" s="6" t="str">
        <x:v>Topic</x:v>
      </x:c>
      <x:c r="B7" s="6" t="str">
        <x:v>Basis and exclusions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36" customHeight="1">
      <x:c r="A8" s="7" t="str">
        <x:v>Document</x:v>
      </x:c>
      <x:c r="B8" s="33" t="str">
        <x:v>CE-R01, Rev 01, 23 October 2026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36" customHeight="1">
      <x:c r="A9" s="2" t="str">
        <x:v>Author</x:v>
      </x:c>
      <x:c r="B9" s="34" t="str">
        <x:v>Celal Erakman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36" customHeight="1">
      <x:c r="A10" s="7" t="str">
        <x:v>Project basis</x:v>
      </x:c>
      <x:c r="B10" s="33" t="str">
        <x:v>Independent residential concept: six 30 x 24 m towers, 13 floors and one 120 x 120 m basement.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36" customHeight="1">
      <x:c r="A11" s="2" t="str">
        <x:v>Apartments</x:v>
      </x:c>
      <x:c r="B11" s="34" t="str">
        <x:v>12 residential floors x 4 apartments x 6 towers = 288; ground floor treated as shared amenities.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6" customHeight="1">
      <x:c r="A12" s="7" t="str">
        <x:v>Measurement convention</x:v>
      </x:c>
      <x:c r="B12" s="33" t="str">
        <x:v>SI units. Net installed quantities; procurement waste separated. Rate analysis in USD.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36" customHeight="1">
      <x:c r="A13" s="2" t="str">
        <x:v>Drawing references</x:v>
      </x:c>
      <x:c r="B13" s="34" t="str">
        <x:v>CE-R01-S01 and S02 identify the concept geometry only. No issued-for-construction drawings supplied.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36" customHeight="1">
      <x:c r="A14" s="7" t="str">
        <x:v>Concrete overlap rule</x:v>
      </x:c>
      <x:c r="B14" s="33" t="str">
        <x:v>Slabs full thickness; beams only below slab; columns and walls clear storey; raft thickenings additional depth only.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36" customHeight="1">
      <x:c r="A15" s="2" t="str">
        <x:v>Formwork rule</x:v>
      </x:c>
      <x:c r="B15" s="34" t="str">
        <x:v>Slab soffit excludes beam footprint; beam forms include soffit and downstand sides. No exposed top surface formwork.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36" customHeight="1">
      <x:c r="A16" s="7" t="str">
        <x:v>Door deductions</x:v>
      </x:c>
      <x:c r="B16" s="33" t="str">
        <x:v>Same 28 x 0.9 x 2.1 m openings per floor used for masonry and two-face plaster.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36" customHeight="1">
      <x:c r="A17" s="2" t="str">
        <x:v>Rebar basis</x:v>
      </x:c>
      <x:c r="B17" s="34" t="str">
        <x:v>Diameter and count schedules are preliminary quantity assumptions. No fabrication lengths or code-compliant reinforcement design claimed.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36" customHeight="1">
      <x:c r="A18" s="7" t="str">
        <x:v>Rebar opening model</x:v>
      </x:c>
      <x:c r="B18" s="33" t="str">
        <x:v>Slab bars split around centered 4 x 6 m core opening, trim bars separately scheduled.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36" customHeight="1">
      <x:c r="A19" s="2" t="str">
        <x:v>Rebar inclusions</x:v>
      </x:c>
      <x:c r="B19" s="34" t="str">
        <x:v>Raft mat laps, beam anchorage, column and wall laps scheduled. Chairs and local punching additions require design development.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36" customHeight="1">
      <x:c r="A20" s="7" t="str">
        <x:v>Rate basis</x:v>
      </x:c>
      <x:c r="B20" s="33" t="str">
        <x:v>Material, labor and plant inputs are indicative author assumptions. Replace with project location and supplier quotations.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36" customHeight="1">
      <x:c r="A21" s="2" t="str">
        <x:v>Estimate exclusions</x:v>
      </x:c>
      <x:c r="B21" s="34" t="str">
        <x:v>MEP, fire protection, lifts, land, taxes, authority costs, financing, piling, dewatering and contaminated ground remediation.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36" customHeight="1">
      <x:c r="A22" s="7" t="str">
        <x:v>Ground assumptions</x:v>
      </x:c>
      <x:c r="B22" s="33" t="str">
        <x:v>Open excavation in competent dry ground. Shoring and dewatering not measured. Geotechnical verification required.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36" customHeight="1">
      <x:c r="A23" s="2" t="str">
        <x:v>Scope completeness</x:v>
      </x:c>
      <x:c r="B23" s="34" t="str">
        <x:v>This is a civil and architectural package estimate, not a whole-development construction price.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36" customHeight="1">
      <x:c r="A24" s="7" t="str">
        <x:v>Model changes</x:v>
      </x:c>
      <x:c r="B24" s="33" t="str">
        <x:v>Controls govern scalar geometry. Six blocks and thirteen floors are explicit register rows; adding blocks/floors requires extending rows.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36" customHeight="1">
      <x:c r="A25" s="2" t="str">
        <x:v>Rebar model changes</x:v>
      </x:c>
      <x:c r="B25" s="34" t="str">
        <x:v>Bar schedule counts/cut lengths are editable scheduled inputs and do not auto-redesign when geometry changes.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36" customHeight="1">
      <x:c r="A26" s="7" t="str">
        <x:v>Checks</x:v>
      </x:c>
      <x:c r="B26" s="33" t="str">
        <x:v>Frozen independent Rev 01 control quantities deliberately flag geometry changes until reviewed.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36" customHeight="1">
      <x:c r="A27" s="2" t="str">
        <x:v>Use</x:v>
      </x:c>
      <x:c r="B27" s="34" t="str">
        <x:v>Portfolio presentation and estimating methodology. Not for procurement, fabrication or construction.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</x:row>
  </x:sheetData>
  <x:pageMargins left="0.7" right="0.7" top="0.75" bottom="0.75" header="0.3" footer="0.3"/>
</x:worksheet>
</file>