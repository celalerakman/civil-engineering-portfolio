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aaafd284a42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dc9c18d50384203"/>
    <x:sheet xmlns:r="http://schemas.openxmlformats.org/officeDocument/2006/relationships" name="Controls" sheetId="2" r:id="R21a39ffe41d24c96"/>
    <x:sheet xmlns:r="http://schemas.openxmlformats.org/officeDocument/2006/relationships" name="Budget" sheetId="3" r:id="R3128f5da0fe24129"/>
    <x:sheet xmlns:r="http://schemas.openxmlformats.org/officeDocument/2006/relationships" name="Work phasing" sheetId="4" r:id="Rc552f306069e4606"/>
    <x:sheet xmlns:r="http://schemas.openxmlformats.org/officeDocument/2006/relationships" name="Cost accrual" sheetId="5" r:id="R4c828c6489d1406b"/>
    <x:sheet xmlns:r="http://schemas.openxmlformats.org/officeDocument/2006/relationships" name="Valuations" sheetId="6" r:id="R8d74434999e94820"/>
    <x:sheet xmlns:r="http://schemas.openxmlformats.org/officeDocument/2006/relationships" name="Cashflow" sheetId="7" r:id="R43a8d5224d8342cf"/>
    <x:sheet xmlns:r="http://schemas.openxmlformats.org/officeDocument/2006/relationships" name="Funding" sheetId="8" r:id="R51b442e7a26f408c"/>
    <x:sheet xmlns:r="http://schemas.openxmlformats.org/officeDocument/2006/relationships" name="Procurement" sheetId="9" r:id="R50bcc740452e4fd8"/>
    <x:sheet xmlns:r="http://schemas.openxmlformats.org/officeDocument/2006/relationships" name="Checks" sheetId="10" r:id="R3a300f2a19954746"/>
    <x:sheet xmlns:r="http://schemas.openxmlformats.org/officeDocument/2006/relationships" name="Basis" sheetId="11" r:id="R47840fa90a5441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mmm-yy"/>
    <x:numFmt numFmtId="202" formatCode="0.0%"/>
    <x:numFmt numFmtId="203" formatCode="#,##0"/>
    <x:numFmt numFmtId="204" formatCode="&quot;$&quot;#,##0;(&quot;$&quot;#,##0);&quot;-&quot;"/>
  </x:numFmts>
  <x:fonts count="10">
    <x:font>
      <x:sz val="11"/>
      <x:name val="Carlito"/>
    </x:font>
    <x:font>
      <x:sz val="10"/>
      <x:color rgb="FF18334B"/>
      <x:name val="Arial"/>
    </x:font>
    <x:font>
      <x:b/>
      <x:sz val="10"/>
      <x:color rgb="FFFFFFFF"/>
      <x:name val="Arial"/>
    </x:font>
    <x:font>
      <x:b/>
      <x:sz val="16"/>
      <x:color rgb="FF18334B"/>
      <x:name val="Arial"/>
    </x:font>
    <x:font>
      <x:sz val="10"/>
      <x:color rgb="FF526477"/>
      <x:name val="Arial"/>
    </x:font>
    <x:font>
      <x:sz val="10"/>
      <x:color rgb="FF1764A0"/>
      <x:name val="Arial"/>
    </x:font>
    <x:font>
      <x:sz val="10"/>
      <x:color rgb="FF187047"/>
      <x:name val="Arial"/>
    </x:font>
    <x:font>
      <x:sz val="10"/>
      <x:color rgb="FF172C3F"/>
      <x:name val="Arial"/>
    </x:font>
    <x:font>
      <x:b/>
      <x:sz val="11"/>
      <x:color rgb="FFFFFFFF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B"/>
      </x:patternFill>
    </x:fill>
    <x:fill>
      <x:patternFill patternType="solid">
        <x:fgColor rgb="FFF0F4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6A34A"/>
      </x:bottom>
      <x:diagonal/>
    </x:border>
  </x:borders>
  <x:cellStyleXfs count="1">
    <x:xf numFmtId="0" fontId="0" fillId="0" borderId="0"/>
  </x:cellStyleXfs>
  <x:cellXfs count="8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1" xfId="0" applyNumberFormat="1" applyFont="1" applyFill="1" applyBorder="1"/>
    <x:xf numFmtId="0" fontId="5" fillId="3" borderId="0" xfId="0" applyNumberFormat="1" applyFont="1" applyFill="1" applyBorder="1"/>
    <x:xf numFmtId="0" fontId="5" fillId="0" borderId="0" xfId="0" applyNumberFormat="1" applyFont="1" applyFill="1" applyBorder="1"/>
    <x:xf numFmtId="200" fontId="5" fillId="3" borderId="0" xfId="0" applyNumberFormat="1" applyFont="1" applyFill="1" applyBorder="1"/>
    <x:xf numFmtId="200" fontId="5" fillId="0" borderId="0" xfId="0" applyNumberFormat="1" applyFont="1" applyFill="1" applyBorder="1"/>
    <x:xf numFmtId="201" fontId="5" fillId="3" borderId="0" xfId="0" applyNumberFormat="1" applyFont="1" applyFill="1" applyBorder="1"/>
    <x:xf numFmtId="202" fontId="5" fillId="3" borderId="0" xfId="0" applyNumberFormat="1" applyFont="1" applyFill="1" applyBorder="1"/>
    <x:xf numFmtId="202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0" borderId="0" xfId="0" applyNumberFormat="1" applyFont="1" applyFill="1" applyBorder="1"/>
    <x:xf numFmtId="200" fontId="1" fillId="3" borderId="0" xfId="0" applyNumberFormat="1" applyFont="1" applyFill="1" applyBorder="1"/>
    <x:xf numFmtId="200" fontId="6" fillId="3" borderId="0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2" fontId="6" fillId="3" borderId="0" xfId="0" applyNumberFormat="1" applyFont="1" applyFill="1" applyBorder="1"/>
    <x:xf numFmtId="202" fontId="6" fillId="0" borderId="0" xfId="0" applyNumberFormat="1" applyFont="1" applyFill="1" applyBorder="1"/>
    <x:xf numFmtId="0" fontId="7" fillId="3" borderId="0" xfId="0" applyNumberFormat="1" applyFont="1" applyFill="1" applyBorder="1"/>
    <x:xf numFmtId="0" fontId="7" fillId="0" borderId="0" xfId="0" applyNumberFormat="1" applyFont="1" applyFill="1" applyBorder="1"/>
    <x:xf numFmtId="202" fontId="7" fillId="3" borderId="0" xfId="0" applyNumberFormat="1" applyFont="1" applyFill="1" applyBorder="1"/>
    <x:xf numFmtId="202" fontId="7" fillId="0" borderId="0" xfId="0" applyNumberFormat="1" applyFont="1" applyFill="1" applyBorder="1"/>
    <x:xf numFmtId="203" fontId="6" fillId="3" borderId="0" xfId="0" applyNumberFormat="1" applyFont="1" applyFill="1" applyBorder="1"/>
    <x:xf numFmtId="203" fontId="7" fillId="3" borderId="0" xfId="0" applyNumberFormat="1" applyFont="1" applyFill="1" applyBorder="1"/>
    <x:xf numFmtId="203" fontId="6" fillId="0" borderId="0" xfId="0" applyNumberFormat="1" applyFont="1" applyFill="1" applyBorder="1"/>
    <x:xf numFmtId="203" fontId="7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1" fillId="0" borderId="0" xfId="0" applyNumberFormat="1" applyFont="1" applyFill="1" applyBorder="1"/>
    <x:xf numFmtId="204" fontId="1" fillId="0" borderId="0" xfId="0" applyNumberFormat="1" applyFont="1" applyFill="1" applyBorder="1"/>
    <x:xf numFmtId="204" fontId="1" fillId="2" borderId="0" xfId="0" applyNumberFormat="1" applyFont="1" applyFill="1" applyBorder="1"/>
    <x:xf numFmtId="204" fontId="2" fillId="2" borderId="0" xfId="0" applyNumberFormat="1" applyFont="1" applyFill="1" applyBorder="1"/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203" fontId="1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2" fontId="6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202" fontId="7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3" fontId="6" fillId="3" borderId="0" xfId="0" applyNumberFormat="1" applyFont="1" applyFill="1" applyBorder="1" applyAlignment="1">
      <x:alignment vertical="center"/>
    </x:xf>
    <x:xf numFmtId="203" fontId="7" fillId="3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CE4E4"/>
        </x:patternFill>
      </x:fill>
    </x:dxf>
    <x:dxf>
      <x:font>
        <x:b/>
        <x:color rgb="FFB91C1C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3e3846193044b1" /><Relationship Type="http://schemas.openxmlformats.org/officeDocument/2006/relationships/theme" Target="/xl/theme/theme1.xml" Id="R0d16b5b3d00d43c6" /><Relationship Type="http://schemas.openxmlformats.org/officeDocument/2006/relationships/sharedStrings" Target="/xl/sharedStrings.xml" Id="Rea800667740c4994" /><Relationship Type="http://schemas.openxmlformats.org/officeDocument/2006/relationships/worksheet" Target="/xl/worksheets/sheet1.xml" Id="R1dc9c18d50384203" /><Relationship Type="http://schemas.openxmlformats.org/officeDocument/2006/relationships/worksheet" Target="/xl/worksheets/sheet2.xml" Id="R21a39ffe41d24c96" /><Relationship Type="http://schemas.openxmlformats.org/officeDocument/2006/relationships/worksheet" Target="/xl/worksheets/sheet3.xml" Id="R3128f5da0fe24129" /><Relationship Type="http://schemas.openxmlformats.org/officeDocument/2006/relationships/worksheet" Target="/xl/worksheets/sheet4.xml" Id="Rc552f306069e4606" /><Relationship Type="http://schemas.openxmlformats.org/officeDocument/2006/relationships/worksheet" Target="/xl/worksheets/sheet5.xml" Id="R4c828c6489d1406b" /><Relationship Type="http://schemas.openxmlformats.org/officeDocument/2006/relationships/worksheet" Target="/xl/worksheets/sheet6.xml" Id="R8d74434999e94820" /><Relationship Type="http://schemas.openxmlformats.org/officeDocument/2006/relationships/worksheet" Target="/xl/worksheets/sheet7.xml" Id="R43a8d5224d8342cf" /><Relationship Type="http://schemas.openxmlformats.org/officeDocument/2006/relationships/worksheet" Target="/xl/worksheets/sheet8.xml" Id="R51b442e7a26f408c" /><Relationship Type="http://schemas.openxmlformats.org/officeDocument/2006/relationships/worksheet" Target="/xl/worksheets/sheet9.xml" Id="R50bcc740452e4fd8" /><Relationship Type="http://schemas.openxmlformats.org/officeDocument/2006/relationships/worksheet" Target="/xl/worksheets/sheet10.xml" Id="R3a300f2a19954746" /><Relationship Type="http://schemas.openxmlformats.org/officeDocument/2006/relationships/worksheet" Target="/xl/worksheets/sheet11.xml" Id="R47840fa90a5441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e8a116bb1a41af" /><Relationship Type="http://schemas.openxmlformats.org/officeDocument/2006/relationships/chart" Target="/xl/drawings/charts/chart2.xml" Id="R30ddf0e84901493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Monthly owner receipts and cost payments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Receipts USD</c:v>
          </c:tx>
          <c:spPr>
            <a:solidFill xmlns:a="http://schemas.openxmlformats.org/drawingml/2006/main">
              <a:srgbClr val="255E91"/>
            </a:solidFill>
            <a:ln xmlns:a="http://schemas.openxmlformats.org/drawingml/2006/main" w="19050">
              <a:solidFill>
                <a:srgbClr val="255E91"/>
              </a:solidFill>
              <a:prstDash val="solid"/>
            </a:ln>
          </c:spPr>
          <c:marker>
            <c:symbol val="none"/>
          </c:marker>
          <c:cat>
            <c:strRef>
              <c:f>'Overview'!$A$30:$A$61</c:f>
              <c:strCache>
                <c:ptCount val="0"/>
              </c:strCache>
            </c:strRef>
          </c:cat>
          <c:val>
            <c:numRef>
              <c:f>'Overview'!$B$30:$B$61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Payments USD</c:v>
          </c:tx>
          <c:spPr>
            <a:solidFill xmlns:a="http://schemas.openxmlformats.org/drawingml/2006/main">
              <a:srgbClr val="D6A34A"/>
            </a:solidFill>
            <a:ln xmlns:a="http://schemas.openxmlformats.org/drawingml/2006/main" w="19050">
              <a:solidFill>
                <a:srgbClr val="D6A34A"/>
              </a:solidFill>
              <a:prstDash val="solid"/>
            </a:ln>
          </c:spPr>
          <c:marker>
            <c:symbol val="none"/>
          </c:marker>
          <c:cat>
            <c:strRef>
              <c:f>'Overview'!$A$30:$A$61</c:f>
              <c:strCache>
                <c:ptCount val="0"/>
              </c:strCache>
            </c:strRef>
          </c:cat>
          <c:val>
            <c:numRef>
              <c:f>'Overview'!$C$30:$C$61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4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Revolving debt balance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Closing debt USD</c:v>
          </c:tx>
          <c:spPr>
            <a:solidFill xmlns:a="http://schemas.openxmlformats.org/drawingml/2006/main">
              <a:srgbClr val="255E91"/>
            </a:solidFill>
            <a:ln xmlns:a="http://schemas.openxmlformats.org/drawingml/2006/main" w="19050">
              <a:solidFill>
                <a:srgbClr val="255E91"/>
              </a:solidFill>
              <a:prstDash val="solid"/>
            </a:ln>
          </c:spPr>
          <c:marker>
            <c:symbol val="none"/>
          </c:marker>
          <c:cat>
            <c:strRef>
              <c:f>'Overview'!$A$30:$A$61</c:f>
              <c:strCache>
                <c:ptCount val="0"/>
              </c:strCache>
            </c:strRef>
          </c:cat>
          <c:val>
            <c:numRef>
              <c:f>'Overview'!$D$30:$D$61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4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6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e8a116bb1a41af"/>
        </a:graphicData>
      </a:graphic>
    </xdr:graphicFrame>
    <xdr:clientData/>
  </xdr:twoCellAnchor>
  <xdr:twoCellAnchor>
    <xdr:from>
      <xdr:col>7</xdr:col>
      <xdr:colOff>0</xdr:colOff>
      <xdr:row>28</xdr:row>
      <xdr:rowOff>0</xdr:rowOff>
    </xdr:from>
    <xdr:to>
      <xdr:col>19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ddf0e84901493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766801c3a840b6" /></Relationships>
</file>

<file path=xl/worksheets/sheet1.xml><?xml version="1.0" encoding="utf-8"?>
<x:worksheet xmlns:x="http://schemas.openxmlformats.org/spreadsheetml/2006/main">
  <x:sheetPr>
    <x:tabColor rgb="FF18334B"/>
  </x:sheetPr>
  <x:sheetViews>
    <x:sheetView showGridLines="0" workbookViewId="0"/>
  </x:sheetViews>
  <x:sheetFormatPr defaultRowHeight="15"/>
  <x:cols>
    <x:col min="1" max="1" width="39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2">
      <x:c r="A2" s="8" t="str">
        <x:v>Residential development | cash and funding plan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4">
      <x:c r="A4" s="9" t="str">
        <x:v>CE-R01-CF / 70,560 m2 / 24-month delivery / 32-month cash horizon / Rev 01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</x:row>
    <x:row r="5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</x:row>
    <x:row r="7" ht="32" customHeight="1">
      <x:c r="A7" s="3" t="str">
        <x:v>COMMERCIAL SUMMARY</x:v>
      </x:c>
      <x:c r="B7" s="3" t="str">
        <x:v>USD</x:v>
      </x:c>
    </x:row>
    <x:row r="8" ht="26" customHeight="1">
      <x:c r="A8" s="1" t="str">
        <x:v>Contract value</x:v>
      </x:c>
      <x:c r="B8" s="38" t="n">
        <x:f>'Controls'!$B$8</x:f>
        <x:v>27588064.60541112</x:v>
      </x:c>
    </x:row>
    <x:row r="9" ht="26" customHeight="1">
      <x:c r="A9" s="1" t="str">
        <x:v>Execution cost budget</x:v>
      </x:c>
      <x:c r="B9" s="38" t="n">
        <x:f>'Controls'!$B$9*(1+'Controls'!$B$10+'Controls'!$B$11)</x:f>
        <x:v>25783237.948982358</x:v>
      </x:c>
    </x:row>
    <x:row r="10" ht="26" customHeight="1">
      <x:c r="A10" s="1" t="str">
        <x:v>Gross contribution before interest</x:v>
      </x:c>
      <x:c r="B10" s="38" t="n">
        <x:f>B8-B9</x:f>
        <x:v>1804826.6564287618</x:v>
      </x:c>
    </x:row>
    <x:row r="11" ht="26" customHeight="1">
      <x:c r="A11" s="1" t="str">
        <x:v>Financing interest</x:v>
      </x:c>
      <x:c r="B11" s="38" t="n">
        <x:f>SUM('Funding'!G8:G39)</x:f>
        <x:v>25418.81735489652</x:v>
      </x:c>
    </x:row>
    <x:row r="12" ht="28" customHeight="1">
      <x:c r="A12" s="3" t="str">
        <x:v>Contribution after interest</x:v>
      </x:c>
      <x:c r="B12" s="40" t="n">
        <x:f>B10-B11</x:f>
        <x:v>1779407.8390738652</x:v>
      </x:c>
    </x:row>
    <x:row r="13" ht="26" customHeight="1">
      <x:c r="A13" s="1" t="str">
        <x:v>Peak revolving debt</x:v>
      </x:c>
      <x:c r="B13" s="38" t="n">
        <x:f>MAX('Funding'!K8:K39)</x:f>
        <x:v>512106.50483593676</x:v>
      </x:c>
    </x:row>
    <x:row r="14" ht="26" customHeight="1">
      <x:c r="A14" s="1" t="str">
        <x:v>Facility limit</x:v>
      </x:c>
      <x:c r="B14" s="38" t="n">
        <x:f>'Controls'!$B$25</x:f>
        <x:v>5000000</x:v>
      </x:c>
    </x:row>
    <x:row r="15" ht="26" customHeight="1">
      <x:c r="A15" s="1" t="str">
        <x:v>Minimum ending cash</x:v>
      </x:c>
      <x:c r="B15" s="38" t="n">
        <x:f>MIN('Funding'!L8:L39)</x:f>
        <x:v>250000</x:v>
      </x:c>
    </x:row>
    <x:row r="16" ht="26" customHeight="1">
      <x:c r="A16" s="1" t="str">
        <x:v>Final debt</x:v>
      </x:c>
      <x:c r="B16" s="38" t="n">
        <x:f>'Funding'!K39</x:f>
        <x:v>0</x:v>
      </x:c>
    </x:row>
    <x:row r="17" ht="26" customHeight="1">
      <x:c r="A17" s="1" t="str">
        <x:v>Final cash incl. equity</x:v>
      </x:c>
      <x:c r="B17" s="38" t="n">
        <x:f>'Funding'!L39</x:f>
        <x:v>2279407.839073868</x:v>
      </x:c>
    </x:row>
    <x:row r="21" ht="24" customHeight="1">
      <x:c r="A21" s="1" t="str">
        <x:v>MODEL BASIS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24" customHeight="1">
      <x:c r="A22" s="1" t="str">
        <x:v>10% advance; 5% retention; owner receipts after 2 months.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24" customHeight="1">
      <x:c r="A23" s="1" t="str">
        <x:v>Material payments lag one month; revolving interest on opening debt.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4" customHeight="1">
      <x:c r="A24" s="1" t="str">
        <x:v>Contract excludes VAT. No tax, inflation or FX forecast is assumed.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4" customHeight="1">
      <x:c r="A25" s="1" t="str">
        <x:v>Independent portfolio project; forecast data, not historical project results.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9" ht="32" customHeight="1">
      <x:c r="A29" s="42" t="str">
        <x:v>Period</x:v>
      </x:c>
      <x:c r="B29" s="42" t="str">
        <x:v>Receipts USD</x:v>
      </x:c>
      <x:c r="C29" s="42" t="str">
        <x:v>Payments USD</x:v>
      </x:c>
      <x:c r="D29" s="42" t="str">
        <x:v>Closing debt USD</x:v>
      </x:c>
      <x:c r="E29" s="42" t="str">
        <x:v>Cum receipts USD</x:v>
      </x:c>
      <x:c r="F29" s="42" t="str">
        <x:v>Cum payments USD</x:v>
      </x:c>
    </x:row>
    <x:row r="30">
      <x:c r="A30" s="1" t="str">
        <x:v>M01</x:v>
      </x:c>
      <x:c r="B30" s="43" t="n">
        <x:f>'Cashflow'!J8</x:f>
        <x:v>2758806.4605411123</x:v>
      </x:c>
      <x:c r="C30" s="43" t="n">
        <x:f>'Cashflow'!I8</x:f>
        <x:v>262686.11504614726</x:v>
      </x:c>
      <x:c r="D30" s="43" t="n">
        <x:f>'Funding'!K8</x:f>
        <x:v>0</x:v>
      </x:c>
      <x:c r="E30" s="43" t="n">
        <x:f>'Valuations'!K8</x:f>
        <x:v>2758806.4605411123</x:v>
      </x:c>
      <x:c r="F30" s="43" t="n">
        <x:f>'Cashflow'!M8</x:f>
        <x:v>262686.11504614726</x:v>
      </x:c>
    </x:row>
    <x:row r="31">
      <x:c r="A31" s="1" t="str">
        <x:v>M02</x:v>
      </x:c>
      <x:c r="B31" s="43" t="n">
        <x:f>'Cashflow'!J9</x:f>
        <x:v>0</x:v>
      </x:c>
      <x:c r="C31" s="43" t="n">
        <x:f>'Cashflow'!I9</x:f>
        <x:v>617363.4718461472</x:v>
      </x:c>
      <x:c r="D31" s="43" t="n">
        <x:f>'Funding'!K9</x:f>
        <x:v>0</x:v>
      </x:c>
      <x:c r="E31" s="43" t="n">
        <x:f>'Valuations'!K9</x:f>
        <x:v>2758806.4605411123</x:v>
      </x:c>
      <x:c r="F31" s="43" t="n">
        <x:f>'Cashflow'!M9</x:f>
        <x:v>880049.5868922945</x:v>
      </x:c>
    </x:row>
    <x:row r="32">
      <x:c r="A32" s="1" t="str">
        <x:v>M03</x:v>
      </x:c>
      <x:c r="B32" s="43" t="n">
        <x:f>'Cashflow'!J10</x:f>
        <x:v>523435.7455919999</x:v>
      </x:c>
      <x:c r="C32" s="43" t="n">
        <x:f>'Cashflow'!I10</x:f>
        <x:v>989414.0097056988</x:v>
      </x:c>
      <x:c r="D32" s="43" t="n">
        <x:f>'Funding'!K10</x:f>
        <x:v>0</x:v>
      </x:c>
      <x:c r="E32" s="43" t="n">
        <x:f>'Valuations'!K10</x:f>
        <x:v>3282242.2061331123</x:v>
      </x:c>
      <x:c r="F32" s="43" t="n">
        <x:f>'Cashflow'!M10</x:f>
        <x:v>1869463.5965979933</x:v>
      </x:c>
    </x:row>
    <x:row r="33">
      <x:c r="A33" s="1" t="str">
        <x:v>M04</x:v>
      </x:c>
      <x:c r="B33" s="43" t="n">
        <x:f>'Cashflow'!J11</x:f>
        <x:v>542554.0613279999</x:v>
      </x:c>
      <x:c r="C33" s="43" t="n">
        <x:f>'Cashflow'!I11</x:f>
        <x:v>1491953.6416982873</x:v>
      </x:c>
      <x:c r="D33" s="43" t="n">
        <x:f>'Funding'!K11</x:f>
        <x:v>0</x:v>
      </x:c>
      <x:c r="E33" s="43" t="n">
        <x:f>'Valuations'!K11</x:f>
        <x:v>3824796.2674611122</x:v>
      </x:c>
      <x:c r="F33" s="43" t="n">
        <x:f>'Cashflow'!M11</x:f>
        <x:v>3361417.2382962806</x:v>
      </x:c>
    </x:row>
    <x:row r="34">
      <x:c r="A34" s="1" t="str">
        <x:v>M05</x:v>
      </x:c>
      <x:c r="B34" s="43" t="n">
        <x:f>'Cashflow'!J12</x:f>
        <x:v>1546814.5454973127</x:v>
      </x:c>
      <x:c r="C34" s="43" t="n">
        <x:f>'Cashflow'!I12</x:f>
        <x:v>1265618.191504796</x:v>
      </x:c>
      <x:c r="D34" s="43" t="n">
        <x:f>'Funding'!K12</x:f>
        <x:v>0</x:v>
      </x:c>
      <x:c r="E34" s="43" t="n">
        <x:f>'Valuations'!K12</x:f>
        <x:v>5371610.812958425</x:v>
      </x:c>
      <x:c r="F34" s="43" t="n">
        <x:f>'Cashflow'!M12</x:f>
        <x:v>4627035.429801077</x:v>
      </x:c>
    </x:row>
    <x:row r="35">
      <x:c r="A35" s="1" t="str">
        <x:v>M06</x:v>
      </x:c>
      <x:c r="B35" s="43" t="n">
        <x:f>'Cashflow'!J13</x:f>
        <x:v>1086201.8582903554</x:v>
      </x:c>
      <x:c r="C35" s="43" t="n">
        <x:f>'Cashflow'!I13</x:f>
        <x:v>1510093.422723304</x:v>
      </x:c>
      <x:c r="D35" s="43" t="n">
        <x:f>'Funding'!K13</x:f>
        <x:v>0</x:v>
      </x:c>
      <x:c r="E35" s="43" t="n">
        <x:f>'Valuations'!K13</x:f>
        <x:v>6457812.671248781</x:v>
      </x:c>
      <x:c r="F35" s="43" t="n">
        <x:f>'Cashflow'!M13</x:f>
        <x:v>6137128.852524381</x:v>
      </x:c>
    </x:row>
    <x:row r="36">
      <x:c r="A36" s="1" t="str">
        <x:v>M07</x:v>
      </x:c>
      <x:c r="B36" s="43" t="n">
        <x:f>'Cashflow'!J14</x:f>
        <x:v>1309087.9948441985</x:v>
      </x:c>
      <x:c r="C36" s="43" t="n">
        <x:f>'Cashflow'!I14</x:f>
        <x:v>1554344.6895599551</x:v>
      </x:c>
      <x:c r="D36" s="43" t="n">
        <x:f>'Funding'!K14</x:f>
        <x:v>0</x:v>
      </x:c>
      <x:c r="E36" s="43" t="n">
        <x:f>'Valuations'!K14</x:f>
        <x:v>7766900.666092979</x:v>
      </x:c>
      <x:c r="F36" s="43" t="n">
        <x:f>'Cashflow'!M14</x:f>
        <x:v>7691473.542084336</x:v>
      </x:c>
    </x:row>
    <x:row r="37">
      <x:c r="A37" s="1" t="str">
        <x:v>M08</x:v>
      </x:c>
      <x:c r="B37" s="43" t="n">
        <x:f>'Cashflow'!J15</x:f>
        <x:v>1578389.0889107436</x:v>
      </x:c>
      <x:c r="C37" s="43" t="n">
        <x:f>'Cashflow'!I15</x:f>
        <x:v>1244137.764613607</x:v>
      </x:c>
      <x:c r="D37" s="43" t="n">
        <x:f>'Funding'!K15</x:f>
        <x:v>0</x:v>
      </x:c>
      <x:c r="E37" s="43" t="n">
        <x:f>'Valuations'!K15</x:f>
        <x:v>9345289.755003722</x:v>
      </x:c>
      <x:c r="F37" s="43" t="n">
        <x:f>'Cashflow'!M15</x:f>
        <x:v>8935611.306697942</x:v>
      </x:c>
    </x:row>
    <x:row r="38">
      <x:c r="A38" s="1" t="str">
        <x:v>M09</x:v>
      </x:c>
      <x:c r="B38" s="43" t="n">
        <x:f>'Cashflow'!J16</x:f>
        <x:v>1201927.0597527795</x:v>
      </x:c>
      <x:c r="C38" s="43" t="n">
        <x:f>'Cashflow'!I16</x:f>
        <x:v>1131088.2336572583</x:v>
      </x:c>
      <x:c r="D38" s="43" t="n">
        <x:f>'Funding'!K16</x:f>
        <x:v>0</x:v>
      </x:c>
      <x:c r="E38" s="43" t="n">
        <x:f>'Valuations'!K16</x:f>
        <x:v>10547216.814756501</x:v>
      </x:c>
      <x:c r="F38" s="43" t="n">
        <x:f>'Cashflow'!M16</x:f>
        <x:v>10066699.5403552</x:v>
      </x:c>
    </x:row>
    <x:row r="39">
      <x:c r="A39" s="1" t="str">
        <x:v>M10</x:v>
      </x:c>
      <x:c r="B39" s="43" t="n">
        <x:f>'Cashflow'!J17</x:f>
        <x:v>1034138.6287493154</x:v>
      </x:c>
      <x:c r="C39" s="43" t="n">
        <x:f>'Cashflow'!I17</x:f>
        <x:v>1089395.5892509096</x:v>
      </x:c>
      <x:c r="D39" s="43" t="n">
        <x:f>'Funding'!K17</x:f>
        <x:v>0</x:v>
      </x:c>
      <x:c r="E39" s="43" t="n">
        <x:f>'Valuations'!K17</x:f>
        <x:v>11581355.443505816</x:v>
      </x:c>
      <x:c r="F39" s="43" t="n">
        <x:f>'Cashflow'!M17</x:f>
        <x:v>11156095.12960611</x:v>
      </x:c>
    </x:row>
    <x:row r="40">
      <x:c r="A40" s="1" t="str">
        <x:v>M11</x:v>
      </x:c>
      <x:c r="B40" s="43" t="n">
        <x:f>'Cashflow'!J18</x:f>
        <x:v>1029807.3181830512</x:v>
      </x:c>
      <x:c r="C40" s="43" t="n">
        <x:f>'Cashflow'!I18</x:f>
        <x:v>978497.3664545612</x:v>
      </x:c>
      <x:c r="D40" s="43" t="n">
        <x:f>'Funding'!K18</x:f>
        <x:v>0</x:v>
      </x:c>
      <x:c r="E40" s="43" t="n">
        <x:f>'Valuations'!K18</x:f>
        <x:v>12611162.761688868</x:v>
      </x:c>
      <x:c r="F40" s="43" t="n">
        <x:f>'Cashflow'!M18</x:f>
        <x:v>12134592.49606067</x:v>
      </x:c>
    </x:row>
    <x:row r="41">
      <x:c r="A41" s="1" t="str">
        <x:v>M12</x:v>
      </x:c>
      <x:c r="B41" s="43" t="n">
        <x:f>'Cashflow'!J19</x:f>
        <x:v>921333.1631434871</x:v>
      </x:c>
      <x:c r="C41" s="43" t="n">
        <x:f>'Cashflow'!I19</x:f>
        <x:v>1041077.090482213</x:v>
      </x:c>
      <x:c r="D41" s="43" t="n">
        <x:f>'Funding'!K19</x:f>
        <x:v>0</x:v>
      </x:c>
      <x:c r="E41" s="43" t="n">
        <x:f>'Valuations'!K19</x:f>
        <x:v>13532495.924832355</x:v>
      </x:c>
      <x:c r="F41" s="43" t="n">
        <x:f>'Cashflow'!M19</x:f>
        <x:v>13175669.586542882</x:v>
      </x:c>
    </x:row>
    <x:row r="42">
      <x:c r="A42" s="1" t="str">
        <x:v>M13</x:v>
      </x:c>
      <x:c r="B42" s="43" t="n">
        <x:f>'Cashflow'!J20</x:f>
        <x:v>812859.0081039227</x:v>
      </x:c>
      <x:c r="C42" s="43" t="n">
        <x:f>'Cashflow'!I20</x:f>
        <x:v>1386863.7698705918</x:v>
      </x:c>
      <x:c r="D42" s="43" t="n">
        <x:f>'Funding'!K20</x:f>
        <x:v>0</x:v>
      </x:c>
      <x:c r="E42" s="43" t="n">
        <x:f>'Valuations'!K20</x:f>
        <x:v>14345354.932936277</x:v>
      </x:c>
      <x:c r="F42" s="43" t="n">
        <x:f>'Cashflow'!M20</x:f>
        <x:v>14562533.356413474</x:v>
      </x:c>
    </x:row>
    <x:row r="43">
      <x:c r="A43" s="1" t="str">
        <x:v>M14</x:v>
      </x:c>
      <x:c r="B43" s="43" t="n">
        <x:f>'Cashflow'!J21</x:f>
        <x:v>1189201.9409498791</x:v>
      </x:c>
      <x:c r="C43" s="43" t="n">
        <x:f>'Cashflow'!I21</x:f>
        <x:v>1495907.2251106068</x:v>
      </x:c>
      <x:c r="D43" s="43" t="n">
        <x:f>'Funding'!K21</x:f>
        <x:v>273883.70763792633</x:v>
      </x:c>
      <x:c r="E43" s="43" t="n">
        <x:f>'Valuations'!K21</x:f>
        <x:v>15534556.873886157</x:v>
      </x:c>
      <x:c r="F43" s="43" t="n">
        <x:f>'Cashflow'!M21</x:f>
        <x:v>16058440.581524082</x:v>
      </x:c>
    </x:row>
    <x:row r="44">
      <x:c r="A44" s="1" t="str">
        <x:v>M15</x:v>
      </x:c>
      <x:c r="B44" s="43" t="n">
        <x:f>'Cashflow'!J22</x:f>
        <x:v>1456645.9357191215</x:v>
      </x:c>
      <x:c r="C44" s="43" t="n">
        <x:f>'Cashflow'!I22</x:f>
        <x:v>1438650.7741106222</x:v>
      </x:c>
      <x:c r="D44" s="43" t="n">
        <x:f>'Funding'!K22</x:f>
        <x:v>258627.38310580637</x:v>
      </x:c>
      <x:c r="E44" s="43" t="n">
        <x:f>'Valuations'!K22</x:f>
        <x:v>16991202.809605278</x:v>
      </x:c>
      <x:c r="F44" s="43" t="n">
        <x:f>'Cashflow'!M22</x:f>
        <x:v>17497091.355634704</x:v>
      </x:c>
    </x:row>
    <x:row r="45">
      <x:c r="A45" s="1" t="str">
        <x:v>M16</x:v>
      </x:c>
      <x:c r="B45" s="43" t="n">
        <x:f>'Cashflow'!J23</x:f>
        <x:v>1264706.8880115652</x:v>
      </x:c>
      <x:c r="C45" s="43" t="n">
        <x:f>'Cashflow'!I23</x:f>
        <x:v>1515599.7359106375</x:v>
      </x:c>
      <x:c r="D45" s="43" t="n">
        <x:f>'Funding'!K23</x:f>
        <x:v>512106.50483593676</x:v>
      </x:c>
      <x:c r="E45" s="43" t="n">
        <x:f>'Valuations'!K23</x:f>
        <x:v>18255909.69761684</x:v>
      </x:c>
      <x:c r="F45" s="43" t="n">
        <x:f>'Cashflow'!M23</x:f>
        <x:v>19012691.091545343</x:v>
      </x:c>
    </x:row>
    <x:row r="46">
      <x:c r="A46" s="1" t="str">
        <x:v>M17</x:v>
      </x:c>
      <x:c r="B46" s="43" t="n">
        <x:f>'Cashflow'!J24</x:f>
        <x:v>1461151.0868800085</x:v>
      </x:c>
      <x:c r="C46" s="43" t="n">
        <x:f>'Cashflow'!I24</x:f>
        <x:v>1392746.0240268433</x:v>
      </x:c>
      <x:c r="D46" s="43" t="n">
        <x:f>'Funding'!K24</x:f>
        <x:v>448822.50703113095</x:v>
      </x:c>
      <x:c r="E46" s="43" t="n">
        <x:f>'Valuations'!K24</x:f>
        <x:v>19717060.78449685</x:v>
      </x:c>
      <x:c r="F46" s="43" t="n">
        <x:f>'Cashflow'!M24</x:f>
        <x:v>20405437.115572188</x:v>
      </x:c>
    </x:row>
    <x:row r="47">
      <x:c r="A47" s="1" t="str">
        <x:v>M18</x:v>
      </x:c>
      <x:c r="B47" s="43" t="n">
        <x:f>'Cashflow'!J25</x:f>
        <x:v>1311374.6422513088</x:v>
      </x:c>
      <x:c r="C47" s="43" t="n">
        <x:f>'Cashflow'!I25</x:f>
        <x:v>1307298.387496382</x:v>
      </x:c>
      <x:c r="D47" s="43" t="n">
        <x:f>'Funding'!K25</x:f>
        <x:v>449234.4773465155</x:v>
      </x:c>
      <x:c r="E47" s="43" t="n">
        <x:f>'Valuations'!K25</x:f>
        <x:v>21028435.42674816</x:v>
      </x:c>
      <x:c r="F47" s="43" t="n">
        <x:f>'Cashflow'!M25</x:f>
        <x:v>21712735.50306857</x:v>
      </x:c>
    </x:row>
    <x:row r="48">
      <x:c r="A48" s="1" t="str">
        <x:v>M19</x:v>
      </x:c>
      <x:c r="B48" s="43" t="n">
        <x:f>'Cashflow'!J26</x:f>
        <x:v>1246192.853185809</x:v>
      </x:c>
      <x:c r="C48" s="43" t="n">
        <x:f>'Cashflow'!I26</x:f>
        <x:v>1148878.4827689207</x:v>
      </x:c>
      <x:c r="D48" s="43" t="n">
        <x:f>'Funding'!K26</x:f>
        <x:v>356412.4517030924</x:v>
      </x:c>
      <x:c r="E48" s="43" t="n">
        <x:f>'Valuations'!K26</x:f>
        <x:v>22274628.27993397</x:v>
      </x:c>
      <x:c r="F48" s="43" t="n">
        <x:f>'Cashflow'!M26</x:f>
        <x:v>22861613.98583749</x:v>
      </x:c>
    </x:row>
    <x:row r="49">
      <x:c r="A49" s="1" t="str">
        <x:v>M20</x:v>
      </x:c>
      <x:c r="B49" s="43" t="n">
        <x:f>'Cashflow'!J27</x:f>
        <x:v>1128445.0895261092</x:v>
      </x:c>
      <x:c r="C49" s="43" t="n">
        <x:f>'Cashflow'!I27</x:f>
        <x:v>950083.783424182</x:v>
      </x:c>
      <x:c r="D49" s="43" t="n">
        <x:f>'Funding'!K27</x:f>
        <x:v>181615.2701181961</x:v>
      </x:c>
      <x:c r="E49" s="43" t="n">
        <x:f>'Valuations'!K27</x:f>
        <x:v>23403073.36946008</x:v>
      </x:c>
      <x:c r="F49" s="43" t="n">
        <x:f>'Cashflow'!M27</x:f>
        <x:v>23811697.769261673</x:v>
      </x:c>
    </x:row>
    <x:row r="50">
      <x:c r="A50" s="1" t="str">
        <x:v>M21</x:v>
      </x:c>
      <x:c r="B50" s="43" t="n">
        <x:f>'Cashflow'!J28</x:f>
        <x:v>904384.9799383995</x:v>
      </x:c>
      <x:c r="C50" s="43" t="n">
        <x:f>'Cashflow'!I28</x:f>
        <x:v>782132.9908300694</x:v>
      </x:c>
      <x:c r="D50" s="43" t="n">
        <x:f>'Funding'!K28</x:f>
        <x:v>61179.433711047925</x:v>
      </x:c>
      <x:c r="E50" s="43" t="n">
        <x:f>'Valuations'!K28</x:f>
        <x:v>24307458.34939848</x:v>
      </x:c>
      <x:c r="F50" s="43" t="n">
        <x:f>'Cashflow'!M28</x:f>
        <x:v>24593830.760091744</x:v>
      </x:c>
    </x:row>
    <x:row r="51">
      <x:c r="A51" s="1" t="str">
        <x:v>M22</x:v>
      </x:c>
      <x:c r="B51" s="43" t="n">
        <x:f>'Cashflow'!J29</x:f>
        <x:v>764927.0483597638</x:v>
      </x:c>
      <x:c r="C51" s="43" t="n">
        <x:f>'Cashflow'!I29</x:f>
        <x:v>571582.3824059567</x:v>
      </x:c>
      <x:c r="D51" s="43" t="n">
        <x:f>'Funding'!K29</x:f>
        <x:v>0</x:v>
      </x:c>
      <x:c r="E51" s="43" t="n">
        <x:f>'Valuations'!K29</x:f>
        <x:v>25072385.39775824</x:v>
      </x:c>
      <x:c r="F51" s="43" t="n">
        <x:f>'Cashflow'!M29</x:f>
        <x:v>25165413.1424977</x:v>
      </x:c>
    </x:row>
    <x:row r="52">
      <x:c r="A52" s="1" t="str">
        <x:v>M23</x:v>
      </x:c>
      <x:c r="B52" s="43" t="n">
        <x:f>'Cashflow'!J30</x:f>
        <x:v>554549.9447811283</x:v>
      </x:c>
      <x:c r="C52" s="43" t="n">
        <x:f>'Cashflow'!I30</x:f>
        <x:v>374528.51601184416</x:v>
      </x:c>
      <x:c r="D52" s="43" t="n">
        <x:f>'Funding'!K30</x:f>
        <x:v>0</x:v>
      </x:c>
      <x:c r="E52" s="43" t="n">
        <x:f>'Valuations'!K30</x:f>
        <x:v>25626935.34253937</x:v>
      </x:c>
      <x:c r="F52" s="43" t="n">
        <x:f>'Cashflow'!M30</x:f>
        <x:v>25539941.658509545</x:v>
      </x:c>
    </x:row>
    <x:row r="53">
      <x:c r="A53" s="1" t="str">
        <x:v>M24</x:v>
      </x:c>
      <x:c r="B53" s="43" t="n">
        <x:f>'Cashflow'!J31</x:f>
        <x:v>356826.5944665927</x:v>
      </x:c>
      <x:c r="C53" s="43" t="n">
        <x:f>'Cashflow'!I31</x:f>
        <x:v>209022.18298614724</x:v>
      </x:c>
      <x:c r="D53" s="43" t="n">
        <x:f>'Funding'!K31</x:f>
        <x:v>0</x:v>
      </x:c>
      <x:c r="E53" s="43" t="n">
        <x:f>'Valuations'!K31</x:f>
        <x:v>25983761.937005963</x:v>
      </x:c>
      <x:c r="F53" s="43" t="n">
        <x:f>'Cashflow'!M31</x:f>
        <x:v>25748963.841495693</x:v>
      </x:c>
    </x:row>
    <x:row r="54">
      <x:c r="A54" s="1" t="str">
        <x:v>M25</x:v>
      </x:c>
      <x:c r="B54" s="43" t="n">
        <x:f>'Cashflow'!J32</x:f>
        <x:v>863024.2421444781</x:v>
      </x:c>
      <x:c r="C54" s="43" t="n">
        <x:f>'Cashflow'!I32</x:f>
        <x:v>34274.107486666675</x:v>
      </x:c>
      <x:c r="D54" s="43" t="n">
        <x:f>'Funding'!K32</x:f>
        <x:v>0</x:v>
      </x:c>
      <x:c r="E54" s="43" t="n">
        <x:f>'Valuations'!K32</x:f>
        <x:v>26846786.17915044</x:v>
      </x:c>
      <x:c r="F54" s="43" t="n">
        <x:f>'Cashflow'!M32</x:f>
        <x:v>25783237.948982358</x:v>
      </x:c>
    </x:row>
    <x:row r="55">
      <x:c r="A55" s="1" t="str">
        <x:v>M26</x:v>
      </x:c>
      <x:c r="B55" s="43" t="n">
        <x:f>'Cashflow'!J33</x:f>
        <x:v>51576.81112540001</x:v>
      </x:c>
      <x:c r="C55" s="43" t="n">
        <x:f>'Cashflow'!I33</x:f>
        <x:v>0</x:v>
      </x:c>
      <x:c r="D55" s="43" t="n">
        <x:f>'Funding'!K33</x:f>
        <x:v>0</x:v>
      </x:c>
      <x:c r="E55" s="43" t="n">
        <x:f>'Valuations'!K33</x:f>
        <x:v>26898362.99027584</x:v>
      </x:c>
      <x:c r="F55" s="43" t="n">
        <x:f>'Cashflow'!M33</x:f>
        <x:v>25783237.948982358</x:v>
      </x:c>
    </x:row>
    <x:row r="56">
      <x:c r="A56" s="1" t="str">
        <x:v>M27</x:v>
      </x:c>
      <x:c r="B56" s="43" t="n">
        <x:f>'Cashflow'!J34</x:f>
        <x:v>0</x:v>
      </x:c>
      <x:c r="C56" s="43" t="n">
        <x:f>'Cashflow'!I34</x:f>
        <x:v>0</x:v>
      </x:c>
      <x:c r="D56" s="43" t="n">
        <x:f>'Funding'!K34</x:f>
        <x:v>0</x:v>
      </x:c>
      <x:c r="E56" s="43" t="n">
        <x:f>'Valuations'!K34</x:f>
        <x:v>26898362.99027584</x:v>
      </x:c>
      <x:c r="F56" s="43" t="n">
        <x:f>'Cashflow'!M34</x:f>
        <x:v>25783237.948982358</x:v>
      </x:c>
    </x:row>
    <x:row r="57">
      <x:c r="A57" s="1" t="str">
        <x:v>M28</x:v>
      </x:c>
      <x:c r="B57" s="43" t="n">
        <x:f>'Cashflow'!J35</x:f>
        <x:v>0</x:v>
      </x:c>
      <x:c r="C57" s="43" t="n">
        <x:f>'Cashflow'!I35</x:f>
        <x:v>0</x:v>
      </x:c>
      <x:c r="D57" s="43" t="n">
        <x:f>'Funding'!K35</x:f>
        <x:v>0</x:v>
      </x:c>
      <x:c r="E57" s="43" t="n">
        <x:f>'Valuations'!K35</x:f>
        <x:v>26898362.99027584</x:v>
      </x:c>
      <x:c r="F57" s="43" t="n">
        <x:f>'Cashflow'!M35</x:f>
        <x:v>25783237.948982358</x:v>
      </x:c>
    </x:row>
    <x:row r="58">
      <x:c r="A58" s="1" t="str">
        <x:v>M29</x:v>
      </x:c>
      <x:c r="B58" s="43" t="n">
        <x:f>'Cashflow'!J36</x:f>
        <x:v>0</x:v>
      </x:c>
      <x:c r="C58" s="43" t="n">
        <x:f>'Cashflow'!I36</x:f>
        <x:v>0</x:v>
      </x:c>
      <x:c r="D58" s="43" t="n">
        <x:f>'Funding'!K36</x:f>
        <x:v>0</x:v>
      </x:c>
      <x:c r="E58" s="43" t="n">
        <x:f>'Valuations'!K36</x:f>
        <x:v>26898362.99027584</x:v>
      </x:c>
      <x:c r="F58" s="43" t="n">
        <x:f>'Cashflow'!M36</x:f>
        <x:v>25783237.948982358</x:v>
      </x:c>
    </x:row>
    <x:row r="59">
      <x:c r="A59" s="1" t="str">
        <x:v>M30</x:v>
      </x:c>
      <x:c r="B59" s="43" t="n">
        <x:f>'Cashflow'!J37</x:f>
        <x:v>0</x:v>
      </x:c>
      <x:c r="C59" s="43" t="n">
        <x:f>'Cashflow'!I37</x:f>
        <x:v>0</x:v>
      </x:c>
      <x:c r="D59" s="43" t="n">
        <x:f>'Funding'!K37</x:f>
        <x:v>0</x:v>
      </x:c>
      <x:c r="E59" s="43" t="n">
        <x:f>'Valuations'!K37</x:f>
        <x:v>26898362.99027584</x:v>
      </x:c>
      <x:c r="F59" s="43" t="n">
        <x:f>'Cashflow'!M37</x:f>
        <x:v>25783237.948982358</x:v>
      </x:c>
    </x:row>
    <x:row r="60">
      <x:c r="A60" s="1" t="str">
        <x:v>M31</x:v>
      </x:c>
      <x:c r="B60" s="43" t="n">
        <x:f>'Cashflow'!J38</x:f>
        <x:v>0</x:v>
      </x:c>
      <x:c r="C60" s="43" t="n">
        <x:f>'Cashflow'!I38</x:f>
        <x:v>0</x:v>
      </x:c>
      <x:c r="D60" s="43" t="n">
        <x:f>'Funding'!K38</x:f>
        <x:v>0</x:v>
      </x:c>
      <x:c r="E60" s="43" t="n">
        <x:f>'Valuations'!K38</x:f>
        <x:v>26898362.99027584</x:v>
      </x:c>
      <x:c r="F60" s="43" t="n">
        <x:f>'Cashflow'!M38</x:f>
        <x:v>25783237.948982358</x:v>
      </x:c>
    </x:row>
    <x:row r="61">
      <x:c r="A61" s="1" t="str">
        <x:v>M32</x:v>
      </x:c>
      <x:c r="B61" s="43" t="n">
        <x:f>'Cashflow'!J39</x:f>
        <x:v>689701.6151352781</x:v>
      </x:c>
      <x:c r="C61" s="43" t="n">
        <x:f>'Cashflow'!I39</x:f>
        <x:v>0</x:v>
      </x:c>
      <x:c r="D61" s="43" t="n">
        <x:f>'Funding'!K39</x:f>
        <x:v>0</x:v>
      </x:c>
      <x:c r="E61" s="43" t="n">
        <x:f>'Valuations'!K39</x:f>
        <x:v>27588064.60541112</x:v>
      </x:c>
      <x:c r="F61" s="43" t="n">
        <x:f>'Cashflow'!M39</x:f>
        <x:v>25783237.948982358</x:v>
      </x:c>
    </x:row>
  </x:sheetData>
  <x:pageMargins left="0.7" right="0.7" top="0.75" bottom="0.75" header="0.3" footer="0.3"/>
  <x:drawing xmlns:r="http://schemas.openxmlformats.org/officeDocument/2006/relationships" r:id="R69766801c3a840b6"/>
</x:worksheet>
</file>

<file path=xl/worksheets/sheet2.xml><?xml version="1.0" encoding="utf-8"?>
<x:worksheet xmlns:x="http://schemas.openxmlformats.org/spreadsheetml/2006/main">
  <x:sheetPr>
    <x:tabColor rgb="FF255E91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5" hidden="0" customWidth="1"/>
    <x:col min="2" max="2" width="23" hidden="0" customWidth="1"/>
    <x:col min="3" max="3" width="15" hidden="0" customWidth="1"/>
    <x:col min="4" max="4" width="77" hidden="0" customWidth="1"/>
  </x:cols>
  <x:sheetData>
    <x:row r="2">
      <x:c r="A2" s="48" t="str">
        <x:v>Residential development | cash model controls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</x:row>
    <x:row r="4">
      <x:c r="A4" s="50" t="str">
        <x:v>CE-R01-CF / Rev 01 / USD / model period M01-M32</x:v>
      </x:c>
      <x:c r="B4" s="50"/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 s="50"/>
      <x:c r="P4" s="50"/>
      <x:c r="Q4" s="50"/>
    </x:row>
    <x:row r="5">
      <x:c r="A5" s="51"/>
      <x:c r="B5" s="51"/>
      <x:c r="C5" s="51"/>
      <x:c r="D5" s="51"/>
      <x:c r="E5" s="51"/>
      <x:c r="F5" s="51"/>
      <x:c r="G5" s="51"/>
      <x:c r="H5" s="51"/>
      <x:c r="I5" s="51"/>
      <x:c r="J5" s="51"/>
      <x:c r="K5" s="51"/>
      <x:c r="L5" s="51"/>
      <x:c r="M5" s="51"/>
      <x:c r="N5" s="51"/>
      <x:c r="O5" s="51"/>
      <x:c r="P5" s="51"/>
      <x:c r="Q5" s="51"/>
    </x:row>
    <x:row r="6">
      <x:c r="A6" s="49"/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</x:row>
    <x:row r="7" ht="34" customHeight="1">
      <x:c r="A7" s="6" t="str">
        <x:v>Driver</x:v>
      </x:c>
      <x:c r="B7" s="6" t="str">
        <x:v>Input</x:v>
      </x:c>
      <x:c r="C7" s="6" t="str">
        <x:v>Unit</x:v>
      </x:c>
      <x:c r="D7" s="6" t="str">
        <x:v>Basis</x:v>
      </x:c>
      <x:c r="E7" s="49"/>
      <x:c r="F7" s="49"/>
      <x:c r="G7" s="49"/>
      <x:c r="H7" s="49"/>
      <x:c r="I7" s="49"/>
      <x:c r="J7" s="49"/>
      <x:c r="K7" s="49"/>
      <x:c r="L7" s="49"/>
      <x:c r="M7" s="49"/>
      <x:c r="N7" s="49"/>
      <x:c r="O7" s="49"/>
      <x:c r="P7" s="49"/>
      <x:c r="Q7" s="49"/>
    </x:row>
    <x:row r="8" ht="23" customHeight="1">
      <x:c r="A8" s="52" t="str">
        <x:v>Contract value</x:v>
      </x:c>
      <x:c r="B8" s="53" t="n">
        <x:v>27588064.60541112</x:v>
      </x:c>
      <x:c r="C8" s="52" t="str">
        <x:v>USD</x:v>
      </x:c>
      <x:c r="D8" s="52" t="str">
        <x:v>From CE-R01 BOQ Rev 01</x:v>
      </x:c>
      <x:c r="E8" s="49"/>
      <x:c r="F8" s="49"/>
      <x:c r="G8" s="49"/>
      <x:c r="H8" s="49"/>
      <x:c r="I8" s="49"/>
      <x:c r="J8" s="49"/>
      <x:c r="K8" s="49"/>
      <x:c r="L8" s="49"/>
      <x:c r="M8" s="49"/>
      <x:c r="N8" s="49"/>
      <x:c r="O8" s="49"/>
      <x:c r="P8" s="49"/>
      <x:c r="Q8" s="49"/>
    </x:row>
    <x:row r="9" ht="23" customHeight="1">
      <x:c r="A9" s="54" t="str">
        <x:v>Direct measured budget</x:v>
      </x:c>
      <x:c r="B9" s="55" t="n">
        <x:v>22616875.393844172</x:v>
      </x:c>
      <x:c r="C9" s="54" t="str">
        <x:v>USD</x:v>
      </x:c>
      <x:c r="D9" s="54" t="str">
        <x:v>Same 32 BOQ items and quantities</x:v>
      </x:c>
      <x:c r="E9" s="49"/>
      <x:c r="F9" s="49"/>
      <x:c r="G9" s="49"/>
      <x:c r="H9" s="49"/>
      <x:c r="I9" s="49"/>
      <x:c r="J9" s="49"/>
      <x:c r="K9" s="49"/>
      <x:c r="L9" s="49"/>
      <x:c r="M9" s="49"/>
      <x:c r="N9" s="49"/>
      <x:c r="O9" s="49"/>
      <x:c r="P9" s="49"/>
      <x:c r="Q9" s="49"/>
    </x:row>
    <x:row r="10" ht="23" customHeight="1">
      <x:c r="A10" s="52" t="str">
        <x:v>Preliminaries rate</x:v>
      </x:c>
      <x:c r="B10" s="56" t="n">
        <x:v>0.08</x:v>
      </x:c>
      <x:c r="C10" s="52" t="str">
        <x:v>ratio</x:v>
      </x:c>
      <x:c r="D10" s="52" t="str">
        <x:v>Of direct measured budget</x:v>
      </x:c>
      <x:c r="E10" s="49"/>
      <x:c r="F10" s="49"/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</x:row>
    <x:row r="11" ht="23" customHeight="1">
      <x:c r="A11" s="54" t="str">
        <x:v>Development allowance</x:v>
      </x:c>
      <x:c r="B11" s="57" t="n">
        <x:v>0.06</x:v>
      </x:c>
      <x:c r="C11" s="54" t="str">
        <x:v>ratio</x:v>
      </x:c>
      <x:c r="D11" s="54" t="str">
        <x:v>Forecast cost provision, not revenue</x:v>
      </x:c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</x:row>
    <x:row r="12" ht="23" customHeight="1">
      <x:c r="A12" s="52" t="str">
        <x:v>Advance rate</x:v>
      </x:c>
      <x:c r="B12" s="56" t="n">
        <x:v>0.1</x:v>
      </x:c>
      <x:c r="C12" s="52" t="str">
        <x:v>ratio</x:v>
      </x:c>
      <x:c r="D12" s="52" t="str">
        <x:v>Paid in M01, fully recovered pro rata</x:v>
      </x:c>
      <x:c r="E12" s="49"/>
      <x:c r="F12" s="49"/>
      <x:c r="G12" s="49"/>
      <x:c r="H12" s="49"/>
      <x:c r="I12" s="49"/>
      <x:c r="J12" s="49"/>
      <x:c r="K12" s="49"/>
      <x:c r="L12" s="49"/>
      <x:c r="M12" s="49"/>
      <x:c r="N12" s="49"/>
      <x:c r="O12" s="49"/>
      <x:c r="P12" s="49"/>
      <x:c r="Q12" s="49"/>
    </x:row>
    <x:row r="13" ht="23" customHeight="1">
      <x:c r="A13" s="54" t="str">
        <x:v>Retention rate</x:v>
      </x:c>
      <x:c r="B13" s="57" t="n">
        <x:v>0.05</x:v>
      </x:c>
      <x:c r="C13" s="54" t="str">
        <x:v>ratio</x:v>
      </x:c>
      <x:c r="D13" s="54" t="str">
        <x:v>On each gross monthly valuation</x:v>
      </x:c>
      <x:c r="E13" s="49"/>
      <x:c r="F13" s="49"/>
      <x:c r="G13" s="49"/>
      <x:c r="H13" s="49"/>
      <x:c r="I13" s="49"/>
      <x:c r="J13" s="49"/>
      <x:c r="K13" s="49"/>
      <x:c r="L13" s="49"/>
      <x:c r="M13" s="49"/>
      <x:c r="N13" s="49"/>
      <x:c r="O13" s="49"/>
      <x:c r="P13" s="49"/>
      <x:c r="Q13" s="49"/>
    </x:row>
    <x:row r="14" ht="23" customHeight="1">
      <x:c r="A14" s="52" t="str">
        <x:v>Receipt lag</x:v>
      </x:c>
      <x:c r="B14" s="53" t="n">
        <x:v>2</x:v>
      </x:c>
      <x:c r="C14" s="52" t="str">
        <x:v>months</x:v>
      </x:c>
      <x:c r="D14" s="52" t="str">
        <x:v>Invoice M01 collected M03</x:v>
      </x:c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</x:row>
    <x:row r="15" ht="23" customHeight="1">
      <x:c r="A15" s="54" t="str">
        <x:v>Material payment lag</x:v>
      </x:c>
      <x:c r="B15" s="55" t="n">
        <x:v>1</x:v>
      </x:c>
      <x:c r="C15" s="54" t="str">
        <x:v>months</x:v>
      </x:c>
      <x:c r="D15" s="54" t="str">
        <x:v>Materials paid one month after accrual</x:v>
      </x:c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</x:row>
    <x:row r="16" ht="23" customHeight="1">
      <x:c r="A16" s="52" t="str">
        <x:v>Labor and plant share</x:v>
      </x:c>
      <x:c r="B16" s="56" t="n">
        <x:v>0.35</x:v>
      </x:c>
      <x:c r="C16" s="52" t="str">
        <x:v>ratio</x:v>
      </x:c>
      <x:c r="D16" s="52" t="str">
        <x:v>Paid within the month</x:v>
      </x:c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</x:row>
    <x:row r="17" ht="23" customHeight="1">
      <x:c r="A17" s="54" t="str">
        <x:v>Material share</x:v>
      </x:c>
      <x:c r="B17" s="57" t="n">
        <x:v>0.65</x:v>
      </x:c>
      <x:c r="C17" s="54" t="str">
        <x:v>ratio</x:v>
      </x:c>
      <x:c r="D17" s="54" t="str">
        <x:v>Complement to labor/plant share</x:v>
      </x:c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</x:row>
    <x:row r="18" ht="23" customHeight="1">
      <x:c r="A18" s="52" t="str">
        <x:v>Initial equity</x:v>
      </x:c>
      <x:c r="B18" s="53" t="n">
        <x:v>500000</x:v>
      </x:c>
      <x:c r="C18" s="52" t="str">
        <x:v>USD</x:v>
      </x:c>
      <x:c r="D18" s="52" t="str">
        <x:v>Cash contribution in M01</x:v>
      </x:c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</x:row>
    <x:row r="19" ht="23" customHeight="1">
      <x:c r="A19" s="54" t="str">
        <x:v>Minimum cash</x:v>
      </x:c>
      <x:c r="B19" s="55" t="n">
        <x:v>250000</x:v>
      </x:c>
      <x:c r="C19" s="54" t="str">
        <x:v>USD</x:v>
      </x:c>
      <x:c r="D19" s="54" t="str">
        <x:v>Maintained by revolving facility</x:v>
      </x:c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</x:row>
    <x:row r="20" ht="23" customHeight="1">
      <x:c r="A20" s="52" t="str">
        <x:v>Annual borrowing rate</x:v>
      </x:c>
      <x:c r="B20" s="56" t="n">
        <x:v>0.12</x:v>
      </x:c>
      <x:c r="C20" s="52" t="str">
        <x:v>ratio</x:v>
      </x:c>
      <x:c r="D20" s="52" t="str">
        <x:v>Illustrative simple rate, monthly opening debt</x:v>
      </x:c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</x:row>
    <x:row r="21" ht="23" customHeight="1">
      <x:c r="A21" s="54" t="str">
        <x:v>Practical completion release</x:v>
      </x:c>
      <x:c r="B21" s="55" t="n">
        <x:v>25</x:v>
      </x:c>
      <x:c r="C21" s="54" t="str">
        <x:v>month</x:v>
      </x:c>
      <x:c r="D21" s="54" t="str">
        <x:v>Half retention release after M24 completion</x:v>
      </x:c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</x:row>
    <x:row r="22" ht="23" customHeight="1">
      <x:c r="A22" s="52" t="str">
        <x:v>Final retention release</x:v>
      </x:c>
      <x:c r="B22" s="53" t="n">
        <x:v>32</x:v>
      </x:c>
      <x:c r="C22" s="52" t="str">
        <x:v>month</x:v>
      </x:c>
      <x:c r="D22" s="52" t="str">
        <x:v>Remaining retention release</x:v>
      </x:c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</x:row>
    <x:row r="23" ht="23" customHeight="1">
      <x:c r="A23" s="54" t="str">
        <x:v>Delivery duration</x:v>
      </x:c>
      <x:c r="B23" s="55" t="n">
        <x:v>24</x:v>
      </x:c>
      <x:c r="C23" s="54" t="str">
        <x:v>months</x:v>
      </x:c>
      <x:c r="D23" s="54" t="str">
        <x:v>All cost accrual and earned value within M01-M24</x:v>
      </x:c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</x:row>
    <x:row r="24" ht="23" customHeight="1">
      <x:c r="A24" s="52" t="str">
        <x:v>Horizon</x:v>
      </x:c>
      <x:c r="B24" s="53" t="n">
        <x:v>32</x:v>
      </x:c>
      <x:c r="C24" s="52" t="str">
        <x:v>months</x:v>
      </x:c>
      <x:c r="D24" s="52" t="str">
        <x:v>Includes final retention collection</x:v>
      </x:c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</x:row>
    <x:row r="25" ht="23" customHeight="1">
      <x:c r="A25" s="54" t="str">
        <x:v>Facility limit</x:v>
      </x:c>
      <x:c r="B25" s="55" t="n">
        <x:v>5000000</x:v>
      </x:c>
      <x:c r="C25" s="54" t="str">
        <x:v>USD</x:v>
      </x:c>
      <x:c r="D25" s="54" t="str">
        <x:v>Over-limit amounts explicitly flagged</x:v>
      </x:c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</x:row>
    <x:row r="26" ht="23" customHeight="1">
      <x:c r="A26" s="52" t="str">
        <x:v>Project start</x:v>
      </x:c>
      <x:c r="B26" s="58" t="d">
        <x:v>2026-11-01T00:00:00.000Z</x:v>
      </x:c>
      <x:c r="C26" s="52" t="str">
        <x:v>date</x:v>
      </x:c>
      <x:c r="D26" s="52" t="str">
        <x:v>Assumed portfolio baseline</x:v>
      </x:c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</x:row>
    <x:row r="27" ht="23" customHeight="1">
      <x:c r="A27" s="54" t="str">
        <x:v>Gross floor area</x:v>
      </x:c>
      <x:c r="B27" s="55" t="n">
        <x:v>70560</x:v>
      </x:c>
      <x:c r="C27" s="54" t="str">
        <x:v>m2</x:v>
      </x:c>
      <x:c r="D27" s="54" t="str">
        <x:v>CE-R01 quantity workbook</x:v>
      </x:c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</x:row>
  </x:sheetData>
  <x:dataValidations count="1">
    <x:dataValidation type="whole" operator="between" sqref="B14:B15">
      <x:formula1>0</x:formula1>
      <x:formula2>6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34" hidden="0" customWidth="1"/>
    <x:col min="4" max="4" width="20" hidden="0" customWidth="1"/>
    <x:col min="5" max="5" width="20" hidden="0" customWidth="1"/>
    <x:col min="6" max="6" width="23" hidden="0" customWidth="1"/>
    <x:col min="7" max="7" width="25" hidden="0" customWidth="1"/>
    <x:col min="8" max="8" width="17" hidden="0" customWidth="1"/>
  </x:cols>
  <x:sheetData>
    <x:row r="2">
      <x:c r="A2" s="48" t="str">
        <x:v>Cost budget and contract allocation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  <x:c r="P3" s="59"/>
      <x:c r="Q3" s="59"/>
    </x:row>
    <x:row r="4">
      <x:c r="A4" s="50" t="str">
        <x:v>BOQ direct costs carried forward without external workbook links.</x:v>
      </x:c>
      <x:c r="B4" s="50"/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 s="50"/>
      <x:c r="P4" s="50"/>
      <x:c r="Q4" s="50"/>
    </x:row>
    <x:row r="5">
      <x:c r="A5" s="60"/>
      <x:c r="B5" s="60"/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  <x:c r="O6" s="59"/>
      <x:c r="P6" s="59"/>
      <x:c r="Q6" s="59"/>
    </x:row>
    <x:row r="7" ht="34" customHeight="1">
      <x:c r="A7" s="6" t="str">
        <x:v>Code</x:v>
      </x:c>
      <x:c r="B7" s="6" t="str">
        <x:v>Trade</x:v>
      </x:c>
      <x:c r="C7" s="6" t="str">
        <x:v>Scope item</x:v>
      </x:c>
      <x:c r="D7" s="6" t="str">
        <x:v>Net quantity</x:v>
      </x:c>
      <x:c r="E7" s="6" t="str">
        <x:v>BOQ rate USD</x:v>
      </x:c>
      <x:c r="F7" s="6" t="str">
        <x:v>Direct budget USD</x:v>
      </x:c>
      <x:c r="G7" s="6" t="str">
        <x:v>Contract allocation USD</x:v>
      </x:c>
      <x:c r="H7" s="6" t="str">
        <x:v>Share</x:v>
      </x:c>
      <x:c r="I7" s="59"/>
      <x:c r="J7" s="59"/>
      <x:c r="K7" s="59"/>
      <x:c r="L7" s="59"/>
      <x:c r="M7" s="59"/>
      <x:c r="N7" s="59"/>
      <x:c r="O7" s="59"/>
      <x:c r="P7" s="59"/>
      <x:c r="Q7" s="59"/>
    </x:row>
    <x:row r="8" ht="23" customHeight="1">
      <x:c r="A8" s="52" t="str">
        <x:v>EW01</x:v>
      </x:c>
      <x:c r="B8" s="52" t="str">
        <x:v>Earthworks</x:v>
      </x:c>
      <x:c r="C8" s="52" t="str">
        <x:v>Bulk excavation</x:v>
      </x:c>
      <x:c r="D8" s="61" t="n">
        <x:v>69192</x:v>
      </x:c>
      <x:c r="E8" s="61" t="n">
        <x:v>7.4</x:v>
      </x:c>
      <x:c r="F8" s="61" t="n">
        <x:v>512020.80000000005</x:v>
      </x:c>
      <x:c r="G8" s="62" t="n">
        <x:f>F8/'Controls'!$B$9*'Controls'!$B$8</x:f>
        <x:v>624562.97184</x:v>
      </x:c>
      <x:c r="H8" s="63" t="n">
        <x:f>F8/'Controls'!$B$9</x:f>
        <x:v>0.022638883182747743</x:v>
      </x:c>
      <x:c r="I8" s="59"/>
      <x:c r="J8" s="59"/>
      <x:c r="K8" s="59"/>
      <x:c r="L8" s="59"/>
      <x:c r="M8" s="59"/>
      <x:c r="N8" s="59"/>
      <x:c r="O8" s="59"/>
      <x:c r="P8" s="59"/>
      <x:c r="Q8" s="59"/>
    </x:row>
    <x:row r="9" ht="23" customHeight="1">
      <x:c r="A9" s="54" t="str">
        <x:v>EW02</x:v>
      </x:c>
      <x:c r="B9" s="54" t="str">
        <x:v>Earthworks</x:v>
      </x:c>
      <x:c r="C9" s="54" t="str">
        <x:v>Surplus disposal</x:v>
      </x:c>
      <x:c r="D9" s="64" t="n">
        <x:v>77760</x:v>
      </x:c>
      <x:c r="E9" s="64" t="n">
        <x:v>6.4</x:v>
      </x:c>
      <x:c r="F9" s="64" t="n">
        <x:v>497664</x:v>
      </x:c>
      <x:c r="G9" s="65" t="n">
        <x:f>F9/'Controls'!$B$9*'Controls'!$B$8</x:f>
        <x:v>607050.5471999999</x:v>
      </x:c>
      <x:c r="H9" s="66" t="n">
        <x:f>F9/'Controls'!$B$9</x:f>
        <x:v>0.022004100537046486</x:v>
      </x:c>
      <x:c r="I9" s="59"/>
      <x:c r="J9" s="59"/>
      <x:c r="K9" s="59"/>
      <x:c r="L9" s="59"/>
      <x:c r="M9" s="59"/>
      <x:c r="N9" s="59"/>
      <x:c r="O9" s="59"/>
      <x:c r="P9" s="59"/>
      <x:c r="Q9" s="59"/>
    </x:row>
    <x:row r="10" ht="23" customHeight="1">
      <x:c r="A10" s="52" t="str">
        <x:v>EW03</x:v>
      </x:c>
      <x:c r="B10" s="52" t="str">
        <x:v>Earthworks</x:v>
      </x:c>
      <x:c r="C10" s="52" t="str">
        <x:v>Selected backfill</x:v>
      </x:c>
      <x:c r="D10" s="61" t="n">
        <x:v>4392</x:v>
      </x:c>
      <x:c r="E10" s="61" t="n">
        <x:v>15.3</x:v>
      </x:c>
      <x:c r="F10" s="61" t="n">
        <x:v>67197.6</x:v>
      </x:c>
      <x:c r="G10" s="62" t="n">
        <x:f>F10/'Controls'!$B$9*'Controls'!$B$8</x:f>
        <x:v>81967.63248</x:v>
      </x:c>
      <x:c r="H10" s="63" t="n">
        <x:f>F10/'Controls'!$B$9</x:f>
        <x:v>0.0029711265959527612</x:v>
      </x:c>
      <x:c r="I10" s="59"/>
      <x:c r="J10" s="59"/>
      <x:c r="K10" s="59"/>
      <x:c r="L10" s="59"/>
      <x:c r="M10" s="59"/>
      <x:c r="N10" s="59"/>
      <x:c r="O10" s="59"/>
      <x:c r="P10" s="59"/>
      <x:c r="Q10" s="59"/>
    </x:row>
    <x:row r="11" ht="23" customHeight="1">
      <x:c r="A11" s="54" t="str">
        <x:v>RC01</x:v>
      </x:c>
      <x:c r="B11" s="54" t="str">
        <x:v>Concrete</x:v>
      </x:c>
      <x:c r="C11" s="54" t="str">
        <x:v>Blinding</x:v>
      </x:c>
      <x:c r="D11" s="64" t="n">
        <x:v>1440</x:v>
      </x:c>
      <x:c r="E11" s="64" t="n">
        <x:v>94</x:v>
      </x:c>
      <x:c r="F11" s="64" t="n">
        <x:v>135360</x:v>
      </x:c>
      <x:c r="G11" s="65" t="n">
        <x:f>F11/'Controls'!$B$9*'Controls'!$B$8</x:f>
        <x:v>165112.128</x:v>
      </x:c>
      <x:c r="H11" s="66" t="n">
        <x:f>F11/'Controls'!$B$9</x:f>
        <x:v>0.005984911604405005</x:v>
      </x:c>
      <x:c r="I11" s="59"/>
      <x:c r="J11" s="59"/>
      <x:c r="K11" s="59"/>
      <x:c r="L11" s="59"/>
      <x:c r="M11" s="59"/>
      <x:c r="N11" s="59"/>
      <x:c r="O11" s="59"/>
      <x:c r="P11" s="59"/>
      <x:c r="Q11" s="59"/>
    </x:row>
    <x:row r="12" ht="23" customHeight="1">
      <x:c r="A12" s="52" t="str">
        <x:v>RC02</x:v>
      </x:c>
      <x:c r="B12" s="52" t="str">
        <x:v>Concrete</x:v>
      </x:c>
      <x:c r="C12" s="52" t="str">
        <x:v>Raft and thickening</x:v>
      </x:c>
      <x:c r="D12" s="61" t="n">
        <x:v>12240</x:v>
      </x:c>
      <x:c r="E12" s="61" t="n">
        <x:v>136</x:v>
      </x:c>
      <x:c r="F12" s="61" t="n">
        <x:v>1664640</x:v>
      </x:c>
      <x:c r="G12" s="62" t="n">
        <x:f>F12/'Controls'!$B$9*'Controls'!$B$8</x:f>
        <x:v>2030527.872</x:v>
      </x:c>
      <x:c r="H12" s="63" t="n">
        <x:f>F12/'Controls'!$B$9</x:f>
        <x:v>0.0736016788797041</x:v>
      </x:c>
      <x:c r="I12" s="59"/>
      <x:c r="J12" s="59"/>
      <x:c r="K12" s="59"/>
      <x:c r="L12" s="59"/>
      <x:c r="M12" s="59"/>
      <x:c r="N12" s="59"/>
      <x:c r="O12" s="59"/>
      <x:c r="P12" s="59"/>
      <x:c r="Q12" s="59"/>
    </x:row>
    <x:row r="13" ht="23" customHeight="1">
      <x:c r="A13" s="54" t="str">
        <x:v>RC03</x:v>
      </x:c>
      <x:c r="B13" s="54" t="str">
        <x:v>Concrete</x:v>
      </x:c>
      <x:c r="C13" s="54" t="str">
        <x:v>Suspended slabs</x:v>
      </x:c>
      <x:c r="D13" s="64" t="n">
        <x:v>11943.359999999971</x:v>
      </x:c>
      <x:c r="E13" s="64" t="n">
        <x:v>143</x:v>
      </x:c>
      <x:c r="F13" s="64" t="n">
        <x:v>1707900.479999996</x:v>
      </x:c>
      <x:c r="G13" s="65" t="n">
        <x:f>F13/'Controls'!$B$9*'Controls'!$B$8</x:f>
        <x:v>2083297.005503995</x:v>
      </x:c>
      <x:c r="H13" s="66" t="n">
        <x:f>F13/'Controls'!$B$9</x:f>
        <x:v>0.07551443116076281</x:v>
      </x:c>
      <x:c r="I13" s="59"/>
      <x:c r="J13" s="59"/>
      <x:c r="K13" s="59"/>
      <x:c r="L13" s="59"/>
      <x:c r="M13" s="59"/>
      <x:c r="N13" s="59"/>
      <x:c r="O13" s="59"/>
      <x:c r="P13" s="59"/>
      <x:c r="Q13" s="59"/>
    </x:row>
    <x:row r="14" ht="23" customHeight="1">
      <x:c r="A14" s="52" t="str">
        <x:v>RC04</x:v>
      </x:c>
      <x:c r="B14" s="52" t="str">
        <x:v>Concrete</x:v>
      </x:c>
      <x:c r="C14" s="52" t="str">
        <x:v>Beam downstands</x:v>
      </x:c>
      <x:c r="D14" s="61" t="n">
        <x:v>2396.3939999999975</x:v>
      </x:c>
      <x:c r="E14" s="61" t="n">
        <x:v>151</x:v>
      </x:c>
      <x:c r="F14" s="61" t="n">
        <x:v>361855.4939999996</x:v>
      </x:c>
      <x:c r="G14" s="62" t="n">
        <x:f>F14/'Controls'!$B$9*'Controls'!$B$8</x:f>
        <x:v>441391.3315811995</x:v>
      </x:c>
      <x:c r="H14" s="63" t="n">
        <x:f>F14/'Controls'!$B$9</x:f>
        <x:v>0.01599935834189054</x:v>
      </x:c>
      <x:c r="I14" s="59"/>
      <x:c r="J14" s="59"/>
      <x:c r="K14" s="59"/>
      <x:c r="L14" s="59"/>
      <x:c r="M14" s="59"/>
      <x:c r="N14" s="59"/>
      <x:c r="O14" s="59"/>
      <x:c r="P14" s="59"/>
      <x:c r="Q14" s="59"/>
    </x:row>
    <x:row r="15" ht="23" customHeight="1">
      <x:c r="A15" s="54" t="str">
        <x:v>RC05</x:v>
      </x:c>
      <x:c r="B15" s="54" t="str">
        <x:v>Concrete</x:v>
      </x:c>
      <x:c r="C15" s="54" t="str">
        <x:v>Columns</x:v>
      </x:c>
      <x:c r="D15" s="64" t="n">
        <x:v>1743.2999999999977</x:v>
      </x:c>
      <x:c r="E15" s="64" t="n">
        <x:v>164</x:v>
      </x:c>
      <x:c r="F15" s="64" t="n">
        <x:v>285901.1999999996</x:v>
      </x:c>
      <x:c r="G15" s="65" t="n">
        <x:f>F15/'Controls'!$B$9*'Controls'!$B$8</x:f>
        <x:v>348742.2837599995</x:v>
      </x:c>
      <x:c r="H15" s="66" t="n">
        <x:f>F15/'Controls'!$B$9</x:f>
        <x:v>0.012641056512952968</x:v>
      </x:c>
      <x:c r="I15" s="59"/>
      <x:c r="J15" s="59"/>
      <x:c r="K15" s="59"/>
      <x:c r="L15" s="59"/>
      <x:c r="M15" s="59"/>
      <x:c r="N15" s="59"/>
      <x:c r="O15" s="59"/>
      <x:c r="P15" s="59"/>
      <x:c r="Q15" s="59"/>
    </x:row>
    <x:row r="16" ht="23" customHeight="1">
      <x:c r="A16" s="52" t="str">
        <x:v>RC06</x:v>
      </x:c>
      <x:c r="B16" s="52" t="str">
        <x:v>Concrete</x:v>
      </x:c>
      <x:c r="C16" s="52" t="str">
        <x:v>Core walls</x:v>
      </x:c>
      <x:c r="D16" s="61" t="n">
        <x:v>1394.6400000000021</x:v>
      </x:c>
      <x:c r="E16" s="61" t="n">
        <x:v>161</x:v>
      </x:c>
      <x:c r="F16" s="61" t="n">
        <x:v>224537.04000000036</x:v>
      </x:c>
      <x:c r="G16" s="62" t="n">
        <x:f>F16/'Controls'!$B$9*'Controls'!$B$8</x:f>
        <x:v>273890.2813920004</x:v>
      </x:c>
      <x:c r="H16" s="63" t="n">
        <x:f>F16/'Controls'!$B$9</x:f>
        <x:v>0.00992785413944114</x:v>
      </x:c>
      <x:c r="I16" s="59"/>
      <x:c r="J16" s="59"/>
      <x:c r="K16" s="59"/>
      <x:c r="L16" s="59"/>
      <x:c r="M16" s="59"/>
      <x:c r="N16" s="59"/>
      <x:c r="O16" s="59"/>
      <x:c r="P16" s="59"/>
      <x:c r="Q16" s="59"/>
    </x:row>
    <x:row r="17" ht="23" customHeight="1">
      <x:c r="A17" s="54" t="str">
        <x:v>RC07</x:v>
      </x:c>
      <x:c r="B17" s="54" t="str">
        <x:v>Concrete</x:v>
      </x:c>
      <x:c r="C17" s="54" t="str">
        <x:v>Stairs</x:v>
      </x:c>
      <x:c r="D17" s="64" t="n">
        <x:v>205.54559999999987</x:v>
      </x:c>
      <x:c r="E17" s="64" t="n">
        <x:v>170</x:v>
      </x:c>
      <x:c r="F17" s="64" t="n">
        <x:v>34942.75199999998</x:v>
      </x:c>
      <x:c r="G17" s="65" t="n">
        <x:f>F17/'Controls'!$B$9*'Controls'!$B$8</x:f>
        <x:v>42623.168889599976</x:v>
      </x:c>
      <x:c r="H17" s="66" t="n">
        <x:f>F17/'Controls'!$B$9</x:f>
        <x:v>0.001544985829895435</x:v>
      </x:c>
      <x:c r="I17" s="59"/>
      <x:c r="J17" s="59"/>
      <x:c r="K17" s="59"/>
      <x:c r="L17" s="59"/>
      <x:c r="M17" s="59"/>
      <x:c r="N17" s="59"/>
      <x:c r="O17" s="59"/>
      <x:c r="P17" s="59"/>
      <x:c r="Q17" s="59"/>
    </x:row>
    <x:row r="18" ht="23" customHeight="1">
      <x:c r="A18" s="52" t="str">
        <x:v>RC08</x:v>
      </x:c>
      <x:c r="B18" s="52" t="str">
        <x:v>Concrete</x:v>
      </x:c>
      <x:c r="C18" s="52" t="str">
        <x:v>Basement walls</x:v>
      </x:c>
      <x:c r="D18" s="61" t="n">
        <x:v>502.73999999999995</x:v>
      </x:c>
      <x:c r="E18" s="61" t="n">
        <x:v>155</x:v>
      </x:c>
      <x:c r="F18" s="61" t="n">
        <x:v>77924.7</x:v>
      </x:c>
      <x:c r="G18" s="62" t="n">
        <x:f>F18/'Controls'!$B$9*'Controls'!$B$8</x:f>
        <x:v>95052.54905999999</x:v>
      </x:c>
      <x:c r="H18" s="63" t="n">
        <x:f>F18/'Controls'!$B$9</x:f>
        <x:v>0.003445422881942809</x:v>
      </x:c>
      <x:c r="I18" s="59"/>
      <x:c r="J18" s="59"/>
      <x:c r="K18" s="59"/>
      <x:c r="L18" s="59"/>
      <x:c r="M18" s="59"/>
      <x:c r="N18" s="59"/>
      <x:c r="O18" s="59"/>
      <x:c r="P18" s="59"/>
      <x:c r="Q18" s="59"/>
    </x:row>
    <x:row r="19" ht="23" customHeight="1">
      <x:c r="A19" s="54" t="str">
        <x:v>RC09</x:v>
      </x:c>
      <x:c r="B19" s="54" t="str">
        <x:v>Concrete</x:v>
      </x:c>
      <x:c r="C19" s="54" t="str">
        <x:v>Podium roof</x:v>
      </x:c>
      <x:c r="D19" s="64" t="n">
        <x:v>2520</x:v>
      </x:c>
      <x:c r="E19" s="64" t="n">
        <x:v>143</x:v>
      </x:c>
      <x:c r="F19" s="64" t="n">
        <x:v>360360</x:v>
      </x:c>
      <x:c r="G19" s="65" t="n">
        <x:f>F19/'Controls'!$B$9*'Controls'!$B$8</x:f>
        <x:v>439567.1279999999</x:v>
      </x:c>
      <x:c r="H19" s="66" t="n">
        <x:f>F19/'Controls'!$B$9</x:f>
        <x:v>0.01593323541491864</x:v>
      </x:c>
      <x:c r="I19" s="59"/>
      <x:c r="J19" s="59"/>
      <x:c r="K19" s="59"/>
      <x:c r="L19" s="59"/>
      <x:c r="M19" s="59"/>
      <x:c r="N19" s="59"/>
      <x:c r="O19" s="59"/>
      <x:c r="P19" s="59"/>
      <x:c r="Q19" s="59"/>
    </x:row>
    <x:row r="20" ht="23" customHeight="1">
      <x:c r="A20" s="52" t="str">
        <x:v>RB01</x:v>
      </x:c>
      <x:c r="B20" s="52" t="str">
        <x:v>Reinforcement</x:v>
      </x:c>
      <x:c r="C20" s="52" t="str">
        <x:v>Scheduled reinforcement</x:v>
      </x:c>
      <x:c r="D20" s="61" t="n">
        <x:v>4630.725758163609</x:v>
      </x:c>
      <x:c r="E20" s="61" t="n">
        <x:v>869</x:v>
      </x:c>
      <x:c r="F20" s="61" t="n">
        <x:v>4024100.6838441757</x:v>
      </x:c>
      <x:c r="G20" s="62" t="n">
        <x:f>F20/'Controls'!$B$9*'Controls'!$B$8</x:f>
        <x:v>4908598.014153126</x:v>
      </x:c>
      <x:c r="H20" s="63" t="n">
        <x:f>F20/'Controls'!$B$9</x:f>
        <x:v>0.1779246962177388</x:v>
      </x:c>
      <x:c r="I20" s="59"/>
      <x:c r="J20" s="59"/>
      <x:c r="K20" s="59"/>
      <x:c r="L20" s="59"/>
      <x:c r="M20" s="59"/>
      <x:c r="N20" s="59"/>
      <x:c r="O20" s="59"/>
      <x:c r="P20" s="59"/>
      <x:c r="Q20" s="59"/>
    </x:row>
    <x:row r="21" ht="23" customHeight="1">
      <x:c r="A21" s="54" t="str">
        <x:v>FW01</x:v>
      </x:c>
      <x:c r="B21" s="54" t="str">
        <x:v>Formwork</x:v>
      </x:c>
      <x:c r="C21" s="54" t="str">
        <x:v>Slab soffit forms</x:v>
      </x:c>
      <x:c r="D21" s="64" t="n">
        <x:v>47981.70000000007</x:v>
      </x:c>
      <x:c r="E21" s="64" t="n">
        <x:v>22</x:v>
      </x:c>
      <x:c r="F21" s="64" t="n">
        <x:v>1055597.4000000015</x:v>
      </x:c>
      <x:c r="G21" s="65" t="n">
        <x:f>F21/'Controls'!$B$9*'Controls'!$B$8</x:f>
        <x:v>1287617.7085200017</x:v>
      </x:c>
      <x:c r="H21" s="66" t="n">
        <x:f>F21/'Controls'!$B$9</x:f>
        <x:v>0.04667299888327246</x:v>
      </x:c>
      <x:c r="I21" s="59"/>
      <x:c r="J21" s="59"/>
      <x:c r="K21" s="59"/>
      <x:c r="L21" s="59"/>
      <x:c r="M21" s="59"/>
      <x:c r="N21" s="59"/>
      <x:c r="O21" s="59"/>
      <x:c r="P21" s="59"/>
      <x:c r="Q21" s="59"/>
    </x:row>
    <x:row r="22" ht="23" customHeight="1">
      <x:c r="A22" s="52" t="str">
        <x:v>FW02</x:v>
      </x:c>
      <x:c r="B22" s="52" t="str">
        <x:v>Formwork</x:v>
      </x:c>
      <x:c r="C22" s="52" t="str">
        <x:v>Beam forms</x:v>
      </x:c>
      <x:c r="D22" s="61" t="n">
        <x:v>22282.259999999966</x:v>
      </x:c>
      <x:c r="E22" s="61" t="n">
        <x:v>26</x:v>
      </x:c>
      <x:c r="F22" s="61" t="n">
        <x:v>579338.7599999991</x:v>
      </x:c>
      <x:c r="G22" s="62" t="n">
        <x:f>F22/'Controls'!$B$9*'Controls'!$B$8</x:f>
        <x:v>706677.4194479989</x:v>
      </x:c>
      <x:c r="H22" s="63" t="n">
        <x:f>F22/'Controls'!$B$9</x:f>
        <x:v>0.025615331468717497</x:v>
      </x:c>
      <x:c r="I22" s="59"/>
      <x:c r="J22" s="59"/>
      <x:c r="K22" s="59"/>
      <x:c r="L22" s="59"/>
      <x:c r="M22" s="59"/>
      <x:c r="N22" s="59"/>
      <x:c r="O22" s="59"/>
      <x:c r="P22" s="59"/>
      <x:c r="Q22" s="59"/>
    </x:row>
    <x:row r="23" ht="23" customHeight="1">
      <x:c r="A23" s="54" t="str">
        <x:v>FW03</x:v>
      </x:c>
      <x:c r="B23" s="54" t="str">
        <x:v>Formwork</x:v>
      </x:c>
      <x:c r="C23" s="54" t="str">
        <x:v>Column forms</x:v>
      </x:c>
      <x:c r="D23" s="64" t="n">
        <x:v>13946.399999999981</x:v>
      </x:c>
      <x:c r="E23" s="64" t="n">
        <x:v>27</x:v>
      </x:c>
      <x:c r="F23" s="64" t="n">
        <x:v>376552.7999999995</x:v>
      </x:c>
      <x:c r="G23" s="65" t="n">
        <x:f>F23/'Controls'!$B$9*'Controls'!$B$8</x:f>
        <x:v>459319.1054399994</x:v>
      </x:c>
      <x:c r="H23" s="66" t="n">
        <x:f>F23/'Controls'!$B$9</x:f>
        <x:v>0.016649196382913668</x:v>
      </x:c>
      <x:c r="I23" s="59"/>
      <x:c r="J23" s="59"/>
      <x:c r="K23" s="59"/>
      <x:c r="L23" s="59"/>
      <x:c r="M23" s="59"/>
      <x:c r="N23" s="59"/>
      <x:c r="O23" s="59"/>
      <x:c r="P23" s="59"/>
      <x:c r="Q23" s="59"/>
    </x:row>
    <x:row r="24" ht="23" customHeight="1">
      <x:c r="A24" s="52" t="str">
        <x:v>FW04</x:v>
      </x:c>
      <x:c r="B24" s="52" t="str">
        <x:v>Formwork</x:v>
      </x:c>
      <x:c r="C24" s="52" t="str">
        <x:v>Core forms</x:v>
      </x:c>
      <x:c r="D24" s="61" t="n">
        <x:v>11157.120000000017</x:v>
      </x:c>
      <x:c r="E24" s="61" t="n">
        <x:v>24.999999999999996</x:v>
      </x:c>
      <x:c r="F24" s="61" t="n">
        <x:v>278928.0000000004</x:v>
      </x:c>
      <x:c r="G24" s="62" t="n">
        <x:f>F24/'Controls'!$B$9*'Controls'!$B$8</x:f>
        <x:v>340236.3744000005</x:v>
      </x:c>
      <x:c r="H24" s="63" t="n">
        <x:f>F24/'Controls'!$B$9</x:f>
        <x:v>0.012332738061417565</x:v>
      </x:c>
      <x:c r="I24" s="59"/>
      <x:c r="J24" s="59"/>
      <x:c r="K24" s="59"/>
      <x:c r="L24" s="59"/>
      <x:c r="M24" s="59"/>
      <x:c r="N24" s="59"/>
      <x:c r="O24" s="59"/>
      <x:c r="P24" s="59"/>
      <x:c r="Q24" s="59"/>
    </x:row>
    <x:row r="25" ht="23" customHeight="1">
      <x:c r="A25" s="54" t="str">
        <x:v>FW05</x:v>
      </x:c>
      <x:c r="B25" s="54" t="str">
        <x:v>Formwork</x:v>
      </x:c>
      <x:c r="C25" s="54" t="str">
        <x:v>Basement wall forms</x:v>
      </x:c>
      <x:c r="D25" s="64" t="n">
        <x:v>3351.6</x:v>
      </x:c>
      <x:c r="E25" s="64" t="n">
        <x:v>23</x:v>
      </x:c>
      <x:c r="F25" s="64" t="n">
        <x:v>77086.8</x:v>
      </x:c>
      <x:c r="G25" s="65" t="n">
        <x:f>F25/'Controls'!$B$9*'Controls'!$B$8</x:f>
        <x:v>94030.47864</x:v>
      </x:c>
      <x:c r="H25" s="66" t="n">
        <x:f>F25/'Controls'!$B$9</x:f>
        <x:v>0.0034083753240724568</x:v>
      </x:c>
      <x:c r="I25" s="59"/>
      <x:c r="J25" s="59"/>
      <x:c r="K25" s="59"/>
      <x:c r="L25" s="59"/>
      <x:c r="M25" s="59"/>
      <x:c r="N25" s="59"/>
      <x:c r="O25" s="59"/>
      <x:c r="P25" s="59"/>
      <x:c r="Q25" s="59"/>
    </x:row>
    <x:row r="26" ht="23" customHeight="1">
      <x:c r="A26" s="52" t="str">
        <x:v>FW06</x:v>
      </x:c>
      <x:c r="B26" s="52" t="str">
        <x:v>Formwork</x:v>
      </x:c>
      <x:c r="C26" s="52" t="str">
        <x:v>Podium forms</x:v>
      </x:c>
      <x:c r="D26" s="61" t="n">
        <x:v>10080</x:v>
      </x:c>
      <x:c r="E26" s="61" t="n">
        <x:v>22</x:v>
      </x:c>
      <x:c r="F26" s="61" t="n">
        <x:v>221760</x:v>
      </x:c>
      <x:c r="G26" s="62" t="n">
        <x:f>F26/'Controls'!$B$9*'Controls'!$B$8</x:f>
        <x:v>270502.848</x:v>
      </x:c>
      <x:c r="H26" s="63" t="n">
        <x:f>F26/'Controls'!$B$9</x:f>
        <x:v>0.009805067947642241</x:v>
      </x:c>
      <x:c r="I26" s="59"/>
      <x:c r="J26" s="59"/>
      <x:c r="K26" s="59"/>
      <x:c r="L26" s="59"/>
      <x:c r="M26" s="59"/>
      <x:c r="N26" s="59"/>
      <x:c r="O26" s="59"/>
      <x:c r="P26" s="59"/>
      <x:c r="Q26" s="59"/>
    </x:row>
    <x:row r="27" ht="23" customHeight="1">
      <x:c r="A27" s="54" t="str">
        <x:v>EN01</x:v>
      </x:c>
      <x:c r="B27" s="54" t="str">
        <x:v>Envelope</x:v>
      </x:c>
      <x:c r="C27" s="54" t="str">
        <x:v>Basement membrane</x:v>
      </x:c>
      <x:c r="D27" s="64" t="n">
        <x:v>16080</x:v>
      </x:c>
      <x:c r="E27" s="64" t="n">
        <x:v>18</x:v>
      </x:c>
      <x:c r="F27" s="64" t="n">
        <x:v>289440</x:v>
      </x:c>
      <x:c r="G27" s="65" t="n">
        <x:f>F27/'Controls'!$B$9*'Controls'!$B$8</x:f>
        <x:v>353058.91199999995</x:v>
      </x:c>
      <x:c r="H27" s="66" t="n">
        <x:f>F27/'Controls'!$B$9</x:f>
        <x:v>0.012797523749844743</x:v>
      </x:c>
      <x:c r="I27" s="59"/>
      <x:c r="J27" s="59"/>
      <x:c r="K27" s="59"/>
      <x:c r="L27" s="59"/>
      <x:c r="M27" s="59"/>
      <x:c r="N27" s="59"/>
      <x:c r="O27" s="59"/>
      <x:c r="P27" s="59"/>
      <x:c r="Q27" s="59"/>
    </x:row>
    <x:row r="28" ht="23" customHeight="1">
      <x:c r="A28" s="52" t="str">
        <x:v>EN02</x:v>
      </x:c>
      <x:c r="B28" s="52" t="str">
        <x:v>Envelope</x:v>
      </x:c>
      <x:c r="C28" s="52" t="str">
        <x:v>Roof membranes</x:v>
      </x:c>
      <x:c r="D28" s="61" t="n">
        <x:v>14400</x:v>
      </x:c>
      <x:c r="E28" s="61" t="n">
        <x:v>20</x:v>
      </x:c>
      <x:c r="F28" s="61" t="n">
        <x:v>288000</x:v>
      </x:c>
      <x:c r="G28" s="62" t="n">
        <x:f>F28/'Controls'!$B$9*'Controls'!$B$8</x:f>
        <x:v>351302.39999999997</x:v>
      </x:c>
      <x:c r="H28" s="63" t="n">
        <x:f>F28/'Controls'!$B$9</x:f>
        <x:v>0.012733854477457457</x:v>
      </x:c>
      <x:c r="I28" s="59"/>
      <x:c r="J28" s="59"/>
      <x:c r="K28" s="59"/>
      <x:c r="L28" s="59"/>
      <x:c r="M28" s="59"/>
      <x:c r="N28" s="59"/>
      <x:c r="O28" s="59"/>
      <x:c r="P28" s="59"/>
      <x:c r="Q28" s="59"/>
    </x:row>
    <x:row r="29" ht="23" customHeight="1">
      <x:c r="A29" s="54" t="str">
        <x:v>EN03</x:v>
      </x:c>
      <x:c r="B29" s="54" t="str">
        <x:v>Envelope</x:v>
      </x:c>
      <x:c r="C29" s="54" t="str">
        <x:v>Opaque facade</x:v>
      </x:c>
      <x:c r="D29" s="64" t="n">
        <x:v>19408.895999999997</x:v>
      </x:c>
      <x:c r="E29" s="64" t="n">
        <x:v>84</x:v>
      </x:c>
      <x:c r="F29" s="64" t="n">
        <x:v>1630347.2639999997</x:v>
      </x:c>
      <x:c r="G29" s="65" t="n">
        <x:f>F29/'Controls'!$B$9*'Controls'!$B$8</x:f>
        <x:v>1988697.5926271996</x:v>
      </x:c>
      <x:c r="H29" s="66" t="n">
        <x:f>F29/'Controls'!$B$9</x:f>
        <x:v>0.07208543335936428</x:v>
      </x:c>
      <x:c r="I29" s="59"/>
      <x:c r="J29" s="59"/>
      <x:c r="K29" s="59"/>
      <x:c r="L29" s="59"/>
      <x:c r="M29" s="59"/>
      <x:c r="N29" s="59"/>
      <x:c r="O29" s="59"/>
      <x:c r="P29" s="59"/>
      <x:c r="Q29" s="59"/>
    </x:row>
    <x:row r="30" ht="23" customHeight="1">
      <x:c r="A30" s="52" t="str">
        <x:v>EN04</x:v>
      </x:c>
      <x:c r="B30" s="52" t="str">
        <x:v>Envelope</x:v>
      </x:c>
      <x:c r="C30" s="52" t="str">
        <x:v>Glazing</x:v>
      </x:c>
      <x:c r="D30" s="61" t="n">
        <x:v>7547.904000000001</x:v>
      </x:c>
      <x:c r="E30" s="61" t="n">
        <x:v>220</x:v>
      </x:c>
      <x:c r="F30" s="61" t="n">
        <x:v>1660538.8800000004</x:v>
      </x:c>
      <x:c r="G30" s="62" t="n">
        <x:f>F30/'Controls'!$B$9*'Controls'!$B$8</x:f>
        <x:v>2025525.3258240002</x:v>
      </x:c>
      <x:c r="H30" s="63" t="n">
        <x:f>F30/'Controls'!$B$9</x:f>
        <x:v>0.07342034879194512</x:v>
      </x:c>
      <x:c r="I30" s="59"/>
      <x:c r="J30" s="59"/>
      <x:c r="K30" s="59"/>
      <x:c r="L30" s="59"/>
      <x:c r="M30" s="59"/>
      <x:c r="N30" s="59"/>
      <x:c r="O30" s="59"/>
      <x:c r="P30" s="59"/>
      <x:c r="Q30" s="59"/>
    </x:row>
    <x:row r="31" ht="23" customHeight="1">
      <x:c r="A31" s="54" t="str">
        <x:v>AR01</x:v>
      </x:c>
      <x:c r="B31" s="54" t="str">
        <x:v>Finishes</x:v>
      </x:c>
      <x:c r="C31" s="54" t="str">
        <x:v>Masonry</x:v>
      </x:c>
      <x:c r="D31" s="64" t="n">
        <x:v>7051.356000000001</x:v>
      </x:c>
      <x:c r="E31" s="64" t="n">
        <x:v>135</x:v>
      </x:c>
      <x:c r="F31" s="64" t="n">
        <x:v>951933.06</x:v>
      </x:c>
      <x:c r="G31" s="65" t="n">
        <x:f>F31/'Controls'!$B$9*'Controls'!$B$8</x:f>
        <x:v>1161167.946588</x:v>
      </x:c>
      <x:c r="H31" s="66" t="n">
        <x:f>F31/'Controls'!$B$9</x:f>
        <x:v>0.04208950367472493</x:v>
      </x:c>
      <x:c r="I31" s="59"/>
      <x:c r="J31" s="59"/>
      <x:c r="K31" s="59"/>
      <x:c r="L31" s="59"/>
      <x:c r="M31" s="59"/>
      <x:c r="N31" s="59"/>
      <x:c r="O31" s="59"/>
      <x:c r="P31" s="59"/>
      <x:c r="Q31" s="59"/>
    </x:row>
    <x:row r="32" ht="23" customHeight="1">
      <x:c r="A32" s="52" t="str">
        <x:v>AR02</x:v>
      </x:c>
      <x:c r="B32" s="52" t="str">
        <x:v>Finishes</x:v>
      </x:c>
      <x:c r="C32" s="52" t="str">
        <x:v>Internal plaster</x:v>
      </x:c>
      <x:c r="D32" s="61" t="n">
        <x:v>94018.08000000005</x:v>
      </x:c>
      <x:c r="E32" s="61" t="n">
        <x:v>12.499999999999998</x:v>
      </x:c>
      <x:c r="F32" s="61" t="n">
        <x:v>1175226.0000000005</x:v>
      </x:c>
      <x:c r="G32" s="62" t="n">
        <x:f>F32/'Controls'!$B$9*'Controls'!$B$8</x:f>
        <x:v>1433540.6748000004</x:v>
      </x:c>
      <x:c r="H32" s="63" t="n">
        <x:f>F32/'Controls'!$B$9</x:f>
        <x:v>0.0519623502157098</x:v>
      </x:c>
      <x:c r="I32" s="59"/>
      <x:c r="J32" s="59"/>
      <x:c r="K32" s="59"/>
      <x:c r="L32" s="59"/>
      <x:c r="M32" s="59"/>
      <x:c r="N32" s="59"/>
      <x:c r="O32" s="59"/>
      <x:c r="P32" s="59"/>
      <x:c r="Q32" s="59"/>
    </x:row>
    <x:row r="33" ht="23" customHeight="1">
      <x:c r="A33" s="54" t="str">
        <x:v>AR03</x:v>
      </x:c>
      <x:c r="B33" s="54" t="str">
        <x:v>Finishes</x:v>
      </x:c>
      <x:c r="C33" s="54" t="str">
        <x:v>Floor screed</x:v>
      </x:c>
      <x:c r="D33" s="64" t="n">
        <x:v>54288</x:v>
      </x:c>
      <x:c r="E33" s="64" t="n">
        <x:v>13</x:v>
      </x:c>
      <x:c r="F33" s="64" t="n">
        <x:v>705744</x:v>
      </x:c>
      <x:c r="G33" s="65" t="n">
        <x:f>F33/'Controls'!$B$9*'Controls'!$B$8</x:f>
        <x:v>860866.5312</x:v>
      </x:c>
      <x:c r="H33" s="66" t="n">
        <x:f>F33/'Controls'!$B$9</x:f>
        <x:v>0.031204310397009497</x:v>
      </x:c>
      <x:c r="I33" s="59"/>
      <x:c r="J33" s="59"/>
      <x:c r="K33" s="59"/>
      <x:c r="L33" s="59"/>
      <x:c r="M33" s="59"/>
      <x:c r="N33" s="59"/>
      <x:c r="O33" s="59"/>
      <x:c r="P33" s="59"/>
      <x:c r="Q33" s="59"/>
    </x:row>
    <x:row r="34" ht="23" customHeight="1">
      <x:c r="A34" s="52" t="str">
        <x:v>AR04</x:v>
      </x:c>
      <x:c r="B34" s="52" t="str">
        <x:v>Finishes</x:v>
      </x:c>
      <x:c r="C34" s="52" t="str">
        <x:v>Floor finishes</x:v>
      </x:c>
      <x:c r="D34" s="61" t="n">
        <x:v>54288</x:v>
      </x:c>
      <x:c r="E34" s="61" t="n">
        <x:v>34.5</x:v>
      </x:c>
      <x:c r="F34" s="61" t="n">
        <x:v>1872936</x:v>
      </x:c>
      <x:c r="G34" s="62" t="n">
        <x:f>F34/'Controls'!$B$9*'Controls'!$B$8</x:f>
        <x:v>2284607.3327999995</x:v>
      </x:c>
      <x:c r="H34" s="63" t="n">
        <x:f>F34/'Controls'!$B$9</x:f>
        <x:v>0.0828114391305252</x:v>
      </x:c>
      <x:c r="I34" s="59"/>
      <x:c r="J34" s="59"/>
      <x:c r="K34" s="59"/>
      <x:c r="L34" s="59"/>
      <x:c r="M34" s="59"/>
      <x:c r="N34" s="59"/>
      <x:c r="O34" s="59"/>
      <x:c r="P34" s="59"/>
      <x:c r="Q34" s="59"/>
    </x:row>
    <x:row r="35" ht="23" customHeight="1">
      <x:c r="A35" s="54" t="str">
        <x:v>AR05</x:v>
      </x:c>
      <x:c r="B35" s="54" t="str">
        <x:v>Finishes</x:v>
      </x:c>
      <x:c r="C35" s="54" t="str">
        <x:v>Internal paint</x:v>
      </x:c>
      <x:c r="D35" s="64" t="n">
        <x:v>94018.08000000003</x:v>
      </x:c>
      <x:c r="E35" s="64" t="n">
        <x:v>8.5</x:v>
      </x:c>
      <x:c r="F35" s="64" t="n">
        <x:v>799153.6800000003</x:v>
      </x:c>
      <x:c r="G35" s="65" t="n">
        <x:f>F35/'Controls'!$B$9*'Controls'!$B$8</x:f>
        <x:v>974807.6588640002</x:v>
      </x:c>
      <x:c r="H35" s="66" t="n">
        <x:f>F35/'Controls'!$B$9</x:f>
        <x:v>0.03533439814668266</x:v>
      </x:c>
      <x:c r="I35" s="59"/>
      <x:c r="J35" s="59"/>
      <x:c r="K35" s="59"/>
      <x:c r="L35" s="59"/>
      <x:c r="M35" s="59"/>
      <x:c r="N35" s="59"/>
      <x:c r="O35" s="59"/>
      <x:c r="P35" s="59"/>
      <x:c r="Q35" s="59"/>
    </x:row>
    <x:row r="36" ht="23" customHeight="1">
      <x:c r="A36" s="52" t="str">
        <x:v>AR06</x:v>
      </x:c>
      <x:c r="B36" s="52" t="str">
        <x:v>Finishes</x:v>
      </x:c>
      <x:c r="C36" s="52" t="str">
        <x:v>Door sets</x:v>
      </x:c>
      <x:c r="D36" s="61" t="n">
        <x:v>2184</x:v>
      </x:c>
      <x:c r="E36" s="61" t="n">
        <x:v>207</x:v>
      </x:c>
      <x:c r="F36" s="61" t="n">
        <x:v>452088</x:v>
      </x:c>
      <x:c r="G36" s="62" t="n">
        <x:f>F36/'Controls'!$B$9*'Controls'!$B$8</x:f>
        <x:v>551456.9423999999</x:v>
      </x:c>
      <x:c r="H36" s="63" t="n">
        <x:f>F36/'Controls'!$B$9</x:f>
        <x:v>0.019988968065988842</x:v>
      </x:c>
      <x:c r="I36" s="59"/>
      <x:c r="J36" s="59"/>
      <x:c r="K36" s="59"/>
      <x:c r="L36" s="59"/>
      <x:c r="M36" s="59"/>
      <x:c r="N36" s="59"/>
      <x:c r="O36" s="59"/>
      <x:c r="P36" s="59"/>
      <x:c r="Q36" s="59"/>
    </x:row>
    <x:row r="37" ht="23" customHeight="1">
      <x:c r="A37" s="54" t="str">
        <x:v>EX01</x:v>
      </x:c>
      <x:c r="B37" s="54" t="str">
        <x:v>External</x:v>
      </x:c>
      <x:c r="C37" s="54" t="str">
        <x:v>External paving</x:v>
      </x:c>
      <x:c r="D37" s="64" t="n">
        <x:v>4500</x:v>
      </x:c>
      <x:c r="E37" s="64" t="n">
        <x:v>38</x:v>
      </x:c>
      <x:c r="F37" s="64" t="n">
        <x:v>171000</x:v>
      </x:c>
      <x:c r="G37" s="65" t="n">
        <x:f>F37/'Controls'!$B$9*'Controls'!$B$8</x:f>
        <x:v>208585.8</x:v>
      </x:c>
      <x:c r="H37" s="66" t="n">
        <x:f>F37/'Controls'!$B$9</x:f>
        <x:v>0.007560726095990365</x:v>
      </x:c>
      <x:c r="I37" s="59"/>
      <x:c r="J37" s="59"/>
      <x:c r="K37" s="59"/>
      <x:c r="L37" s="59"/>
      <x:c r="M37" s="59"/>
      <x:c r="N37" s="59"/>
      <x:c r="O37" s="59"/>
      <x:c r="P37" s="59"/>
      <x:c r="Q37" s="59"/>
    </x:row>
    <x:row r="38" ht="23" customHeight="1">
      <x:c r="A38" s="52" t="str">
        <x:v>EX02</x:v>
      </x:c>
      <x:c r="B38" s="52" t="str">
        <x:v>External</x:v>
      </x:c>
      <x:c r="C38" s="52" t="str">
        <x:v>Drainage pipe</x:v>
      </x:c>
      <x:c r="D38" s="61" t="n">
        <x:v>960</x:v>
      </x:c>
      <x:c r="E38" s="61" t="n">
        <x:v>66</x:v>
      </x:c>
      <x:c r="F38" s="61" t="n">
        <x:v>63360</x:v>
      </x:c>
      <x:c r="G38" s="62" t="n">
        <x:f>F38/'Controls'!$B$9*'Controls'!$B$8</x:f>
        <x:v>77286.52799999999</x:v>
      </x:c>
      <x:c r="H38" s="63" t="n">
        <x:f>F38/'Controls'!$B$9</x:f>
        <x:v>0.0028014479850406405</x:v>
      </x:c>
      <x:c r="I38" s="59"/>
      <x:c r="J38" s="59"/>
      <x:c r="K38" s="59"/>
      <x:c r="L38" s="59"/>
      <x:c r="M38" s="59"/>
      <x:c r="N38" s="59"/>
      <x:c r="O38" s="59"/>
      <x:c r="P38" s="59"/>
      <x:c r="Q38" s="59"/>
    </x:row>
    <x:row r="39" ht="23" customHeight="1">
      <x:c r="A39" s="54" t="str">
        <x:v>EX03</x:v>
      </x:c>
      <x:c r="B39" s="54" t="str">
        <x:v>External</x:v>
      </x:c>
      <x:c r="C39" s="54" t="str">
        <x:v>Chambers</x:v>
      </x:c>
      <x:c r="D39" s="64" t="n">
        <x:v>24</x:v>
      </x:c>
      <x:c r="E39" s="64" t="n">
        <x:v>560</x:v>
      </x:c>
      <x:c r="F39" s="64" t="n">
        <x:v>13440</x:v>
      </x:c>
      <x:c r="G39" s="65" t="n">
        <x:f>F39/'Controls'!$B$9*'Controls'!$B$8</x:f>
        <x:v>16394.111999999997</x:v>
      </x:c>
      <x:c r="H39" s="66" t="n">
        <x:f>F39/'Controls'!$B$9</x:f>
        <x:v>0.000594246542281348</x:v>
      </x:c>
      <x:c r="I39" s="59"/>
      <x:c r="J39" s="59"/>
      <x:c r="K39" s="59"/>
      <x:c r="L39" s="59"/>
      <x:c r="M39" s="59"/>
      <x:c r="N39" s="59"/>
      <x:c r="O39" s="59"/>
      <x:c r="P39" s="59"/>
      <x:c r="Q39" s="5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3" hidden="0" customWidth="1"/>
    <x:col min="2" max="2" width="19" hidden="0" customWidth="1"/>
    <x:col min="3" max="3" width="15" hidden="0" customWidth="1"/>
    <x:col min="4" max="4" width="15" hidden="0" customWidth="1"/>
    <x:col min="5" max="5" width="16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6" hidden="0" customWidth="1"/>
  </x:cols>
  <x:sheetData>
    <x:row r="2">
      <x:c r="A2" s="48" t="str">
        <x:v>Monthly production allocation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9"/>
      <x:c r="S2" s="49"/>
      <x:c r="T2" s="49"/>
      <x:c r="U2" s="49"/>
      <x:c r="V2" s="49"/>
      <x:c r="W2" s="49"/>
      <x:c r="X2" s="49"/>
      <x:c r="Y2" s="49"/>
      <x:c r="Z2" s="49"/>
      <x:c r="AA2" s="49"/>
      <x:c r="AB2" s="49"/>
      <x:c r="AC2" s="49"/>
      <x:c r="AD2" s="49"/>
      <x:c r="AE2" s="49"/>
      <x:c r="AF2" s="49"/>
      <x:c r="AG2" s="49"/>
      <x:c r="AH2" s="49"/>
      <x:c r="AI2" s="49"/>
      <x:c r="AJ2" s="49"/>
      <x:c r="AK2" s="49"/>
      <x:c r="AL2" s="49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  <x:c r="AA3" s="49"/>
      <x:c r="AB3" s="49"/>
      <x:c r="AC3" s="49"/>
      <x:c r="AD3" s="49"/>
      <x:c r="AE3" s="49"/>
      <x:c r="AF3" s="49"/>
      <x:c r="AG3" s="49"/>
      <x:c r="AH3" s="49"/>
      <x:c r="AI3" s="49"/>
      <x:c r="AJ3" s="49"/>
      <x:c r="AK3" s="49"/>
      <x:c r="AL3" s="49"/>
    </x:row>
    <x:row r="4">
      <x:c r="A4" s="50" t="str">
        <x:v>Triangular profile normalized to 100% per work package; time inputs are editable.</x:v>
      </x:c>
      <x:c r="B4" s="50"/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 s="50"/>
      <x:c r="P4" s="50"/>
      <x:c r="Q4" s="50"/>
      <x:c r="R4" s="49"/>
      <x:c r="S4" s="49"/>
      <x:c r="T4" s="49"/>
      <x:c r="U4" s="49"/>
      <x:c r="V4" s="49"/>
      <x:c r="W4" s="49"/>
      <x:c r="X4" s="49"/>
      <x:c r="Y4" s="49"/>
      <x:c r="Z4" s="49"/>
      <x:c r="AA4" s="49"/>
      <x:c r="AB4" s="49"/>
      <x:c r="AC4" s="49"/>
      <x:c r="AD4" s="49"/>
      <x:c r="AE4" s="49"/>
      <x:c r="AF4" s="49"/>
      <x:c r="AG4" s="49"/>
      <x:c r="AH4" s="49"/>
      <x:c r="AI4" s="49"/>
      <x:c r="AJ4" s="49"/>
      <x:c r="AK4" s="49"/>
      <x:c r="AL4" s="49"/>
    </x:row>
    <x:row r="5">
      <x:c r="A5" s="51"/>
      <x:c r="B5" s="51"/>
      <x:c r="C5" s="51"/>
      <x:c r="D5" s="51"/>
      <x:c r="E5" s="51"/>
      <x:c r="F5" s="51"/>
      <x:c r="G5" s="51"/>
      <x:c r="H5" s="51"/>
      <x:c r="I5" s="51"/>
      <x:c r="J5" s="51"/>
      <x:c r="K5" s="51"/>
      <x:c r="L5" s="51"/>
      <x:c r="M5" s="51"/>
      <x:c r="N5" s="51"/>
      <x:c r="O5" s="51"/>
      <x:c r="P5" s="51"/>
      <x:c r="Q5" s="51"/>
      <x:c r="R5" s="49"/>
      <x:c r="S5" s="49"/>
      <x:c r="T5" s="49"/>
      <x:c r="U5" s="49"/>
      <x:c r="V5" s="49"/>
      <x:c r="W5" s="49"/>
      <x:c r="X5" s="49"/>
      <x:c r="Y5" s="49"/>
      <x:c r="Z5" s="49"/>
      <x:c r="AA5" s="49"/>
      <x:c r="AB5" s="49"/>
      <x:c r="AC5" s="49"/>
      <x:c r="AD5" s="49"/>
      <x:c r="AE5" s="49"/>
      <x:c r="AF5" s="49"/>
      <x:c r="AG5" s="49"/>
      <x:c r="AH5" s="49"/>
      <x:c r="AI5" s="49"/>
      <x:c r="AJ5" s="49"/>
      <x:c r="AK5" s="49"/>
      <x:c r="AL5" s="49"/>
    </x:row>
    <x:row r="6">
      <x:c r="A6" s="49"/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  <x:c r="AA6" s="49"/>
      <x:c r="AB6" s="49"/>
      <x:c r="AC6" s="49"/>
      <x:c r="AD6" s="49"/>
      <x:c r="AE6" s="49"/>
      <x:c r="AF6" s="49"/>
      <x:c r="AG6" s="49"/>
      <x:c r="AH6" s="49"/>
      <x:c r="AI6" s="49"/>
      <x:c r="AJ6" s="49"/>
      <x:c r="AK6" s="49"/>
      <x:c r="AL6" s="49"/>
    </x:row>
    <x:row r="7" ht="34" customHeight="1">
      <x:c r="A7" s="6" t="str">
        <x:v>Code</x:v>
      </x:c>
      <x:c r="B7" s="6" t="str">
        <x:v>Trade</x:v>
      </x:c>
      <x:c r="C7" s="6" t="str">
        <x:v>Start month</x:v>
      </x:c>
      <x:c r="D7" s="6" t="str">
        <x:v>End month</x:v>
      </x:c>
      <x:c r="E7" s="6" t="str">
        <x:v>Weight sum</x:v>
      </x:c>
      <x:c r="F7" s="6" t="str">
        <x:v>M01</x:v>
      </x:c>
      <x:c r="G7" s="6" t="str">
        <x:v>M02</x:v>
      </x:c>
      <x:c r="H7" s="6" t="str">
        <x:v>M03</x:v>
      </x:c>
      <x:c r="I7" s="6" t="str">
        <x:v>M04</x:v>
      </x:c>
      <x:c r="J7" s="6" t="str">
        <x:v>M05</x:v>
      </x:c>
      <x:c r="K7" s="6" t="str">
        <x:v>M06</x:v>
      </x:c>
      <x:c r="L7" s="6" t="str">
        <x:v>M07</x:v>
      </x:c>
      <x:c r="M7" s="6" t="str">
        <x:v>M08</x:v>
      </x:c>
      <x:c r="N7" s="6" t="str">
        <x:v>M09</x:v>
      </x:c>
      <x:c r="O7" s="6" t="str">
        <x:v>M10</x:v>
      </x:c>
      <x:c r="P7" s="6" t="str">
        <x:v>M11</x:v>
      </x:c>
      <x:c r="Q7" s="6" t="str">
        <x:v>M12</x:v>
      </x:c>
      <x:c r="R7" s="6" t="str">
        <x:v>M13</x:v>
      </x:c>
      <x:c r="S7" s="6" t="str">
        <x:v>M14</x:v>
      </x:c>
      <x:c r="T7" s="6" t="str">
        <x:v>M15</x:v>
      </x:c>
      <x:c r="U7" s="6" t="str">
        <x:v>M16</x:v>
      </x:c>
      <x:c r="V7" s="6" t="str">
        <x:v>M17</x:v>
      </x:c>
      <x:c r="W7" s="6" t="str">
        <x:v>M18</x:v>
      </x:c>
      <x:c r="X7" s="6" t="str">
        <x:v>M19</x:v>
      </x:c>
      <x:c r="Y7" s="6" t="str">
        <x:v>M20</x:v>
      </x:c>
      <x:c r="Z7" s="6" t="str">
        <x:v>M21</x:v>
      </x:c>
      <x:c r="AA7" s="6" t="str">
        <x:v>M22</x:v>
      </x:c>
      <x:c r="AB7" s="6" t="str">
        <x:v>M23</x:v>
      </x:c>
      <x:c r="AC7" s="6" t="str">
        <x:v>M24</x:v>
      </x:c>
      <x:c r="AD7" s="6" t="str">
        <x:v>M25</x:v>
      </x:c>
      <x:c r="AE7" s="6" t="str">
        <x:v>M26</x:v>
      </x:c>
      <x:c r="AF7" s="6" t="str">
        <x:v>M27</x:v>
      </x:c>
      <x:c r="AG7" s="6" t="str">
        <x:v>M28</x:v>
      </x:c>
      <x:c r="AH7" s="6" t="str">
        <x:v>M29</x:v>
      </x:c>
      <x:c r="AI7" s="6" t="str">
        <x:v>M30</x:v>
      </x:c>
      <x:c r="AJ7" s="6" t="str">
        <x:v>M31</x:v>
      </x:c>
      <x:c r="AK7" s="6" t="str">
        <x:v>M32</x:v>
      </x:c>
      <x:c r="AL7" s="6" t="str">
        <x:v>Share total</x:v>
      </x:c>
    </x:row>
    <x:row r="8" ht="23" customHeight="1">
      <x:c r="A8" s="52" t="str">
        <x:v>EW01</x:v>
      </x:c>
      <x:c r="B8" s="52" t="str">
        <x:v>Earthworks</x:v>
      </x:c>
      <x:c r="C8" s="67" t="n">
        <x:v>1</x:v>
      </x:c>
      <x:c r="D8" s="67" t="n">
        <x:v>3</x:v>
      </x:c>
      <x:c r="E8" s="68" t="n">
        <x:f>(D8-C8+1)*(D8-C8+2)/2</x:f>
        <x:v>6</x:v>
      </x:c>
      <x:c r="F8" s="69" t="n">
        <x:f>IF(AND(1&gt;=C8,1&lt;=D8),(D8-1+1)/E8,0)</x:f>
        <x:v>0.5</x:v>
      </x:c>
      <x:c r="G8" s="69" t="n">
        <x:f>IF(AND(2&gt;=C8,2&lt;=D8),(D8-2+1)/E8,0)</x:f>
        <x:v>0.3333333333333333</x:v>
      </x:c>
      <x:c r="H8" s="69" t="n">
        <x:f>IF(AND(3&gt;=C8,3&lt;=D8),(D8-3+1)/E8,0)</x:f>
        <x:v>0.16666666666666666</x:v>
      </x:c>
      <x:c r="I8" s="69" t="n">
        <x:f>IF(AND(4&gt;=C8,4&lt;=D8),(D8-4+1)/E8,0)</x:f>
        <x:v>0</x:v>
      </x:c>
      <x:c r="J8" s="69" t="n">
        <x:f>IF(AND(5&gt;=C8,5&lt;=D8),(D8-5+1)/E8,0)</x:f>
        <x:v>0</x:v>
      </x:c>
      <x:c r="K8" s="69" t="n">
        <x:f>IF(AND(6&gt;=C8,6&lt;=D8),(D8-6+1)/E8,0)</x:f>
        <x:v>0</x:v>
      </x:c>
      <x:c r="L8" s="69" t="n">
        <x:f>IF(AND(7&gt;=C8,7&lt;=D8),(D8-7+1)/E8,0)</x:f>
        <x:v>0</x:v>
      </x:c>
      <x:c r="M8" s="69" t="n">
        <x:f>IF(AND(8&gt;=C8,8&lt;=D8),(D8-8+1)/E8,0)</x:f>
        <x:v>0</x:v>
      </x:c>
      <x:c r="N8" s="69" t="n">
        <x:f>IF(AND(9&gt;=C8,9&lt;=D8),(D8-9+1)/E8,0)</x:f>
        <x:v>0</x:v>
      </x:c>
      <x:c r="O8" s="69" t="n">
        <x:f>IF(AND(10&gt;=C8,10&lt;=D8),(D8-10+1)/E8,0)</x:f>
        <x:v>0</x:v>
      </x:c>
      <x:c r="P8" s="69" t="n">
        <x:f>IF(AND(11&gt;=C8,11&lt;=D8),(D8-11+1)/E8,0)</x:f>
        <x:v>0</x:v>
      </x:c>
      <x:c r="Q8" s="69" t="n">
        <x:f>IF(AND(12&gt;=C8,12&lt;=D8),(D8-12+1)/E8,0)</x:f>
        <x:v>0</x:v>
      </x:c>
      <x:c r="R8" s="69" t="n">
        <x:f>IF(AND(13&gt;=C8,13&lt;=D8),(D8-13+1)/E8,0)</x:f>
        <x:v>0</x:v>
      </x:c>
      <x:c r="S8" s="69" t="n">
        <x:f>IF(AND(14&gt;=C8,14&lt;=D8),(D8-14+1)/E8,0)</x:f>
        <x:v>0</x:v>
      </x:c>
      <x:c r="T8" s="69" t="n">
        <x:f>IF(AND(15&gt;=C8,15&lt;=D8),(D8-15+1)/E8,0)</x:f>
        <x:v>0</x:v>
      </x:c>
      <x:c r="U8" s="69" t="n">
        <x:f>IF(AND(16&gt;=C8,16&lt;=D8),(D8-16+1)/E8,0)</x:f>
        <x:v>0</x:v>
      </x:c>
      <x:c r="V8" s="69" t="n">
        <x:f>IF(AND(17&gt;=C8,17&lt;=D8),(D8-17+1)/E8,0)</x:f>
        <x:v>0</x:v>
      </x:c>
      <x:c r="W8" s="69" t="n">
        <x:f>IF(AND(18&gt;=C8,18&lt;=D8),(D8-18+1)/E8,0)</x:f>
        <x:v>0</x:v>
      </x:c>
      <x:c r="X8" s="69" t="n">
        <x:f>IF(AND(19&gt;=C8,19&lt;=D8),(D8-19+1)/E8,0)</x:f>
        <x:v>0</x:v>
      </x:c>
      <x:c r="Y8" s="69" t="n">
        <x:f>IF(AND(20&gt;=C8,20&lt;=D8),(D8-20+1)/E8,0)</x:f>
        <x:v>0</x:v>
      </x:c>
      <x:c r="Z8" s="69" t="n">
        <x:f>IF(AND(21&gt;=C8,21&lt;=D8),(D8-21+1)/E8,0)</x:f>
        <x:v>0</x:v>
      </x:c>
      <x:c r="AA8" s="69" t="n">
        <x:f>IF(AND(22&gt;=C8,22&lt;=D8),(D8-22+1)/E8,0)</x:f>
        <x:v>0</x:v>
      </x:c>
      <x:c r="AB8" s="69" t="n">
        <x:f>IF(AND(23&gt;=C8,23&lt;=D8),(D8-23+1)/E8,0)</x:f>
        <x:v>0</x:v>
      </x:c>
      <x:c r="AC8" s="69" t="n">
        <x:f>IF(AND(24&gt;=C8,24&lt;=D8),(D8-24+1)/E8,0)</x:f>
        <x:v>0</x:v>
      </x:c>
      <x:c r="AD8" s="69" t="n">
        <x:f>IF(AND(25&gt;=C8,25&lt;=D8),(D8-25+1)/E8,0)</x:f>
        <x:v>0</x:v>
      </x:c>
      <x:c r="AE8" s="69" t="n">
        <x:f>IF(AND(26&gt;=C8,26&lt;=D8),(D8-26+1)/E8,0)</x:f>
        <x:v>0</x:v>
      </x:c>
      <x:c r="AF8" s="69" t="n">
        <x:f>IF(AND(27&gt;=C8,27&lt;=D8),(D8-27+1)/E8,0)</x:f>
        <x:v>0</x:v>
      </x:c>
      <x:c r="AG8" s="69" t="n">
        <x:f>IF(AND(28&gt;=C8,28&lt;=D8),(D8-28+1)/E8,0)</x:f>
        <x:v>0</x:v>
      </x:c>
      <x:c r="AH8" s="69" t="n">
        <x:f>IF(AND(29&gt;=C8,29&lt;=D8),(D8-29+1)/E8,0)</x:f>
        <x:v>0</x:v>
      </x:c>
      <x:c r="AI8" s="69" t="n">
        <x:f>IF(AND(30&gt;=C8,30&lt;=D8),(D8-30+1)/E8,0)</x:f>
        <x:v>0</x:v>
      </x:c>
      <x:c r="AJ8" s="69" t="n">
        <x:f>IF(AND(31&gt;=C8,31&lt;=D8),(D8-31+1)/E8,0)</x:f>
        <x:v>0</x:v>
      </x:c>
      <x:c r="AK8" s="69" t="n">
        <x:f>IF(AND(32&gt;=C8,32&lt;=D8),(D8-32+1)/E8,0)</x:f>
        <x:v>0</x:v>
      </x:c>
      <x:c r="AL8" s="69" t="n">
        <x:f>SUM(F8:AK8)</x:f>
        <x:v>0.9999999999999999</x:v>
      </x:c>
    </x:row>
    <x:row r="9" ht="23" customHeight="1">
      <x:c r="A9" s="54" t="str">
        <x:v>EW02</x:v>
      </x:c>
      <x:c r="B9" s="54" t="str">
        <x:v>Earthworks</x:v>
      </x:c>
      <x:c r="C9" s="70" t="n">
        <x:v>1</x:v>
      </x:c>
      <x:c r="D9" s="70" t="n">
        <x:v>3</x:v>
      </x:c>
      <x:c r="E9" s="71" t="n">
        <x:f>(D9-C9+1)*(D9-C9+2)/2</x:f>
        <x:v>6</x:v>
      </x:c>
      <x:c r="F9" s="72" t="n">
        <x:f>IF(AND(1&gt;=C9,1&lt;=D9),(D9-1+1)/E9,0)</x:f>
        <x:v>0.5</x:v>
      </x:c>
      <x:c r="G9" s="72" t="n">
        <x:f>IF(AND(2&gt;=C9,2&lt;=D9),(D9-2+1)/E9,0)</x:f>
        <x:v>0.3333333333333333</x:v>
      </x:c>
      <x:c r="H9" s="72" t="n">
        <x:f>IF(AND(3&gt;=C9,3&lt;=D9),(D9-3+1)/E9,0)</x:f>
        <x:v>0.16666666666666666</x:v>
      </x:c>
      <x:c r="I9" s="72" t="n">
        <x:f>IF(AND(4&gt;=C9,4&lt;=D9),(D9-4+1)/E9,0)</x:f>
        <x:v>0</x:v>
      </x:c>
      <x:c r="J9" s="72" t="n">
        <x:f>IF(AND(5&gt;=C9,5&lt;=D9),(D9-5+1)/E9,0)</x:f>
        <x:v>0</x:v>
      </x:c>
      <x:c r="K9" s="72" t="n">
        <x:f>IF(AND(6&gt;=C9,6&lt;=D9),(D9-6+1)/E9,0)</x:f>
        <x:v>0</x:v>
      </x:c>
      <x:c r="L9" s="72" t="n">
        <x:f>IF(AND(7&gt;=C9,7&lt;=D9),(D9-7+1)/E9,0)</x:f>
        <x:v>0</x:v>
      </x:c>
      <x:c r="M9" s="72" t="n">
        <x:f>IF(AND(8&gt;=C9,8&lt;=D9),(D9-8+1)/E9,0)</x:f>
        <x:v>0</x:v>
      </x:c>
      <x:c r="N9" s="72" t="n">
        <x:f>IF(AND(9&gt;=C9,9&lt;=D9),(D9-9+1)/E9,0)</x:f>
        <x:v>0</x:v>
      </x:c>
      <x:c r="O9" s="72" t="n">
        <x:f>IF(AND(10&gt;=C9,10&lt;=D9),(D9-10+1)/E9,0)</x:f>
        <x:v>0</x:v>
      </x:c>
      <x:c r="P9" s="72" t="n">
        <x:f>IF(AND(11&gt;=C9,11&lt;=D9),(D9-11+1)/E9,0)</x:f>
        <x:v>0</x:v>
      </x:c>
      <x:c r="Q9" s="72" t="n">
        <x:f>IF(AND(12&gt;=C9,12&lt;=D9),(D9-12+1)/E9,0)</x:f>
        <x:v>0</x:v>
      </x:c>
      <x:c r="R9" s="72" t="n">
        <x:f>IF(AND(13&gt;=C9,13&lt;=D9),(D9-13+1)/E9,0)</x:f>
        <x:v>0</x:v>
      </x:c>
      <x:c r="S9" s="72" t="n">
        <x:f>IF(AND(14&gt;=C9,14&lt;=D9),(D9-14+1)/E9,0)</x:f>
        <x:v>0</x:v>
      </x:c>
      <x:c r="T9" s="72" t="n">
        <x:f>IF(AND(15&gt;=C9,15&lt;=D9),(D9-15+1)/E9,0)</x:f>
        <x:v>0</x:v>
      </x:c>
      <x:c r="U9" s="72" t="n">
        <x:f>IF(AND(16&gt;=C9,16&lt;=D9),(D9-16+1)/E9,0)</x:f>
        <x:v>0</x:v>
      </x:c>
      <x:c r="V9" s="72" t="n">
        <x:f>IF(AND(17&gt;=C9,17&lt;=D9),(D9-17+1)/E9,0)</x:f>
        <x:v>0</x:v>
      </x:c>
      <x:c r="W9" s="72" t="n">
        <x:f>IF(AND(18&gt;=C9,18&lt;=D9),(D9-18+1)/E9,0)</x:f>
        <x:v>0</x:v>
      </x:c>
      <x:c r="X9" s="72" t="n">
        <x:f>IF(AND(19&gt;=C9,19&lt;=D9),(D9-19+1)/E9,0)</x:f>
        <x:v>0</x:v>
      </x:c>
      <x:c r="Y9" s="72" t="n">
        <x:f>IF(AND(20&gt;=C9,20&lt;=D9),(D9-20+1)/E9,0)</x:f>
        <x:v>0</x:v>
      </x:c>
      <x:c r="Z9" s="72" t="n">
        <x:f>IF(AND(21&gt;=C9,21&lt;=D9),(D9-21+1)/E9,0)</x:f>
        <x:v>0</x:v>
      </x:c>
      <x:c r="AA9" s="72" t="n">
        <x:f>IF(AND(22&gt;=C9,22&lt;=D9),(D9-22+1)/E9,0)</x:f>
        <x:v>0</x:v>
      </x:c>
      <x:c r="AB9" s="72" t="n">
        <x:f>IF(AND(23&gt;=C9,23&lt;=D9),(D9-23+1)/E9,0)</x:f>
        <x:v>0</x:v>
      </x:c>
      <x:c r="AC9" s="72" t="n">
        <x:f>IF(AND(24&gt;=C9,24&lt;=D9),(D9-24+1)/E9,0)</x:f>
        <x:v>0</x:v>
      </x:c>
      <x:c r="AD9" s="72" t="n">
        <x:f>IF(AND(25&gt;=C9,25&lt;=D9),(D9-25+1)/E9,0)</x:f>
        <x:v>0</x:v>
      </x:c>
      <x:c r="AE9" s="72" t="n">
        <x:f>IF(AND(26&gt;=C9,26&lt;=D9),(D9-26+1)/E9,0)</x:f>
        <x:v>0</x:v>
      </x:c>
      <x:c r="AF9" s="72" t="n">
        <x:f>IF(AND(27&gt;=C9,27&lt;=D9),(D9-27+1)/E9,0)</x:f>
        <x:v>0</x:v>
      </x:c>
      <x:c r="AG9" s="72" t="n">
        <x:f>IF(AND(28&gt;=C9,28&lt;=D9),(D9-28+1)/E9,0)</x:f>
        <x:v>0</x:v>
      </x:c>
      <x:c r="AH9" s="72" t="n">
        <x:f>IF(AND(29&gt;=C9,29&lt;=D9),(D9-29+1)/E9,0)</x:f>
        <x:v>0</x:v>
      </x:c>
      <x:c r="AI9" s="72" t="n">
        <x:f>IF(AND(30&gt;=C9,30&lt;=D9),(D9-30+1)/E9,0)</x:f>
        <x:v>0</x:v>
      </x:c>
      <x:c r="AJ9" s="72" t="n">
        <x:f>IF(AND(31&gt;=C9,31&lt;=D9),(D9-31+1)/E9,0)</x:f>
        <x:v>0</x:v>
      </x:c>
      <x:c r="AK9" s="72" t="n">
        <x:f>IF(AND(32&gt;=C9,32&lt;=D9),(D9-32+1)/E9,0)</x:f>
        <x:v>0</x:v>
      </x:c>
      <x:c r="AL9" s="72" t="n">
        <x:f>SUM(F9:AK9)</x:f>
        <x:v>0.9999999999999999</x:v>
      </x:c>
    </x:row>
    <x:row r="10" ht="23" customHeight="1">
      <x:c r="A10" s="52" t="str">
        <x:v>EW03</x:v>
      </x:c>
      <x:c r="B10" s="52" t="str">
        <x:v>Earthworks</x:v>
      </x:c>
      <x:c r="C10" s="67" t="n">
        <x:v>5</x:v>
      </x:c>
      <x:c r="D10" s="67" t="n">
        <x:v>7</x:v>
      </x:c>
      <x:c r="E10" s="68" t="n">
        <x:f>(D10-C10+1)*(D10-C10+2)/2</x:f>
        <x:v>6</x:v>
      </x:c>
      <x:c r="F10" s="69" t="n">
        <x:f>IF(AND(1&gt;=C10,1&lt;=D10),(D10-1+1)/E10,0)</x:f>
        <x:v>0</x:v>
      </x:c>
      <x:c r="G10" s="69" t="n">
        <x:f>IF(AND(2&gt;=C10,2&lt;=D10),(D10-2+1)/E10,0)</x:f>
        <x:v>0</x:v>
      </x:c>
      <x:c r="H10" s="69" t="n">
        <x:f>IF(AND(3&gt;=C10,3&lt;=D10),(D10-3+1)/E10,0)</x:f>
        <x:v>0</x:v>
      </x:c>
      <x:c r="I10" s="69" t="n">
        <x:f>IF(AND(4&gt;=C10,4&lt;=D10),(D10-4+1)/E10,0)</x:f>
        <x:v>0</x:v>
      </x:c>
      <x:c r="J10" s="69" t="n">
        <x:f>IF(AND(5&gt;=C10,5&lt;=D10),(D10-5+1)/E10,0)</x:f>
        <x:v>0.5</x:v>
      </x:c>
      <x:c r="K10" s="69" t="n">
        <x:f>IF(AND(6&gt;=C10,6&lt;=D10),(D10-6+1)/E10,0)</x:f>
        <x:v>0.3333333333333333</x:v>
      </x:c>
      <x:c r="L10" s="69" t="n">
        <x:f>IF(AND(7&gt;=C10,7&lt;=D10),(D10-7+1)/E10,0)</x:f>
        <x:v>0.16666666666666666</x:v>
      </x:c>
      <x:c r="M10" s="69" t="n">
        <x:f>IF(AND(8&gt;=C10,8&lt;=D10),(D10-8+1)/E10,0)</x:f>
        <x:v>0</x:v>
      </x:c>
      <x:c r="N10" s="69" t="n">
        <x:f>IF(AND(9&gt;=C10,9&lt;=D10),(D10-9+1)/E10,0)</x:f>
        <x:v>0</x:v>
      </x:c>
      <x:c r="O10" s="69" t="n">
        <x:f>IF(AND(10&gt;=C10,10&lt;=D10),(D10-10+1)/E10,0)</x:f>
        <x:v>0</x:v>
      </x:c>
      <x:c r="P10" s="69" t="n">
        <x:f>IF(AND(11&gt;=C10,11&lt;=D10),(D10-11+1)/E10,0)</x:f>
        <x:v>0</x:v>
      </x:c>
      <x:c r="Q10" s="69" t="n">
        <x:f>IF(AND(12&gt;=C10,12&lt;=D10),(D10-12+1)/E10,0)</x:f>
        <x:v>0</x:v>
      </x:c>
      <x:c r="R10" s="69" t="n">
        <x:f>IF(AND(13&gt;=C10,13&lt;=D10),(D10-13+1)/E10,0)</x:f>
        <x:v>0</x:v>
      </x:c>
      <x:c r="S10" s="69" t="n">
        <x:f>IF(AND(14&gt;=C10,14&lt;=D10),(D10-14+1)/E10,0)</x:f>
        <x:v>0</x:v>
      </x:c>
      <x:c r="T10" s="69" t="n">
        <x:f>IF(AND(15&gt;=C10,15&lt;=D10),(D10-15+1)/E10,0)</x:f>
        <x:v>0</x:v>
      </x:c>
      <x:c r="U10" s="69" t="n">
        <x:f>IF(AND(16&gt;=C10,16&lt;=D10),(D10-16+1)/E10,0)</x:f>
        <x:v>0</x:v>
      </x:c>
      <x:c r="V10" s="69" t="n">
        <x:f>IF(AND(17&gt;=C10,17&lt;=D10),(D10-17+1)/E10,0)</x:f>
        <x:v>0</x:v>
      </x:c>
      <x:c r="W10" s="69" t="n">
        <x:f>IF(AND(18&gt;=C10,18&lt;=D10),(D10-18+1)/E10,0)</x:f>
        <x:v>0</x:v>
      </x:c>
      <x:c r="X10" s="69" t="n">
        <x:f>IF(AND(19&gt;=C10,19&lt;=D10),(D10-19+1)/E10,0)</x:f>
        <x:v>0</x:v>
      </x:c>
      <x:c r="Y10" s="69" t="n">
        <x:f>IF(AND(20&gt;=C10,20&lt;=D10),(D10-20+1)/E10,0)</x:f>
        <x:v>0</x:v>
      </x:c>
      <x:c r="Z10" s="69" t="n">
        <x:f>IF(AND(21&gt;=C10,21&lt;=D10),(D10-21+1)/E10,0)</x:f>
        <x:v>0</x:v>
      </x:c>
      <x:c r="AA10" s="69" t="n">
        <x:f>IF(AND(22&gt;=C10,22&lt;=D10),(D10-22+1)/E10,0)</x:f>
        <x:v>0</x:v>
      </x:c>
      <x:c r="AB10" s="69" t="n">
        <x:f>IF(AND(23&gt;=C10,23&lt;=D10),(D10-23+1)/E10,0)</x:f>
        <x:v>0</x:v>
      </x:c>
      <x:c r="AC10" s="69" t="n">
        <x:f>IF(AND(24&gt;=C10,24&lt;=D10),(D10-24+1)/E10,0)</x:f>
        <x:v>0</x:v>
      </x:c>
      <x:c r="AD10" s="69" t="n">
        <x:f>IF(AND(25&gt;=C10,25&lt;=D10),(D10-25+1)/E10,0)</x:f>
        <x:v>0</x:v>
      </x:c>
      <x:c r="AE10" s="69" t="n">
        <x:f>IF(AND(26&gt;=C10,26&lt;=D10),(D10-26+1)/E10,0)</x:f>
        <x:v>0</x:v>
      </x:c>
      <x:c r="AF10" s="69" t="n">
        <x:f>IF(AND(27&gt;=C10,27&lt;=D10),(D10-27+1)/E10,0)</x:f>
        <x:v>0</x:v>
      </x:c>
      <x:c r="AG10" s="69" t="n">
        <x:f>IF(AND(28&gt;=C10,28&lt;=D10),(D10-28+1)/E10,0)</x:f>
        <x:v>0</x:v>
      </x:c>
      <x:c r="AH10" s="69" t="n">
        <x:f>IF(AND(29&gt;=C10,29&lt;=D10),(D10-29+1)/E10,0)</x:f>
        <x:v>0</x:v>
      </x:c>
      <x:c r="AI10" s="69" t="n">
        <x:f>IF(AND(30&gt;=C10,30&lt;=D10),(D10-30+1)/E10,0)</x:f>
        <x:v>0</x:v>
      </x:c>
      <x:c r="AJ10" s="69" t="n">
        <x:f>IF(AND(31&gt;=C10,31&lt;=D10),(D10-31+1)/E10,0)</x:f>
        <x:v>0</x:v>
      </x:c>
      <x:c r="AK10" s="69" t="n">
        <x:f>IF(AND(32&gt;=C10,32&lt;=D10),(D10-32+1)/E10,0)</x:f>
        <x:v>0</x:v>
      </x:c>
      <x:c r="AL10" s="69" t="n">
        <x:f>SUM(F10:AK10)</x:f>
        <x:v>0.9999999999999999</x:v>
      </x:c>
    </x:row>
    <x:row r="11" ht="23" customHeight="1">
      <x:c r="A11" s="54" t="str">
        <x:v>RC01</x:v>
      </x:c>
      <x:c r="B11" s="54" t="str">
        <x:v>Concrete</x:v>
      </x:c>
      <x:c r="C11" s="70" t="n">
        <x:v>2</x:v>
      </x:c>
      <x:c r="D11" s="70" t="n">
        <x:v>3</x:v>
      </x:c>
      <x:c r="E11" s="71" t="n">
        <x:f>(D11-C11+1)*(D11-C11+2)/2</x:f>
        <x:v>3</x:v>
      </x:c>
      <x:c r="F11" s="72" t="n">
        <x:f>IF(AND(1&gt;=C11,1&lt;=D11),(D11-1+1)/E11,0)</x:f>
        <x:v>0</x:v>
      </x:c>
      <x:c r="G11" s="72" t="n">
        <x:f>IF(AND(2&gt;=C11,2&lt;=D11),(D11-2+1)/E11,0)</x:f>
        <x:v>0.6666666666666666</x:v>
      </x:c>
      <x:c r="H11" s="72" t="n">
        <x:f>IF(AND(3&gt;=C11,3&lt;=D11),(D11-3+1)/E11,0)</x:f>
        <x:v>0.3333333333333333</x:v>
      </x:c>
      <x:c r="I11" s="72" t="n">
        <x:f>IF(AND(4&gt;=C11,4&lt;=D11),(D11-4+1)/E11,0)</x:f>
        <x:v>0</x:v>
      </x:c>
      <x:c r="J11" s="72" t="n">
        <x:f>IF(AND(5&gt;=C11,5&lt;=D11),(D11-5+1)/E11,0)</x:f>
        <x:v>0</x:v>
      </x:c>
      <x:c r="K11" s="72" t="n">
        <x:f>IF(AND(6&gt;=C11,6&lt;=D11),(D11-6+1)/E11,0)</x:f>
        <x:v>0</x:v>
      </x:c>
      <x:c r="L11" s="72" t="n">
        <x:f>IF(AND(7&gt;=C11,7&lt;=D11),(D11-7+1)/E11,0)</x:f>
        <x:v>0</x:v>
      </x:c>
      <x:c r="M11" s="72" t="n">
        <x:f>IF(AND(8&gt;=C11,8&lt;=D11),(D11-8+1)/E11,0)</x:f>
        <x:v>0</x:v>
      </x:c>
      <x:c r="N11" s="72" t="n">
        <x:f>IF(AND(9&gt;=C11,9&lt;=D11),(D11-9+1)/E11,0)</x:f>
        <x:v>0</x:v>
      </x:c>
      <x:c r="O11" s="72" t="n">
        <x:f>IF(AND(10&gt;=C11,10&lt;=D11),(D11-10+1)/E11,0)</x:f>
        <x:v>0</x:v>
      </x:c>
      <x:c r="P11" s="72" t="n">
        <x:f>IF(AND(11&gt;=C11,11&lt;=D11),(D11-11+1)/E11,0)</x:f>
        <x:v>0</x:v>
      </x:c>
      <x:c r="Q11" s="72" t="n">
        <x:f>IF(AND(12&gt;=C11,12&lt;=D11),(D11-12+1)/E11,0)</x:f>
        <x:v>0</x:v>
      </x:c>
      <x:c r="R11" s="72" t="n">
        <x:f>IF(AND(13&gt;=C11,13&lt;=D11),(D11-13+1)/E11,0)</x:f>
        <x:v>0</x:v>
      </x:c>
      <x:c r="S11" s="72" t="n">
        <x:f>IF(AND(14&gt;=C11,14&lt;=D11),(D11-14+1)/E11,0)</x:f>
        <x:v>0</x:v>
      </x:c>
      <x:c r="T11" s="72" t="n">
        <x:f>IF(AND(15&gt;=C11,15&lt;=D11),(D11-15+1)/E11,0)</x:f>
        <x:v>0</x:v>
      </x:c>
      <x:c r="U11" s="72" t="n">
        <x:f>IF(AND(16&gt;=C11,16&lt;=D11),(D11-16+1)/E11,0)</x:f>
        <x:v>0</x:v>
      </x:c>
      <x:c r="V11" s="72" t="n">
        <x:f>IF(AND(17&gt;=C11,17&lt;=D11),(D11-17+1)/E11,0)</x:f>
        <x:v>0</x:v>
      </x:c>
      <x:c r="W11" s="72" t="n">
        <x:f>IF(AND(18&gt;=C11,18&lt;=D11),(D11-18+1)/E11,0)</x:f>
        <x:v>0</x:v>
      </x:c>
      <x:c r="X11" s="72" t="n">
        <x:f>IF(AND(19&gt;=C11,19&lt;=D11),(D11-19+1)/E11,0)</x:f>
        <x:v>0</x:v>
      </x:c>
      <x:c r="Y11" s="72" t="n">
        <x:f>IF(AND(20&gt;=C11,20&lt;=D11),(D11-20+1)/E11,0)</x:f>
        <x:v>0</x:v>
      </x:c>
      <x:c r="Z11" s="72" t="n">
        <x:f>IF(AND(21&gt;=C11,21&lt;=D11),(D11-21+1)/E11,0)</x:f>
        <x:v>0</x:v>
      </x:c>
      <x:c r="AA11" s="72" t="n">
        <x:f>IF(AND(22&gt;=C11,22&lt;=D11),(D11-22+1)/E11,0)</x:f>
        <x:v>0</x:v>
      </x:c>
      <x:c r="AB11" s="72" t="n">
        <x:f>IF(AND(23&gt;=C11,23&lt;=D11),(D11-23+1)/E11,0)</x:f>
        <x:v>0</x:v>
      </x:c>
      <x:c r="AC11" s="72" t="n">
        <x:f>IF(AND(24&gt;=C11,24&lt;=D11),(D11-24+1)/E11,0)</x:f>
        <x:v>0</x:v>
      </x:c>
      <x:c r="AD11" s="72" t="n">
        <x:f>IF(AND(25&gt;=C11,25&lt;=D11),(D11-25+1)/E11,0)</x:f>
        <x:v>0</x:v>
      </x:c>
      <x:c r="AE11" s="72" t="n">
        <x:f>IF(AND(26&gt;=C11,26&lt;=D11),(D11-26+1)/E11,0)</x:f>
        <x:v>0</x:v>
      </x:c>
      <x:c r="AF11" s="72" t="n">
        <x:f>IF(AND(27&gt;=C11,27&lt;=D11),(D11-27+1)/E11,0)</x:f>
        <x:v>0</x:v>
      </x:c>
      <x:c r="AG11" s="72" t="n">
        <x:f>IF(AND(28&gt;=C11,28&lt;=D11),(D11-28+1)/E11,0)</x:f>
        <x:v>0</x:v>
      </x:c>
      <x:c r="AH11" s="72" t="n">
        <x:f>IF(AND(29&gt;=C11,29&lt;=D11),(D11-29+1)/E11,0)</x:f>
        <x:v>0</x:v>
      </x:c>
      <x:c r="AI11" s="72" t="n">
        <x:f>IF(AND(30&gt;=C11,30&lt;=D11),(D11-30+1)/E11,0)</x:f>
        <x:v>0</x:v>
      </x:c>
      <x:c r="AJ11" s="72" t="n">
        <x:f>IF(AND(31&gt;=C11,31&lt;=D11),(D11-31+1)/E11,0)</x:f>
        <x:v>0</x:v>
      </x:c>
      <x:c r="AK11" s="72" t="n">
        <x:f>IF(AND(32&gt;=C11,32&lt;=D11),(D11-32+1)/E11,0)</x:f>
        <x:v>0</x:v>
      </x:c>
      <x:c r="AL11" s="72" t="n">
        <x:f>SUM(F11:AK11)</x:f>
        <x:v>1</x:v>
      </x:c>
    </x:row>
    <x:row r="12" ht="23" customHeight="1">
      <x:c r="A12" s="52" t="str">
        <x:v>RC02</x:v>
      </x:c>
      <x:c r="B12" s="52" t="str">
        <x:v>Concrete</x:v>
      </x:c>
      <x:c r="C12" s="67" t="n">
        <x:v>3</x:v>
      </x:c>
      <x:c r="D12" s="67" t="n">
        <x:v>6</x:v>
      </x:c>
      <x:c r="E12" s="68" t="n">
        <x:f>(D12-C12+1)*(D12-C12+2)/2</x:f>
        <x:v>10</x:v>
      </x:c>
      <x:c r="F12" s="69" t="n">
        <x:f>IF(AND(1&gt;=C12,1&lt;=D12),(D12-1+1)/E12,0)</x:f>
        <x:v>0</x:v>
      </x:c>
      <x:c r="G12" s="69" t="n">
        <x:f>IF(AND(2&gt;=C12,2&lt;=D12),(D12-2+1)/E12,0)</x:f>
        <x:v>0</x:v>
      </x:c>
      <x:c r="H12" s="69" t="n">
        <x:f>IF(AND(3&gt;=C12,3&lt;=D12),(D12-3+1)/E12,0)</x:f>
        <x:v>0.4</x:v>
      </x:c>
      <x:c r="I12" s="69" t="n">
        <x:f>IF(AND(4&gt;=C12,4&lt;=D12),(D12-4+1)/E12,0)</x:f>
        <x:v>0.3</x:v>
      </x:c>
      <x:c r="J12" s="69" t="n">
        <x:f>IF(AND(5&gt;=C12,5&lt;=D12),(D12-5+1)/E12,0)</x:f>
        <x:v>0.2</x:v>
      </x:c>
      <x:c r="K12" s="69" t="n">
        <x:f>IF(AND(6&gt;=C12,6&lt;=D12),(D12-6+1)/E12,0)</x:f>
        <x:v>0.1</x:v>
      </x:c>
      <x:c r="L12" s="69" t="n">
        <x:f>IF(AND(7&gt;=C12,7&lt;=D12),(D12-7+1)/E12,0)</x:f>
        <x:v>0</x:v>
      </x:c>
      <x:c r="M12" s="69" t="n">
        <x:f>IF(AND(8&gt;=C12,8&lt;=D12),(D12-8+1)/E12,0)</x:f>
        <x:v>0</x:v>
      </x:c>
      <x:c r="N12" s="69" t="n">
        <x:f>IF(AND(9&gt;=C12,9&lt;=D12),(D12-9+1)/E12,0)</x:f>
        <x:v>0</x:v>
      </x:c>
      <x:c r="O12" s="69" t="n">
        <x:f>IF(AND(10&gt;=C12,10&lt;=D12),(D12-10+1)/E12,0)</x:f>
        <x:v>0</x:v>
      </x:c>
      <x:c r="P12" s="69" t="n">
        <x:f>IF(AND(11&gt;=C12,11&lt;=D12),(D12-11+1)/E12,0)</x:f>
        <x:v>0</x:v>
      </x:c>
      <x:c r="Q12" s="69" t="n">
        <x:f>IF(AND(12&gt;=C12,12&lt;=D12),(D12-12+1)/E12,0)</x:f>
        <x:v>0</x:v>
      </x:c>
      <x:c r="R12" s="69" t="n">
        <x:f>IF(AND(13&gt;=C12,13&lt;=D12),(D12-13+1)/E12,0)</x:f>
        <x:v>0</x:v>
      </x:c>
      <x:c r="S12" s="69" t="n">
        <x:f>IF(AND(14&gt;=C12,14&lt;=D12),(D12-14+1)/E12,0)</x:f>
        <x:v>0</x:v>
      </x:c>
      <x:c r="T12" s="69" t="n">
        <x:f>IF(AND(15&gt;=C12,15&lt;=D12),(D12-15+1)/E12,0)</x:f>
        <x:v>0</x:v>
      </x:c>
      <x:c r="U12" s="69" t="n">
        <x:f>IF(AND(16&gt;=C12,16&lt;=D12),(D12-16+1)/E12,0)</x:f>
        <x:v>0</x:v>
      </x:c>
      <x:c r="V12" s="69" t="n">
        <x:f>IF(AND(17&gt;=C12,17&lt;=D12),(D12-17+1)/E12,0)</x:f>
        <x:v>0</x:v>
      </x:c>
      <x:c r="W12" s="69" t="n">
        <x:f>IF(AND(18&gt;=C12,18&lt;=D12),(D12-18+1)/E12,0)</x:f>
        <x:v>0</x:v>
      </x:c>
      <x:c r="X12" s="69" t="n">
        <x:f>IF(AND(19&gt;=C12,19&lt;=D12),(D12-19+1)/E12,0)</x:f>
        <x:v>0</x:v>
      </x:c>
      <x:c r="Y12" s="69" t="n">
        <x:f>IF(AND(20&gt;=C12,20&lt;=D12),(D12-20+1)/E12,0)</x:f>
        <x:v>0</x:v>
      </x:c>
      <x:c r="Z12" s="69" t="n">
        <x:f>IF(AND(21&gt;=C12,21&lt;=D12),(D12-21+1)/E12,0)</x:f>
        <x:v>0</x:v>
      </x:c>
      <x:c r="AA12" s="69" t="n">
        <x:f>IF(AND(22&gt;=C12,22&lt;=D12),(D12-22+1)/E12,0)</x:f>
        <x:v>0</x:v>
      </x:c>
      <x:c r="AB12" s="69" t="n">
        <x:f>IF(AND(23&gt;=C12,23&lt;=D12),(D12-23+1)/E12,0)</x:f>
        <x:v>0</x:v>
      </x:c>
      <x:c r="AC12" s="69" t="n">
        <x:f>IF(AND(24&gt;=C12,24&lt;=D12),(D12-24+1)/E12,0)</x:f>
        <x:v>0</x:v>
      </x:c>
      <x:c r="AD12" s="69" t="n">
        <x:f>IF(AND(25&gt;=C12,25&lt;=D12),(D12-25+1)/E12,0)</x:f>
        <x:v>0</x:v>
      </x:c>
      <x:c r="AE12" s="69" t="n">
        <x:f>IF(AND(26&gt;=C12,26&lt;=D12),(D12-26+1)/E12,0)</x:f>
        <x:v>0</x:v>
      </x:c>
      <x:c r="AF12" s="69" t="n">
        <x:f>IF(AND(27&gt;=C12,27&lt;=D12),(D12-27+1)/E12,0)</x:f>
        <x:v>0</x:v>
      </x:c>
      <x:c r="AG12" s="69" t="n">
        <x:f>IF(AND(28&gt;=C12,28&lt;=D12),(D12-28+1)/E12,0)</x:f>
        <x:v>0</x:v>
      </x:c>
      <x:c r="AH12" s="69" t="n">
        <x:f>IF(AND(29&gt;=C12,29&lt;=D12),(D12-29+1)/E12,0)</x:f>
        <x:v>0</x:v>
      </x:c>
      <x:c r="AI12" s="69" t="n">
        <x:f>IF(AND(30&gt;=C12,30&lt;=D12),(D12-30+1)/E12,0)</x:f>
        <x:v>0</x:v>
      </x:c>
      <x:c r="AJ12" s="69" t="n">
        <x:f>IF(AND(31&gt;=C12,31&lt;=D12),(D12-31+1)/E12,0)</x:f>
        <x:v>0</x:v>
      </x:c>
      <x:c r="AK12" s="69" t="n">
        <x:f>IF(AND(32&gt;=C12,32&lt;=D12),(D12-32+1)/E12,0)</x:f>
        <x:v>0</x:v>
      </x:c>
      <x:c r="AL12" s="69" t="n">
        <x:f>SUM(F12:AK12)</x:f>
        <x:v>0.9999999999999999</x:v>
      </x:c>
    </x:row>
    <x:row r="13" ht="23" customHeight="1">
      <x:c r="A13" s="54" t="str">
        <x:v>RC03</x:v>
      </x:c>
      <x:c r="B13" s="54" t="str">
        <x:v>Concrete</x:v>
      </x:c>
      <x:c r="C13" s="70" t="n">
        <x:v>6</x:v>
      </x:c>
      <x:c r="D13" s="70" t="n">
        <x:v>17</x:v>
      </x:c>
      <x:c r="E13" s="71" t="n">
        <x:f>(D13-C13+1)*(D13-C13+2)/2</x:f>
        <x:v>78</x:v>
      </x:c>
      <x:c r="F13" s="72" t="n">
        <x:f>IF(AND(1&gt;=C13,1&lt;=D13),(D13-1+1)/E13,0)</x:f>
        <x:v>0</x:v>
      </x:c>
      <x:c r="G13" s="72" t="n">
        <x:f>IF(AND(2&gt;=C13,2&lt;=D13),(D13-2+1)/E13,0)</x:f>
        <x:v>0</x:v>
      </x:c>
      <x:c r="H13" s="72" t="n">
        <x:f>IF(AND(3&gt;=C13,3&lt;=D13),(D13-3+1)/E13,0)</x:f>
        <x:v>0</x:v>
      </x:c>
      <x:c r="I13" s="72" t="n">
        <x:f>IF(AND(4&gt;=C13,4&lt;=D13),(D13-4+1)/E13,0)</x:f>
        <x:v>0</x:v>
      </x:c>
      <x:c r="J13" s="72" t="n">
        <x:f>IF(AND(5&gt;=C13,5&lt;=D13),(D13-5+1)/E13,0)</x:f>
        <x:v>0</x:v>
      </x:c>
      <x:c r="K13" s="72" t="n">
        <x:f>IF(AND(6&gt;=C13,6&lt;=D13),(D13-6+1)/E13,0)</x:f>
        <x:v>0.15384615384615385</x:v>
      </x:c>
      <x:c r="L13" s="72" t="n">
        <x:f>IF(AND(7&gt;=C13,7&lt;=D13),(D13-7+1)/E13,0)</x:f>
        <x:v>0.14102564102564102</x:v>
      </x:c>
      <x:c r="M13" s="72" t="n">
        <x:f>IF(AND(8&gt;=C13,8&lt;=D13),(D13-8+1)/E13,0)</x:f>
        <x:v>0.1282051282051282</x:v>
      </x:c>
      <x:c r="N13" s="72" t="n">
        <x:f>IF(AND(9&gt;=C13,9&lt;=D13),(D13-9+1)/E13,0)</x:f>
        <x:v>0.11538461538461539</x:v>
      </x:c>
      <x:c r="O13" s="72" t="n">
        <x:f>IF(AND(10&gt;=C13,10&lt;=D13),(D13-10+1)/E13,0)</x:f>
        <x:v>0.10256410256410256</x:v>
      </x:c>
      <x:c r="P13" s="72" t="n">
        <x:f>IF(AND(11&gt;=C13,11&lt;=D13),(D13-11+1)/E13,0)</x:f>
        <x:v>0.08974358974358974</x:v>
      </x:c>
      <x:c r="Q13" s="72" t="n">
        <x:f>IF(AND(12&gt;=C13,12&lt;=D13),(D13-12+1)/E13,0)</x:f>
        <x:v>0.07692307692307693</x:v>
      </x:c>
      <x:c r="R13" s="72" t="n">
        <x:f>IF(AND(13&gt;=C13,13&lt;=D13),(D13-13+1)/E13,0)</x:f>
        <x:v>0.0641025641025641</x:v>
      </x:c>
      <x:c r="S13" s="72" t="n">
        <x:f>IF(AND(14&gt;=C13,14&lt;=D13),(D13-14+1)/E13,0)</x:f>
        <x:v>0.05128205128205128</x:v>
      </x:c>
      <x:c r="T13" s="72" t="n">
        <x:f>IF(AND(15&gt;=C13,15&lt;=D13),(D13-15+1)/E13,0)</x:f>
        <x:v>0.038461538461538464</x:v>
      </x:c>
      <x:c r="U13" s="72" t="n">
        <x:f>IF(AND(16&gt;=C13,16&lt;=D13),(D13-16+1)/E13,0)</x:f>
        <x:v>0.02564102564102564</x:v>
      </x:c>
      <x:c r="V13" s="72" t="n">
        <x:f>IF(AND(17&gt;=C13,17&lt;=D13),(D13-17+1)/E13,0)</x:f>
        <x:v>0.01282051282051282</x:v>
      </x:c>
      <x:c r="W13" s="72" t="n">
        <x:f>IF(AND(18&gt;=C13,18&lt;=D13),(D13-18+1)/E13,0)</x:f>
        <x:v>0</x:v>
      </x:c>
      <x:c r="X13" s="72" t="n">
        <x:f>IF(AND(19&gt;=C13,19&lt;=D13),(D13-19+1)/E13,0)</x:f>
        <x:v>0</x:v>
      </x:c>
      <x:c r="Y13" s="72" t="n">
        <x:f>IF(AND(20&gt;=C13,20&lt;=D13),(D13-20+1)/E13,0)</x:f>
        <x:v>0</x:v>
      </x:c>
      <x:c r="Z13" s="72" t="n">
        <x:f>IF(AND(21&gt;=C13,21&lt;=D13),(D13-21+1)/E13,0)</x:f>
        <x:v>0</x:v>
      </x:c>
      <x:c r="AA13" s="72" t="n">
        <x:f>IF(AND(22&gt;=C13,22&lt;=D13),(D13-22+1)/E13,0)</x:f>
        <x:v>0</x:v>
      </x:c>
      <x:c r="AB13" s="72" t="n">
        <x:f>IF(AND(23&gt;=C13,23&lt;=D13),(D13-23+1)/E13,0)</x:f>
        <x:v>0</x:v>
      </x:c>
      <x:c r="AC13" s="72" t="n">
        <x:f>IF(AND(24&gt;=C13,24&lt;=D13),(D13-24+1)/E13,0)</x:f>
        <x:v>0</x:v>
      </x:c>
      <x:c r="AD13" s="72" t="n">
        <x:f>IF(AND(25&gt;=C13,25&lt;=D13),(D13-25+1)/E13,0)</x:f>
        <x:v>0</x:v>
      </x:c>
      <x:c r="AE13" s="72" t="n">
        <x:f>IF(AND(26&gt;=C13,26&lt;=D13),(D13-26+1)/E13,0)</x:f>
        <x:v>0</x:v>
      </x:c>
      <x:c r="AF13" s="72" t="n">
        <x:f>IF(AND(27&gt;=C13,27&lt;=D13),(D13-27+1)/E13,0)</x:f>
        <x:v>0</x:v>
      </x:c>
      <x:c r="AG13" s="72" t="n">
        <x:f>IF(AND(28&gt;=C13,28&lt;=D13),(D13-28+1)/E13,0)</x:f>
        <x:v>0</x:v>
      </x:c>
      <x:c r="AH13" s="72" t="n">
        <x:f>IF(AND(29&gt;=C13,29&lt;=D13),(D13-29+1)/E13,0)</x:f>
        <x:v>0</x:v>
      </x:c>
      <x:c r="AI13" s="72" t="n">
        <x:f>IF(AND(30&gt;=C13,30&lt;=D13),(D13-30+1)/E13,0)</x:f>
        <x:v>0</x:v>
      </x:c>
      <x:c r="AJ13" s="72" t="n">
        <x:f>IF(AND(31&gt;=C13,31&lt;=D13),(D13-31+1)/E13,0)</x:f>
        <x:v>0</x:v>
      </x:c>
      <x:c r="AK13" s="72" t="n">
        <x:f>IF(AND(32&gt;=C13,32&lt;=D13),(D13-32+1)/E13,0)</x:f>
        <x:v>0</x:v>
      </x:c>
      <x:c r="AL13" s="72" t="n">
        <x:f>SUM(F13:AK13)</x:f>
        <x:v>1</x:v>
      </x:c>
    </x:row>
    <x:row r="14" ht="23" customHeight="1">
      <x:c r="A14" s="52" t="str">
        <x:v>RC04</x:v>
      </x:c>
      <x:c r="B14" s="52" t="str">
        <x:v>Concrete</x:v>
      </x:c>
      <x:c r="C14" s="67" t="n">
        <x:v>6</x:v>
      </x:c>
      <x:c r="D14" s="67" t="n">
        <x:v>17</x:v>
      </x:c>
      <x:c r="E14" s="68" t="n">
        <x:f>(D14-C14+1)*(D14-C14+2)/2</x:f>
        <x:v>78</x:v>
      </x:c>
      <x:c r="F14" s="69" t="n">
        <x:f>IF(AND(1&gt;=C14,1&lt;=D14),(D14-1+1)/E14,0)</x:f>
        <x:v>0</x:v>
      </x:c>
      <x:c r="G14" s="69" t="n">
        <x:f>IF(AND(2&gt;=C14,2&lt;=D14),(D14-2+1)/E14,0)</x:f>
        <x:v>0</x:v>
      </x:c>
      <x:c r="H14" s="69" t="n">
        <x:f>IF(AND(3&gt;=C14,3&lt;=D14),(D14-3+1)/E14,0)</x:f>
        <x:v>0</x:v>
      </x:c>
      <x:c r="I14" s="69" t="n">
        <x:f>IF(AND(4&gt;=C14,4&lt;=D14),(D14-4+1)/E14,0)</x:f>
        <x:v>0</x:v>
      </x:c>
      <x:c r="J14" s="69" t="n">
        <x:f>IF(AND(5&gt;=C14,5&lt;=D14),(D14-5+1)/E14,0)</x:f>
        <x:v>0</x:v>
      </x:c>
      <x:c r="K14" s="69" t="n">
        <x:f>IF(AND(6&gt;=C14,6&lt;=D14),(D14-6+1)/E14,0)</x:f>
        <x:v>0.15384615384615385</x:v>
      </x:c>
      <x:c r="L14" s="69" t="n">
        <x:f>IF(AND(7&gt;=C14,7&lt;=D14),(D14-7+1)/E14,0)</x:f>
        <x:v>0.14102564102564102</x:v>
      </x:c>
      <x:c r="M14" s="69" t="n">
        <x:f>IF(AND(8&gt;=C14,8&lt;=D14),(D14-8+1)/E14,0)</x:f>
        <x:v>0.1282051282051282</x:v>
      </x:c>
      <x:c r="N14" s="69" t="n">
        <x:f>IF(AND(9&gt;=C14,9&lt;=D14),(D14-9+1)/E14,0)</x:f>
        <x:v>0.11538461538461539</x:v>
      </x:c>
      <x:c r="O14" s="69" t="n">
        <x:f>IF(AND(10&gt;=C14,10&lt;=D14),(D14-10+1)/E14,0)</x:f>
        <x:v>0.10256410256410256</x:v>
      </x:c>
      <x:c r="P14" s="69" t="n">
        <x:f>IF(AND(11&gt;=C14,11&lt;=D14),(D14-11+1)/E14,0)</x:f>
        <x:v>0.08974358974358974</x:v>
      </x:c>
      <x:c r="Q14" s="69" t="n">
        <x:f>IF(AND(12&gt;=C14,12&lt;=D14),(D14-12+1)/E14,0)</x:f>
        <x:v>0.07692307692307693</x:v>
      </x:c>
      <x:c r="R14" s="69" t="n">
        <x:f>IF(AND(13&gt;=C14,13&lt;=D14),(D14-13+1)/E14,0)</x:f>
        <x:v>0.0641025641025641</x:v>
      </x:c>
      <x:c r="S14" s="69" t="n">
        <x:f>IF(AND(14&gt;=C14,14&lt;=D14),(D14-14+1)/E14,0)</x:f>
        <x:v>0.05128205128205128</x:v>
      </x:c>
      <x:c r="T14" s="69" t="n">
        <x:f>IF(AND(15&gt;=C14,15&lt;=D14),(D14-15+1)/E14,0)</x:f>
        <x:v>0.038461538461538464</x:v>
      </x:c>
      <x:c r="U14" s="69" t="n">
        <x:f>IF(AND(16&gt;=C14,16&lt;=D14),(D14-16+1)/E14,0)</x:f>
        <x:v>0.02564102564102564</x:v>
      </x:c>
      <x:c r="V14" s="69" t="n">
        <x:f>IF(AND(17&gt;=C14,17&lt;=D14),(D14-17+1)/E14,0)</x:f>
        <x:v>0.01282051282051282</x:v>
      </x:c>
      <x:c r="W14" s="69" t="n">
        <x:f>IF(AND(18&gt;=C14,18&lt;=D14),(D14-18+1)/E14,0)</x:f>
        <x:v>0</x:v>
      </x:c>
      <x:c r="X14" s="69" t="n">
        <x:f>IF(AND(19&gt;=C14,19&lt;=D14),(D14-19+1)/E14,0)</x:f>
        <x:v>0</x:v>
      </x:c>
      <x:c r="Y14" s="69" t="n">
        <x:f>IF(AND(20&gt;=C14,20&lt;=D14),(D14-20+1)/E14,0)</x:f>
        <x:v>0</x:v>
      </x:c>
      <x:c r="Z14" s="69" t="n">
        <x:f>IF(AND(21&gt;=C14,21&lt;=D14),(D14-21+1)/E14,0)</x:f>
        <x:v>0</x:v>
      </x:c>
      <x:c r="AA14" s="69" t="n">
        <x:f>IF(AND(22&gt;=C14,22&lt;=D14),(D14-22+1)/E14,0)</x:f>
        <x:v>0</x:v>
      </x:c>
      <x:c r="AB14" s="69" t="n">
        <x:f>IF(AND(23&gt;=C14,23&lt;=D14),(D14-23+1)/E14,0)</x:f>
        <x:v>0</x:v>
      </x:c>
      <x:c r="AC14" s="69" t="n">
        <x:f>IF(AND(24&gt;=C14,24&lt;=D14),(D14-24+1)/E14,0)</x:f>
        <x:v>0</x:v>
      </x:c>
      <x:c r="AD14" s="69" t="n">
        <x:f>IF(AND(25&gt;=C14,25&lt;=D14),(D14-25+1)/E14,0)</x:f>
        <x:v>0</x:v>
      </x:c>
      <x:c r="AE14" s="69" t="n">
        <x:f>IF(AND(26&gt;=C14,26&lt;=D14),(D14-26+1)/E14,0)</x:f>
        <x:v>0</x:v>
      </x:c>
      <x:c r="AF14" s="69" t="n">
        <x:f>IF(AND(27&gt;=C14,27&lt;=D14),(D14-27+1)/E14,0)</x:f>
        <x:v>0</x:v>
      </x:c>
      <x:c r="AG14" s="69" t="n">
        <x:f>IF(AND(28&gt;=C14,28&lt;=D14),(D14-28+1)/E14,0)</x:f>
        <x:v>0</x:v>
      </x:c>
      <x:c r="AH14" s="69" t="n">
        <x:f>IF(AND(29&gt;=C14,29&lt;=D14),(D14-29+1)/E14,0)</x:f>
        <x:v>0</x:v>
      </x:c>
      <x:c r="AI14" s="69" t="n">
        <x:f>IF(AND(30&gt;=C14,30&lt;=D14),(D14-30+1)/E14,0)</x:f>
        <x:v>0</x:v>
      </x:c>
      <x:c r="AJ14" s="69" t="n">
        <x:f>IF(AND(31&gt;=C14,31&lt;=D14),(D14-31+1)/E14,0)</x:f>
        <x:v>0</x:v>
      </x:c>
      <x:c r="AK14" s="69" t="n">
        <x:f>IF(AND(32&gt;=C14,32&lt;=D14),(D14-32+1)/E14,0)</x:f>
        <x:v>0</x:v>
      </x:c>
      <x:c r="AL14" s="69" t="n">
        <x:f>SUM(F14:AK14)</x:f>
        <x:v>1</x:v>
      </x:c>
    </x:row>
    <x:row r="15" ht="23" customHeight="1">
      <x:c r="A15" s="54" t="str">
        <x:v>RC05</x:v>
      </x:c>
      <x:c r="B15" s="54" t="str">
        <x:v>Concrete</x:v>
      </x:c>
      <x:c r="C15" s="70" t="n">
        <x:v>5</x:v>
      </x:c>
      <x:c r="D15" s="70" t="n">
        <x:v>16</x:v>
      </x:c>
      <x:c r="E15" s="71" t="n">
        <x:f>(D15-C15+1)*(D15-C15+2)/2</x:f>
        <x:v>78</x:v>
      </x:c>
      <x:c r="F15" s="72" t="n">
        <x:f>IF(AND(1&gt;=C15,1&lt;=D15),(D15-1+1)/E15,0)</x:f>
        <x:v>0</x:v>
      </x:c>
      <x:c r="G15" s="72" t="n">
        <x:f>IF(AND(2&gt;=C15,2&lt;=D15),(D15-2+1)/E15,0)</x:f>
        <x:v>0</x:v>
      </x:c>
      <x:c r="H15" s="72" t="n">
        <x:f>IF(AND(3&gt;=C15,3&lt;=D15),(D15-3+1)/E15,0)</x:f>
        <x:v>0</x:v>
      </x:c>
      <x:c r="I15" s="72" t="n">
        <x:f>IF(AND(4&gt;=C15,4&lt;=D15),(D15-4+1)/E15,0)</x:f>
        <x:v>0</x:v>
      </x:c>
      <x:c r="J15" s="72" t="n">
        <x:f>IF(AND(5&gt;=C15,5&lt;=D15),(D15-5+1)/E15,0)</x:f>
        <x:v>0.15384615384615385</x:v>
      </x:c>
      <x:c r="K15" s="72" t="n">
        <x:f>IF(AND(6&gt;=C15,6&lt;=D15),(D15-6+1)/E15,0)</x:f>
        <x:v>0.14102564102564102</x:v>
      </x:c>
      <x:c r="L15" s="72" t="n">
        <x:f>IF(AND(7&gt;=C15,7&lt;=D15),(D15-7+1)/E15,0)</x:f>
        <x:v>0.1282051282051282</x:v>
      </x:c>
      <x:c r="M15" s="72" t="n">
        <x:f>IF(AND(8&gt;=C15,8&lt;=D15),(D15-8+1)/E15,0)</x:f>
        <x:v>0.11538461538461539</x:v>
      </x:c>
      <x:c r="N15" s="72" t="n">
        <x:f>IF(AND(9&gt;=C15,9&lt;=D15),(D15-9+1)/E15,0)</x:f>
        <x:v>0.10256410256410256</x:v>
      </x:c>
      <x:c r="O15" s="72" t="n">
        <x:f>IF(AND(10&gt;=C15,10&lt;=D15),(D15-10+1)/E15,0)</x:f>
        <x:v>0.08974358974358974</x:v>
      </x:c>
      <x:c r="P15" s="72" t="n">
        <x:f>IF(AND(11&gt;=C15,11&lt;=D15),(D15-11+1)/E15,0)</x:f>
        <x:v>0.07692307692307693</x:v>
      </x:c>
      <x:c r="Q15" s="72" t="n">
        <x:f>IF(AND(12&gt;=C15,12&lt;=D15),(D15-12+1)/E15,0)</x:f>
        <x:v>0.0641025641025641</x:v>
      </x:c>
      <x:c r="R15" s="72" t="n">
        <x:f>IF(AND(13&gt;=C15,13&lt;=D15),(D15-13+1)/E15,0)</x:f>
        <x:v>0.05128205128205128</x:v>
      </x:c>
      <x:c r="S15" s="72" t="n">
        <x:f>IF(AND(14&gt;=C15,14&lt;=D15),(D15-14+1)/E15,0)</x:f>
        <x:v>0.038461538461538464</x:v>
      </x:c>
      <x:c r="T15" s="72" t="n">
        <x:f>IF(AND(15&gt;=C15,15&lt;=D15),(D15-15+1)/E15,0)</x:f>
        <x:v>0.02564102564102564</x:v>
      </x:c>
      <x:c r="U15" s="72" t="n">
        <x:f>IF(AND(16&gt;=C15,16&lt;=D15),(D15-16+1)/E15,0)</x:f>
        <x:v>0.01282051282051282</x:v>
      </x:c>
      <x:c r="V15" s="72" t="n">
        <x:f>IF(AND(17&gt;=C15,17&lt;=D15),(D15-17+1)/E15,0)</x:f>
        <x:v>0</x:v>
      </x:c>
      <x:c r="W15" s="72" t="n">
        <x:f>IF(AND(18&gt;=C15,18&lt;=D15),(D15-18+1)/E15,0)</x:f>
        <x:v>0</x:v>
      </x:c>
      <x:c r="X15" s="72" t="n">
        <x:f>IF(AND(19&gt;=C15,19&lt;=D15),(D15-19+1)/E15,0)</x:f>
        <x:v>0</x:v>
      </x:c>
      <x:c r="Y15" s="72" t="n">
        <x:f>IF(AND(20&gt;=C15,20&lt;=D15),(D15-20+1)/E15,0)</x:f>
        <x:v>0</x:v>
      </x:c>
      <x:c r="Z15" s="72" t="n">
        <x:f>IF(AND(21&gt;=C15,21&lt;=D15),(D15-21+1)/E15,0)</x:f>
        <x:v>0</x:v>
      </x:c>
      <x:c r="AA15" s="72" t="n">
        <x:f>IF(AND(22&gt;=C15,22&lt;=D15),(D15-22+1)/E15,0)</x:f>
        <x:v>0</x:v>
      </x:c>
      <x:c r="AB15" s="72" t="n">
        <x:f>IF(AND(23&gt;=C15,23&lt;=D15),(D15-23+1)/E15,0)</x:f>
        <x:v>0</x:v>
      </x:c>
      <x:c r="AC15" s="72" t="n">
        <x:f>IF(AND(24&gt;=C15,24&lt;=D15),(D15-24+1)/E15,0)</x:f>
        <x:v>0</x:v>
      </x:c>
      <x:c r="AD15" s="72" t="n">
        <x:f>IF(AND(25&gt;=C15,25&lt;=D15),(D15-25+1)/E15,0)</x:f>
        <x:v>0</x:v>
      </x:c>
      <x:c r="AE15" s="72" t="n">
        <x:f>IF(AND(26&gt;=C15,26&lt;=D15),(D15-26+1)/E15,0)</x:f>
        <x:v>0</x:v>
      </x:c>
      <x:c r="AF15" s="72" t="n">
        <x:f>IF(AND(27&gt;=C15,27&lt;=D15),(D15-27+1)/E15,0)</x:f>
        <x:v>0</x:v>
      </x:c>
      <x:c r="AG15" s="72" t="n">
        <x:f>IF(AND(28&gt;=C15,28&lt;=D15),(D15-28+1)/E15,0)</x:f>
        <x:v>0</x:v>
      </x:c>
      <x:c r="AH15" s="72" t="n">
        <x:f>IF(AND(29&gt;=C15,29&lt;=D15),(D15-29+1)/E15,0)</x:f>
        <x:v>0</x:v>
      </x:c>
      <x:c r="AI15" s="72" t="n">
        <x:f>IF(AND(30&gt;=C15,30&lt;=D15),(D15-30+1)/E15,0)</x:f>
        <x:v>0</x:v>
      </x:c>
      <x:c r="AJ15" s="72" t="n">
        <x:f>IF(AND(31&gt;=C15,31&lt;=D15),(D15-31+1)/E15,0)</x:f>
        <x:v>0</x:v>
      </x:c>
      <x:c r="AK15" s="72" t="n">
        <x:f>IF(AND(32&gt;=C15,32&lt;=D15),(D15-32+1)/E15,0)</x:f>
        <x:v>0</x:v>
      </x:c>
      <x:c r="AL15" s="72" t="n">
        <x:f>SUM(F15:AK15)</x:f>
        <x:v>1</x:v>
      </x:c>
    </x:row>
    <x:row r="16" ht="23" customHeight="1">
      <x:c r="A16" s="52" t="str">
        <x:v>RC06</x:v>
      </x:c>
      <x:c r="B16" s="52" t="str">
        <x:v>Concrete</x:v>
      </x:c>
      <x:c r="C16" s="67" t="n">
        <x:v>5</x:v>
      </x:c>
      <x:c r="D16" s="67" t="n">
        <x:v>16</x:v>
      </x:c>
      <x:c r="E16" s="68" t="n">
        <x:f>(D16-C16+1)*(D16-C16+2)/2</x:f>
        <x:v>78</x:v>
      </x:c>
      <x:c r="F16" s="69" t="n">
        <x:f>IF(AND(1&gt;=C16,1&lt;=D16),(D16-1+1)/E16,0)</x:f>
        <x:v>0</x:v>
      </x:c>
      <x:c r="G16" s="69" t="n">
        <x:f>IF(AND(2&gt;=C16,2&lt;=D16),(D16-2+1)/E16,0)</x:f>
        <x:v>0</x:v>
      </x:c>
      <x:c r="H16" s="69" t="n">
        <x:f>IF(AND(3&gt;=C16,3&lt;=D16),(D16-3+1)/E16,0)</x:f>
        <x:v>0</x:v>
      </x:c>
      <x:c r="I16" s="69" t="n">
        <x:f>IF(AND(4&gt;=C16,4&lt;=D16),(D16-4+1)/E16,0)</x:f>
        <x:v>0</x:v>
      </x:c>
      <x:c r="J16" s="69" t="n">
        <x:f>IF(AND(5&gt;=C16,5&lt;=D16),(D16-5+1)/E16,0)</x:f>
        <x:v>0.15384615384615385</x:v>
      </x:c>
      <x:c r="K16" s="69" t="n">
        <x:f>IF(AND(6&gt;=C16,6&lt;=D16),(D16-6+1)/E16,0)</x:f>
        <x:v>0.14102564102564102</x:v>
      </x:c>
      <x:c r="L16" s="69" t="n">
        <x:f>IF(AND(7&gt;=C16,7&lt;=D16),(D16-7+1)/E16,0)</x:f>
        <x:v>0.1282051282051282</x:v>
      </x:c>
      <x:c r="M16" s="69" t="n">
        <x:f>IF(AND(8&gt;=C16,8&lt;=D16),(D16-8+1)/E16,0)</x:f>
        <x:v>0.11538461538461539</x:v>
      </x:c>
      <x:c r="N16" s="69" t="n">
        <x:f>IF(AND(9&gt;=C16,9&lt;=D16),(D16-9+1)/E16,0)</x:f>
        <x:v>0.10256410256410256</x:v>
      </x:c>
      <x:c r="O16" s="69" t="n">
        <x:f>IF(AND(10&gt;=C16,10&lt;=D16),(D16-10+1)/E16,0)</x:f>
        <x:v>0.08974358974358974</x:v>
      </x:c>
      <x:c r="P16" s="69" t="n">
        <x:f>IF(AND(11&gt;=C16,11&lt;=D16),(D16-11+1)/E16,0)</x:f>
        <x:v>0.07692307692307693</x:v>
      </x:c>
      <x:c r="Q16" s="69" t="n">
        <x:f>IF(AND(12&gt;=C16,12&lt;=D16),(D16-12+1)/E16,0)</x:f>
        <x:v>0.0641025641025641</x:v>
      </x:c>
      <x:c r="R16" s="69" t="n">
        <x:f>IF(AND(13&gt;=C16,13&lt;=D16),(D16-13+1)/E16,0)</x:f>
        <x:v>0.05128205128205128</x:v>
      </x:c>
      <x:c r="S16" s="69" t="n">
        <x:f>IF(AND(14&gt;=C16,14&lt;=D16),(D16-14+1)/E16,0)</x:f>
        <x:v>0.038461538461538464</x:v>
      </x:c>
      <x:c r="T16" s="69" t="n">
        <x:f>IF(AND(15&gt;=C16,15&lt;=D16),(D16-15+1)/E16,0)</x:f>
        <x:v>0.02564102564102564</x:v>
      </x:c>
      <x:c r="U16" s="69" t="n">
        <x:f>IF(AND(16&gt;=C16,16&lt;=D16),(D16-16+1)/E16,0)</x:f>
        <x:v>0.01282051282051282</x:v>
      </x:c>
      <x:c r="V16" s="69" t="n">
        <x:f>IF(AND(17&gt;=C16,17&lt;=D16),(D16-17+1)/E16,0)</x:f>
        <x:v>0</x:v>
      </x:c>
      <x:c r="W16" s="69" t="n">
        <x:f>IF(AND(18&gt;=C16,18&lt;=D16),(D16-18+1)/E16,0)</x:f>
        <x:v>0</x:v>
      </x:c>
      <x:c r="X16" s="69" t="n">
        <x:f>IF(AND(19&gt;=C16,19&lt;=D16),(D16-19+1)/E16,0)</x:f>
        <x:v>0</x:v>
      </x:c>
      <x:c r="Y16" s="69" t="n">
        <x:f>IF(AND(20&gt;=C16,20&lt;=D16),(D16-20+1)/E16,0)</x:f>
        <x:v>0</x:v>
      </x:c>
      <x:c r="Z16" s="69" t="n">
        <x:f>IF(AND(21&gt;=C16,21&lt;=D16),(D16-21+1)/E16,0)</x:f>
        <x:v>0</x:v>
      </x:c>
      <x:c r="AA16" s="69" t="n">
        <x:f>IF(AND(22&gt;=C16,22&lt;=D16),(D16-22+1)/E16,0)</x:f>
        <x:v>0</x:v>
      </x:c>
      <x:c r="AB16" s="69" t="n">
        <x:f>IF(AND(23&gt;=C16,23&lt;=D16),(D16-23+1)/E16,0)</x:f>
        <x:v>0</x:v>
      </x:c>
      <x:c r="AC16" s="69" t="n">
        <x:f>IF(AND(24&gt;=C16,24&lt;=D16),(D16-24+1)/E16,0)</x:f>
        <x:v>0</x:v>
      </x:c>
      <x:c r="AD16" s="69" t="n">
        <x:f>IF(AND(25&gt;=C16,25&lt;=D16),(D16-25+1)/E16,0)</x:f>
        <x:v>0</x:v>
      </x:c>
      <x:c r="AE16" s="69" t="n">
        <x:f>IF(AND(26&gt;=C16,26&lt;=D16),(D16-26+1)/E16,0)</x:f>
        <x:v>0</x:v>
      </x:c>
      <x:c r="AF16" s="69" t="n">
        <x:f>IF(AND(27&gt;=C16,27&lt;=D16),(D16-27+1)/E16,0)</x:f>
        <x:v>0</x:v>
      </x:c>
      <x:c r="AG16" s="69" t="n">
        <x:f>IF(AND(28&gt;=C16,28&lt;=D16),(D16-28+1)/E16,0)</x:f>
        <x:v>0</x:v>
      </x:c>
      <x:c r="AH16" s="69" t="n">
        <x:f>IF(AND(29&gt;=C16,29&lt;=D16),(D16-29+1)/E16,0)</x:f>
        <x:v>0</x:v>
      </x:c>
      <x:c r="AI16" s="69" t="n">
        <x:f>IF(AND(30&gt;=C16,30&lt;=D16),(D16-30+1)/E16,0)</x:f>
        <x:v>0</x:v>
      </x:c>
      <x:c r="AJ16" s="69" t="n">
        <x:f>IF(AND(31&gt;=C16,31&lt;=D16),(D16-31+1)/E16,0)</x:f>
        <x:v>0</x:v>
      </x:c>
      <x:c r="AK16" s="69" t="n">
        <x:f>IF(AND(32&gt;=C16,32&lt;=D16),(D16-32+1)/E16,0)</x:f>
        <x:v>0</x:v>
      </x:c>
      <x:c r="AL16" s="69" t="n">
        <x:f>SUM(F16:AK16)</x:f>
        <x:v>1</x:v>
      </x:c>
    </x:row>
    <x:row r="17" ht="23" customHeight="1">
      <x:c r="A17" s="54" t="str">
        <x:v>RC07</x:v>
      </x:c>
      <x:c r="B17" s="54" t="str">
        <x:v>Concrete</x:v>
      </x:c>
      <x:c r="C17" s="70" t="n">
        <x:v>6</x:v>
      </x:c>
      <x:c r="D17" s="70" t="n">
        <x:v>18</x:v>
      </x:c>
      <x:c r="E17" s="71" t="n">
        <x:f>(D17-C17+1)*(D17-C17+2)/2</x:f>
        <x:v>91</x:v>
      </x:c>
      <x:c r="F17" s="72" t="n">
        <x:f>IF(AND(1&gt;=C17,1&lt;=D17),(D17-1+1)/E17,0)</x:f>
        <x:v>0</x:v>
      </x:c>
      <x:c r="G17" s="72" t="n">
        <x:f>IF(AND(2&gt;=C17,2&lt;=D17),(D17-2+1)/E17,0)</x:f>
        <x:v>0</x:v>
      </x:c>
      <x:c r="H17" s="72" t="n">
        <x:f>IF(AND(3&gt;=C17,3&lt;=D17),(D17-3+1)/E17,0)</x:f>
        <x:v>0</x:v>
      </x:c>
      <x:c r="I17" s="72" t="n">
        <x:f>IF(AND(4&gt;=C17,4&lt;=D17),(D17-4+1)/E17,0)</x:f>
        <x:v>0</x:v>
      </x:c>
      <x:c r="J17" s="72" t="n">
        <x:f>IF(AND(5&gt;=C17,5&lt;=D17),(D17-5+1)/E17,0)</x:f>
        <x:v>0</x:v>
      </x:c>
      <x:c r="K17" s="72" t="n">
        <x:f>IF(AND(6&gt;=C17,6&lt;=D17),(D17-6+1)/E17,0)</x:f>
        <x:v>0.14285714285714285</x:v>
      </x:c>
      <x:c r="L17" s="72" t="n">
        <x:f>IF(AND(7&gt;=C17,7&lt;=D17),(D17-7+1)/E17,0)</x:f>
        <x:v>0.13186813186813187</x:v>
      </x:c>
      <x:c r="M17" s="72" t="n">
        <x:f>IF(AND(8&gt;=C17,8&lt;=D17),(D17-8+1)/E17,0)</x:f>
        <x:v>0.12087912087912088</x:v>
      </x:c>
      <x:c r="N17" s="72" t="n">
        <x:f>IF(AND(9&gt;=C17,9&lt;=D17),(D17-9+1)/E17,0)</x:f>
        <x:v>0.10989010989010989</x:v>
      </x:c>
      <x:c r="O17" s="72" t="n">
        <x:f>IF(AND(10&gt;=C17,10&lt;=D17),(D17-10+1)/E17,0)</x:f>
        <x:v>0.0989010989010989</x:v>
      </x:c>
      <x:c r="P17" s="72" t="n">
        <x:f>IF(AND(11&gt;=C17,11&lt;=D17),(D17-11+1)/E17,0)</x:f>
        <x:v>0.08791208791208792</x:v>
      </x:c>
      <x:c r="Q17" s="72" t="n">
        <x:f>IF(AND(12&gt;=C17,12&lt;=D17),(D17-12+1)/E17,0)</x:f>
        <x:v>0.07692307692307693</x:v>
      </x:c>
      <x:c r="R17" s="72" t="n">
        <x:f>IF(AND(13&gt;=C17,13&lt;=D17),(D17-13+1)/E17,0)</x:f>
        <x:v>0.06593406593406594</x:v>
      </x:c>
      <x:c r="S17" s="72" t="n">
        <x:f>IF(AND(14&gt;=C17,14&lt;=D17),(D17-14+1)/E17,0)</x:f>
        <x:v>0.054945054945054944</x:v>
      </x:c>
      <x:c r="T17" s="72" t="n">
        <x:f>IF(AND(15&gt;=C17,15&lt;=D17),(D17-15+1)/E17,0)</x:f>
        <x:v>0.04395604395604396</x:v>
      </x:c>
      <x:c r="U17" s="72" t="n">
        <x:f>IF(AND(16&gt;=C17,16&lt;=D17),(D17-16+1)/E17,0)</x:f>
        <x:v>0.03296703296703297</x:v>
      </x:c>
      <x:c r="V17" s="72" t="n">
        <x:f>IF(AND(17&gt;=C17,17&lt;=D17),(D17-17+1)/E17,0)</x:f>
        <x:v>0.02197802197802198</x:v>
      </x:c>
      <x:c r="W17" s="72" t="n">
        <x:f>IF(AND(18&gt;=C17,18&lt;=D17),(D17-18+1)/E17,0)</x:f>
        <x:v>0.01098901098901099</x:v>
      </x:c>
      <x:c r="X17" s="72" t="n">
        <x:f>IF(AND(19&gt;=C17,19&lt;=D17),(D17-19+1)/E17,0)</x:f>
        <x:v>0</x:v>
      </x:c>
      <x:c r="Y17" s="72" t="n">
        <x:f>IF(AND(20&gt;=C17,20&lt;=D17),(D17-20+1)/E17,0)</x:f>
        <x:v>0</x:v>
      </x:c>
      <x:c r="Z17" s="72" t="n">
        <x:f>IF(AND(21&gt;=C17,21&lt;=D17),(D17-21+1)/E17,0)</x:f>
        <x:v>0</x:v>
      </x:c>
      <x:c r="AA17" s="72" t="n">
        <x:f>IF(AND(22&gt;=C17,22&lt;=D17),(D17-22+1)/E17,0)</x:f>
        <x:v>0</x:v>
      </x:c>
      <x:c r="AB17" s="72" t="n">
        <x:f>IF(AND(23&gt;=C17,23&lt;=D17),(D17-23+1)/E17,0)</x:f>
        <x:v>0</x:v>
      </x:c>
      <x:c r="AC17" s="72" t="n">
        <x:f>IF(AND(24&gt;=C17,24&lt;=D17),(D17-24+1)/E17,0)</x:f>
        <x:v>0</x:v>
      </x:c>
      <x:c r="AD17" s="72" t="n">
        <x:f>IF(AND(25&gt;=C17,25&lt;=D17),(D17-25+1)/E17,0)</x:f>
        <x:v>0</x:v>
      </x:c>
      <x:c r="AE17" s="72" t="n">
        <x:f>IF(AND(26&gt;=C17,26&lt;=D17),(D17-26+1)/E17,0)</x:f>
        <x:v>0</x:v>
      </x:c>
      <x:c r="AF17" s="72" t="n">
        <x:f>IF(AND(27&gt;=C17,27&lt;=D17),(D17-27+1)/E17,0)</x:f>
        <x:v>0</x:v>
      </x:c>
      <x:c r="AG17" s="72" t="n">
        <x:f>IF(AND(28&gt;=C17,28&lt;=D17),(D17-28+1)/E17,0)</x:f>
        <x:v>0</x:v>
      </x:c>
      <x:c r="AH17" s="72" t="n">
        <x:f>IF(AND(29&gt;=C17,29&lt;=D17),(D17-29+1)/E17,0)</x:f>
        <x:v>0</x:v>
      </x:c>
      <x:c r="AI17" s="72" t="n">
        <x:f>IF(AND(30&gt;=C17,30&lt;=D17),(D17-30+1)/E17,0)</x:f>
        <x:v>0</x:v>
      </x:c>
      <x:c r="AJ17" s="72" t="n">
        <x:f>IF(AND(31&gt;=C17,31&lt;=D17),(D17-31+1)/E17,0)</x:f>
        <x:v>0</x:v>
      </x:c>
      <x:c r="AK17" s="72" t="n">
        <x:f>IF(AND(32&gt;=C17,32&lt;=D17),(D17-32+1)/E17,0)</x:f>
        <x:v>0</x:v>
      </x:c>
      <x:c r="AL17" s="72" t="n">
        <x:f>SUM(F17:AK17)</x:f>
        <x:v>0.9999999999999999</x:v>
      </x:c>
    </x:row>
    <x:row r="18" ht="23" customHeight="1">
      <x:c r="A18" s="52" t="str">
        <x:v>RC08</x:v>
      </x:c>
      <x:c r="B18" s="52" t="str">
        <x:v>Concrete</x:v>
      </x:c>
      <x:c r="C18" s="67" t="n">
        <x:v>3</x:v>
      </x:c>
      <x:c r="D18" s="67" t="n">
        <x:v>6</x:v>
      </x:c>
      <x:c r="E18" s="68" t="n">
        <x:f>(D18-C18+1)*(D18-C18+2)/2</x:f>
        <x:v>10</x:v>
      </x:c>
      <x:c r="F18" s="69" t="n">
        <x:f>IF(AND(1&gt;=C18,1&lt;=D18),(D18-1+1)/E18,0)</x:f>
        <x:v>0</x:v>
      </x:c>
      <x:c r="G18" s="69" t="n">
        <x:f>IF(AND(2&gt;=C18,2&lt;=D18),(D18-2+1)/E18,0)</x:f>
        <x:v>0</x:v>
      </x:c>
      <x:c r="H18" s="69" t="n">
        <x:f>IF(AND(3&gt;=C18,3&lt;=D18),(D18-3+1)/E18,0)</x:f>
        <x:v>0.4</x:v>
      </x:c>
      <x:c r="I18" s="69" t="n">
        <x:f>IF(AND(4&gt;=C18,4&lt;=D18),(D18-4+1)/E18,0)</x:f>
        <x:v>0.3</x:v>
      </x:c>
      <x:c r="J18" s="69" t="n">
        <x:f>IF(AND(5&gt;=C18,5&lt;=D18),(D18-5+1)/E18,0)</x:f>
        <x:v>0.2</x:v>
      </x:c>
      <x:c r="K18" s="69" t="n">
        <x:f>IF(AND(6&gt;=C18,6&lt;=D18),(D18-6+1)/E18,0)</x:f>
        <x:v>0.1</x:v>
      </x:c>
      <x:c r="L18" s="69" t="n">
        <x:f>IF(AND(7&gt;=C18,7&lt;=D18),(D18-7+1)/E18,0)</x:f>
        <x:v>0</x:v>
      </x:c>
      <x:c r="M18" s="69" t="n">
        <x:f>IF(AND(8&gt;=C18,8&lt;=D18),(D18-8+1)/E18,0)</x:f>
        <x:v>0</x:v>
      </x:c>
      <x:c r="N18" s="69" t="n">
        <x:f>IF(AND(9&gt;=C18,9&lt;=D18),(D18-9+1)/E18,0)</x:f>
        <x:v>0</x:v>
      </x:c>
      <x:c r="O18" s="69" t="n">
        <x:f>IF(AND(10&gt;=C18,10&lt;=D18),(D18-10+1)/E18,0)</x:f>
        <x:v>0</x:v>
      </x:c>
      <x:c r="P18" s="69" t="n">
        <x:f>IF(AND(11&gt;=C18,11&lt;=D18),(D18-11+1)/E18,0)</x:f>
        <x:v>0</x:v>
      </x:c>
      <x:c r="Q18" s="69" t="n">
        <x:f>IF(AND(12&gt;=C18,12&lt;=D18),(D18-12+1)/E18,0)</x:f>
        <x:v>0</x:v>
      </x:c>
      <x:c r="R18" s="69" t="n">
        <x:f>IF(AND(13&gt;=C18,13&lt;=D18),(D18-13+1)/E18,0)</x:f>
        <x:v>0</x:v>
      </x:c>
      <x:c r="S18" s="69" t="n">
        <x:f>IF(AND(14&gt;=C18,14&lt;=D18),(D18-14+1)/E18,0)</x:f>
        <x:v>0</x:v>
      </x:c>
      <x:c r="T18" s="69" t="n">
        <x:f>IF(AND(15&gt;=C18,15&lt;=D18),(D18-15+1)/E18,0)</x:f>
        <x:v>0</x:v>
      </x:c>
      <x:c r="U18" s="69" t="n">
        <x:f>IF(AND(16&gt;=C18,16&lt;=D18),(D18-16+1)/E18,0)</x:f>
        <x:v>0</x:v>
      </x:c>
      <x:c r="V18" s="69" t="n">
        <x:f>IF(AND(17&gt;=C18,17&lt;=D18),(D18-17+1)/E18,0)</x:f>
        <x:v>0</x:v>
      </x:c>
      <x:c r="W18" s="69" t="n">
        <x:f>IF(AND(18&gt;=C18,18&lt;=D18),(D18-18+1)/E18,0)</x:f>
        <x:v>0</x:v>
      </x:c>
      <x:c r="X18" s="69" t="n">
        <x:f>IF(AND(19&gt;=C18,19&lt;=D18),(D18-19+1)/E18,0)</x:f>
        <x:v>0</x:v>
      </x:c>
      <x:c r="Y18" s="69" t="n">
        <x:f>IF(AND(20&gt;=C18,20&lt;=D18),(D18-20+1)/E18,0)</x:f>
        <x:v>0</x:v>
      </x:c>
      <x:c r="Z18" s="69" t="n">
        <x:f>IF(AND(21&gt;=C18,21&lt;=D18),(D18-21+1)/E18,0)</x:f>
        <x:v>0</x:v>
      </x:c>
      <x:c r="AA18" s="69" t="n">
        <x:f>IF(AND(22&gt;=C18,22&lt;=D18),(D18-22+1)/E18,0)</x:f>
        <x:v>0</x:v>
      </x:c>
      <x:c r="AB18" s="69" t="n">
        <x:f>IF(AND(23&gt;=C18,23&lt;=D18),(D18-23+1)/E18,0)</x:f>
        <x:v>0</x:v>
      </x:c>
      <x:c r="AC18" s="69" t="n">
        <x:f>IF(AND(24&gt;=C18,24&lt;=D18),(D18-24+1)/E18,0)</x:f>
        <x:v>0</x:v>
      </x:c>
      <x:c r="AD18" s="69" t="n">
        <x:f>IF(AND(25&gt;=C18,25&lt;=D18),(D18-25+1)/E18,0)</x:f>
        <x:v>0</x:v>
      </x:c>
      <x:c r="AE18" s="69" t="n">
        <x:f>IF(AND(26&gt;=C18,26&lt;=D18),(D18-26+1)/E18,0)</x:f>
        <x:v>0</x:v>
      </x:c>
      <x:c r="AF18" s="69" t="n">
        <x:f>IF(AND(27&gt;=C18,27&lt;=D18),(D18-27+1)/E18,0)</x:f>
        <x:v>0</x:v>
      </x:c>
      <x:c r="AG18" s="69" t="n">
        <x:f>IF(AND(28&gt;=C18,28&lt;=D18),(D18-28+1)/E18,0)</x:f>
        <x:v>0</x:v>
      </x:c>
      <x:c r="AH18" s="69" t="n">
        <x:f>IF(AND(29&gt;=C18,29&lt;=D18),(D18-29+1)/E18,0)</x:f>
        <x:v>0</x:v>
      </x:c>
      <x:c r="AI18" s="69" t="n">
        <x:f>IF(AND(30&gt;=C18,30&lt;=D18),(D18-30+1)/E18,0)</x:f>
        <x:v>0</x:v>
      </x:c>
      <x:c r="AJ18" s="69" t="n">
        <x:f>IF(AND(31&gt;=C18,31&lt;=D18),(D18-31+1)/E18,0)</x:f>
        <x:v>0</x:v>
      </x:c>
      <x:c r="AK18" s="69" t="n">
        <x:f>IF(AND(32&gt;=C18,32&lt;=D18),(D18-32+1)/E18,0)</x:f>
        <x:v>0</x:v>
      </x:c>
      <x:c r="AL18" s="69" t="n">
        <x:f>SUM(F18:AK18)</x:f>
        <x:v>0.9999999999999999</x:v>
      </x:c>
    </x:row>
    <x:row r="19" ht="23" customHeight="1">
      <x:c r="A19" s="54" t="str">
        <x:v>RC09</x:v>
      </x:c>
      <x:c r="B19" s="54" t="str">
        <x:v>Concrete</x:v>
      </x:c>
      <x:c r="C19" s="70" t="n">
        <x:v>5</x:v>
      </x:c>
      <x:c r="D19" s="70" t="n">
        <x:v>8</x:v>
      </x:c>
      <x:c r="E19" s="71" t="n">
        <x:f>(D19-C19+1)*(D19-C19+2)/2</x:f>
        <x:v>10</x:v>
      </x:c>
      <x:c r="F19" s="72" t="n">
        <x:f>IF(AND(1&gt;=C19,1&lt;=D19),(D19-1+1)/E19,0)</x:f>
        <x:v>0</x:v>
      </x:c>
      <x:c r="G19" s="72" t="n">
        <x:f>IF(AND(2&gt;=C19,2&lt;=D19),(D19-2+1)/E19,0)</x:f>
        <x:v>0</x:v>
      </x:c>
      <x:c r="H19" s="72" t="n">
        <x:f>IF(AND(3&gt;=C19,3&lt;=D19),(D19-3+1)/E19,0)</x:f>
        <x:v>0</x:v>
      </x:c>
      <x:c r="I19" s="72" t="n">
        <x:f>IF(AND(4&gt;=C19,4&lt;=D19),(D19-4+1)/E19,0)</x:f>
        <x:v>0</x:v>
      </x:c>
      <x:c r="J19" s="72" t="n">
        <x:f>IF(AND(5&gt;=C19,5&lt;=D19),(D19-5+1)/E19,0)</x:f>
        <x:v>0.4</x:v>
      </x:c>
      <x:c r="K19" s="72" t="n">
        <x:f>IF(AND(6&gt;=C19,6&lt;=D19),(D19-6+1)/E19,0)</x:f>
        <x:v>0.3</x:v>
      </x:c>
      <x:c r="L19" s="72" t="n">
        <x:f>IF(AND(7&gt;=C19,7&lt;=D19),(D19-7+1)/E19,0)</x:f>
        <x:v>0.2</x:v>
      </x:c>
      <x:c r="M19" s="72" t="n">
        <x:f>IF(AND(8&gt;=C19,8&lt;=D19),(D19-8+1)/E19,0)</x:f>
        <x:v>0.1</x:v>
      </x:c>
      <x:c r="N19" s="72" t="n">
        <x:f>IF(AND(9&gt;=C19,9&lt;=D19),(D19-9+1)/E19,0)</x:f>
        <x:v>0</x:v>
      </x:c>
      <x:c r="O19" s="72" t="n">
        <x:f>IF(AND(10&gt;=C19,10&lt;=D19),(D19-10+1)/E19,0)</x:f>
        <x:v>0</x:v>
      </x:c>
      <x:c r="P19" s="72" t="n">
        <x:f>IF(AND(11&gt;=C19,11&lt;=D19),(D19-11+1)/E19,0)</x:f>
        <x:v>0</x:v>
      </x:c>
      <x:c r="Q19" s="72" t="n">
        <x:f>IF(AND(12&gt;=C19,12&lt;=D19),(D19-12+1)/E19,0)</x:f>
        <x:v>0</x:v>
      </x:c>
      <x:c r="R19" s="72" t="n">
        <x:f>IF(AND(13&gt;=C19,13&lt;=D19),(D19-13+1)/E19,0)</x:f>
        <x:v>0</x:v>
      </x:c>
      <x:c r="S19" s="72" t="n">
        <x:f>IF(AND(14&gt;=C19,14&lt;=D19),(D19-14+1)/E19,0)</x:f>
        <x:v>0</x:v>
      </x:c>
      <x:c r="T19" s="72" t="n">
        <x:f>IF(AND(15&gt;=C19,15&lt;=D19),(D19-15+1)/E19,0)</x:f>
        <x:v>0</x:v>
      </x:c>
      <x:c r="U19" s="72" t="n">
        <x:f>IF(AND(16&gt;=C19,16&lt;=D19),(D19-16+1)/E19,0)</x:f>
        <x:v>0</x:v>
      </x:c>
      <x:c r="V19" s="72" t="n">
        <x:f>IF(AND(17&gt;=C19,17&lt;=D19),(D19-17+1)/E19,0)</x:f>
        <x:v>0</x:v>
      </x:c>
      <x:c r="W19" s="72" t="n">
        <x:f>IF(AND(18&gt;=C19,18&lt;=D19),(D19-18+1)/E19,0)</x:f>
        <x:v>0</x:v>
      </x:c>
      <x:c r="X19" s="72" t="n">
        <x:f>IF(AND(19&gt;=C19,19&lt;=D19),(D19-19+1)/E19,0)</x:f>
        <x:v>0</x:v>
      </x:c>
      <x:c r="Y19" s="72" t="n">
        <x:f>IF(AND(20&gt;=C19,20&lt;=D19),(D19-20+1)/E19,0)</x:f>
        <x:v>0</x:v>
      </x:c>
      <x:c r="Z19" s="72" t="n">
        <x:f>IF(AND(21&gt;=C19,21&lt;=D19),(D19-21+1)/E19,0)</x:f>
        <x:v>0</x:v>
      </x:c>
      <x:c r="AA19" s="72" t="n">
        <x:f>IF(AND(22&gt;=C19,22&lt;=D19),(D19-22+1)/E19,0)</x:f>
        <x:v>0</x:v>
      </x:c>
      <x:c r="AB19" s="72" t="n">
        <x:f>IF(AND(23&gt;=C19,23&lt;=D19),(D19-23+1)/E19,0)</x:f>
        <x:v>0</x:v>
      </x:c>
      <x:c r="AC19" s="72" t="n">
        <x:f>IF(AND(24&gt;=C19,24&lt;=D19),(D19-24+1)/E19,0)</x:f>
        <x:v>0</x:v>
      </x:c>
      <x:c r="AD19" s="72" t="n">
        <x:f>IF(AND(25&gt;=C19,25&lt;=D19),(D19-25+1)/E19,0)</x:f>
        <x:v>0</x:v>
      </x:c>
      <x:c r="AE19" s="72" t="n">
        <x:f>IF(AND(26&gt;=C19,26&lt;=D19),(D19-26+1)/E19,0)</x:f>
        <x:v>0</x:v>
      </x:c>
      <x:c r="AF19" s="72" t="n">
        <x:f>IF(AND(27&gt;=C19,27&lt;=D19),(D19-27+1)/E19,0)</x:f>
        <x:v>0</x:v>
      </x:c>
      <x:c r="AG19" s="72" t="n">
        <x:f>IF(AND(28&gt;=C19,28&lt;=D19),(D19-28+1)/E19,0)</x:f>
        <x:v>0</x:v>
      </x:c>
      <x:c r="AH19" s="72" t="n">
        <x:f>IF(AND(29&gt;=C19,29&lt;=D19),(D19-29+1)/E19,0)</x:f>
        <x:v>0</x:v>
      </x:c>
      <x:c r="AI19" s="72" t="n">
        <x:f>IF(AND(30&gt;=C19,30&lt;=D19),(D19-30+1)/E19,0)</x:f>
        <x:v>0</x:v>
      </x:c>
      <x:c r="AJ19" s="72" t="n">
        <x:f>IF(AND(31&gt;=C19,31&lt;=D19),(D19-31+1)/E19,0)</x:f>
        <x:v>0</x:v>
      </x:c>
      <x:c r="AK19" s="72" t="n">
        <x:f>IF(AND(32&gt;=C19,32&lt;=D19),(D19-32+1)/E19,0)</x:f>
        <x:v>0</x:v>
      </x:c>
      <x:c r="AL19" s="72" t="n">
        <x:f>SUM(F19:AK19)</x:f>
        <x:v>0.9999999999999999</x:v>
      </x:c>
    </x:row>
    <x:row r="20" ht="23" customHeight="1">
      <x:c r="A20" s="52" t="str">
        <x:v>RB01</x:v>
      </x:c>
      <x:c r="B20" s="52" t="str">
        <x:v>Reinforcement</x:v>
      </x:c>
      <x:c r="C20" s="67" t="n">
        <x:v>3</x:v>
      </x:c>
      <x:c r="D20" s="67" t="n">
        <x:v>18</x:v>
      </x:c>
      <x:c r="E20" s="68" t="n">
        <x:f>(D20-C20+1)*(D20-C20+2)/2</x:f>
        <x:v>136</x:v>
      </x:c>
      <x:c r="F20" s="69" t="n">
        <x:f>IF(AND(1&gt;=C20,1&lt;=D20),(D20-1+1)/E20,0)</x:f>
        <x:v>0</x:v>
      </x:c>
      <x:c r="G20" s="69" t="n">
        <x:f>IF(AND(2&gt;=C20,2&lt;=D20),(D20-2+1)/E20,0)</x:f>
        <x:v>0</x:v>
      </x:c>
      <x:c r="H20" s="69" t="n">
        <x:f>IF(AND(3&gt;=C20,3&lt;=D20),(D20-3+1)/E20,0)</x:f>
        <x:v>0.11764705882352941</x:v>
      </x:c>
      <x:c r="I20" s="69" t="n">
        <x:f>IF(AND(4&gt;=C20,4&lt;=D20),(D20-4+1)/E20,0)</x:f>
        <x:v>0.11029411764705882</x:v>
      </x:c>
      <x:c r="J20" s="69" t="n">
        <x:f>IF(AND(5&gt;=C20,5&lt;=D20),(D20-5+1)/E20,0)</x:f>
        <x:v>0.10294117647058823</x:v>
      </x:c>
      <x:c r="K20" s="69" t="n">
        <x:f>IF(AND(6&gt;=C20,6&lt;=D20),(D20-6+1)/E20,0)</x:f>
        <x:v>0.09558823529411764</x:v>
      </x:c>
      <x:c r="L20" s="69" t="n">
        <x:f>IF(AND(7&gt;=C20,7&lt;=D20),(D20-7+1)/E20,0)</x:f>
        <x:v>0.08823529411764706</x:v>
      </x:c>
      <x:c r="M20" s="69" t="n">
        <x:f>IF(AND(8&gt;=C20,8&lt;=D20),(D20-8+1)/E20,0)</x:f>
        <x:v>0.08088235294117647</x:v>
      </x:c>
      <x:c r="N20" s="69" t="n">
        <x:f>IF(AND(9&gt;=C20,9&lt;=D20),(D20-9+1)/E20,0)</x:f>
        <x:v>0.07352941176470588</x:v>
      </x:c>
      <x:c r="O20" s="69" t="n">
        <x:f>IF(AND(10&gt;=C20,10&lt;=D20),(D20-10+1)/E20,0)</x:f>
        <x:v>0.0661764705882353</x:v>
      </x:c>
      <x:c r="P20" s="69" t="n">
        <x:f>IF(AND(11&gt;=C20,11&lt;=D20),(D20-11+1)/E20,0)</x:f>
        <x:v>0.058823529411764705</x:v>
      </x:c>
      <x:c r="Q20" s="69" t="n">
        <x:f>IF(AND(12&gt;=C20,12&lt;=D20),(D20-12+1)/E20,0)</x:f>
        <x:v>0.051470588235294115</x:v>
      </x:c>
      <x:c r="R20" s="69" t="n">
        <x:f>IF(AND(13&gt;=C20,13&lt;=D20),(D20-13+1)/E20,0)</x:f>
        <x:v>0.04411764705882353</x:v>
      </x:c>
      <x:c r="S20" s="69" t="n">
        <x:f>IF(AND(14&gt;=C20,14&lt;=D20),(D20-14+1)/E20,0)</x:f>
        <x:v>0.03676470588235294</x:v>
      </x:c>
      <x:c r="T20" s="69" t="n">
        <x:f>IF(AND(15&gt;=C20,15&lt;=D20),(D20-15+1)/E20,0)</x:f>
        <x:v>0.029411764705882353</x:v>
      </x:c>
      <x:c r="U20" s="69" t="n">
        <x:f>IF(AND(16&gt;=C20,16&lt;=D20),(D20-16+1)/E20,0)</x:f>
        <x:v>0.022058823529411766</x:v>
      </x:c>
      <x:c r="V20" s="69" t="n">
        <x:f>IF(AND(17&gt;=C20,17&lt;=D20),(D20-17+1)/E20,0)</x:f>
        <x:v>0.014705882352941176</x:v>
      </x:c>
      <x:c r="W20" s="69" t="n">
        <x:f>IF(AND(18&gt;=C20,18&lt;=D20),(D20-18+1)/E20,0)</x:f>
        <x:v>0.007352941176470588</x:v>
      </x:c>
      <x:c r="X20" s="69" t="n">
        <x:f>IF(AND(19&gt;=C20,19&lt;=D20),(D20-19+1)/E20,0)</x:f>
        <x:v>0</x:v>
      </x:c>
      <x:c r="Y20" s="69" t="n">
        <x:f>IF(AND(20&gt;=C20,20&lt;=D20),(D20-20+1)/E20,0)</x:f>
        <x:v>0</x:v>
      </x:c>
      <x:c r="Z20" s="69" t="n">
        <x:f>IF(AND(21&gt;=C20,21&lt;=D20),(D20-21+1)/E20,0)</x:f>
        <x:v>0</x:v>
      </x:c>
      <x:c r="AA20" s="69" t="n">
        <x:f>IF(AND(22&gt;=C20,22&lt;=D20),(D20-22+1)/E20,0)</x:f>
        <x:v>0</x:v>
      </x:c>
      <x:c r="AB20" s="69" t="n">
        <x:f>IF(AND(23&gt;=C20,23&lt;=D20),(D20-23+1)/E20,0)</x:f>
        <x:v>0</x:v>
      </x:c>
      <x:c r="AC20" s="69" t="n">
        <x:f>IF(AND(24&gt;=C20,24&lt;=D20),(D20-24+1)/E20,0)</x:f>
        <x:v>0</x:v>
      </x:c>
      <x:c r="AD20" s="69" t="n">
        <x:f>IF(AND(25&gt;=C20,25&lt;=D20),(D20-25+1)/E20,0)</x:f>
        <x:v>0</x:v>
      </x:c>
      <x:c r="AE20" s="69" t="n">
        <x:f>IF(AND(26&gt;=C20,26&lt;=D20),(D20-26+1)/E20,0)</x:f>
        <x:v>0</x:v>
      </x:c>
      <x:c r="AF20" s="69" t="n">
        <x:f>IF(AND(27&gt;=C20,27&lt;=D20),(D20-27+1)/E20,0)</x:f>
        <x:v>0</x:v>
      </x:c>
      <x:c r="AG20" s="69" t="n">
        <x:f>IF(AND(28&gt;=C20,28&lt;=D20),(D20-28+1)/E20,0)</x:f>
        <x:v>0</x:v>
      </x:c>
      <x:c r="AH20" s="69" t="n">
        <x:f>IF(AND(29&gt;=C20,29&lt;=D20),(D20-29+1)/E20,0)</x:f>
        <x:v>0</x:v>
      </x:c>
      <x:c r="AI20" s="69" t="n">
        <x:f>IF(AND(30&gt;=C20,30&lt;=D20),(D20-30+1)/E20,0)</x:f>
        <x:v>0</x:v>
      </x:c>
      <x:c r="AJ20" s="69" t="n">
        <x:f>IF(AND(31&gt;=C20,31&lt;=D20),(D20-31+1)/E20,0)</x:f>
        <x:v>0</x:v>
      </x:c>
      <x:c r="AK20" s="69" t="n">
        <x:f>IF(AND(32&gt;=C20,32&lt;=D20),(D20-32+1)/E20,0)</x:f>
        <x:v>0</x:v>
      </x:c>
      <x:c r="AL20" s="69" t="n">
        <x:f>SUM(F20:AK20)</x:f>
        <x:v>0.9999999999999999</x:v>
      </x:c>
    </x:row>
    <x:row r="21" ht="23" customHeight="1">
      <x:c r="A21" s="54" t="str">
        <x:v>FW01</x:v>
      </x:c>
      <x:c r="B21" s="54" t="str">
        <x:v>Formwork</x:v>
      </x:c>
      <x:c r="C21" s="70" t="n">
        <x:v>6</x:v>
      </x:c>
      <x:c r="D21" s="70" t="n">
        <x:v>17</x:v>
      </x:c>
      <x:c r="E21" s="71" t="n">
        <x:f>(D21-C21+1)*(D21-C21+2)/2</x:f>
        <x:v>78</x:v>
      </x:c>
      <x:c r="F21" s="72" t="n">
        <x:f>IF(AND(1&gt;=C21,1&lt;=D21),(D21-1+1)/E21,0)</x:f>
        <x:v>0</x:v>
      </x:c>
      <x:c r="G21" s="72" t="n">
        <x:f>IF(AND(2&gt;=C21,2&lt;=D21),(D21-2+1)/E21,0)</x:f>
        <x:v>0</x:v>
      </x:c>
      <x:c r="H21" s="72" t="n">
        <x:f>IF(AND(3&gt;=C21,3&lt;=D21),(D21-3+1)/E21,0)</x:f>
        <x:v>0</x:v>
      </x:c>
      <x:c r="I21" s="72" t="n">
        <x:f>IF(AND(4&gt;=C21,4&lt;=D21),(D21-4+1)/E21,0)</x:f>
        <x:v>0</x:v>
      </x:c>
      <x:c r="J21" s="72" t="n">
        <x:f>IF(AND(5&gt;=C21,5&lt;=D21),(D21-5+1)/E21,0)</x:f>
        <x:v>0</x:v>
      </x:c>
      <x:c r="K21" s="72" t="n">
        <x:f>IF(AND(6&gt;=C21,6&lt;=D21),(D21-6+1)/E21,0)</x:f>
        <x:v>0.15384615384615385</x:v>
      </x:c>
      <x:c r="L21" s="72" t="n">
        <x:f>IF(AND(7&gt;=C21,7&lt;=D21),(D21-7+1)/E21,0)</x:f>
        <x:v>0.14102564102564102</x:v>
      </x:c>
      <x:c r="M21" s="72" t="n">
        <x:f>IF(AND(8&gt;=C21,8&lt;=D21),(D21-8+1)/E21,0)</x:f>
        <x:v>0.1282051282051282</x:v>
      </x:c>
      <x:c r="N21" s="72" t="n">
        <x:f>IF(AND(9&gt;=C21,9&lt;=D21),(D21-9+1)/E21,0)</x:f>
        <x:v>0.11538461538461539</x:v>
      </x:c>
      <x:c r="O21" s="72" t="n">
        <x:f>IF(AND(10&gt;=C21,10&lt;=D21),(D21-10+1)/E21,0)</x:f>
        <x:v>0.10256410256410256</x:v>
      </x:c>
      <x:c r="P21" s="72" t="n">
        <x:f>IF(AND(11&gt;=C21,11&lt;=D21),(D21-11+1)/E21,0)</x:f>
        <x:v>0.08974358974358974</x:v>
      </x:c>
      <x:c r="Q21" s="72" t="n">
        <x:f>IF(AND(12&gt;=C21,12&lt;=D21),(D21-12+1)/E21,0)</x:f>
        <x:v>0.07692307692307693</x:v>
      </x:c>
      <x:c r="R21" s="72" t="n">
        <x:f>IF(AND(13&gt;=C21,13&lt;=D21),(D21-13+1)/E21,0)</x:f>
        <x:v>0.0641025641025641</x:v>
      </x:c>
      <x:c r="S21" s="72" t="n">
        <x:f>IF(AND(14&gt;=C21,14&lt;=D21),(D21-14+1)/E21,0)</x:f>
        <x:v>0.05128205128205128</x:v>
      </x:c>
      <x:c r="T21" s="72" t="n">
        <x:f>IF(AND(15&gt;=C21,15&lt;=D21),(D21-15+1)/E21,0)</x:f>
        <x:v>0.038461538461538464</x:v>
      </x:c>
      <x:c r="U21" s="72" t="n">
        <x:f>IF(AND(16&gt;=C21,16&lt;=D21),(D21-16+1)/E21,0)</x:f>
        <x:v>0.02564102564102564</x:v>
      </x:c>
      <x:c r="V21" s="72" t="n">
        <x:f>IF(AND(17&gt;=C21,17&lt;=D21),(D21-17+1)/E21,0)</x:f>
        <x:v>0.01282051282051282</x:v>
      </x:c>
      <x:c r="W21" s="72" t="n">
        <x:f>IF(AND(18&gt;=C21,18&lt;=D21),(D21-18+1)/E21,0)</x:f>
        <x:v>0</x:v>
      </x:c>
      <x:c r="X21" s="72" t="n">
        <x:f>IF(AND(19&gt;=C21,19&lt;=D21),(D21-19+1)/E21,0)</x:f>
        <x:v>0</x:v>
      </x:c>
      <x:c r="Y21" s="72" t="n">
        <x:f>IF(AND(20&gt;=C21,20&lt;=D21),(D21-20+1)/E21,0)</x:f>
        <x:v>0</x:v>
      </x:c>
      <x:c r="Z21" s="72" t="n">
        <x:f>IF(AND(21&gt;=C21,21&lt;=D21),(D21-21+1)/E21,0)</x:f>
        <x:v>0</x:v>
      </x:c>
      <x:c r="AA21" s="72" t="n">
        <x:f>IF(AND(22&gt;=C21,22&lt;=D21),(D21-22+1)/E21,0)</x:f>
        <x:v>0</x:v>
      </x:c>
      <x:c r="AB21" s="72" t="n">
        <x:f>IF(AND(23&gt;=C21,23&lt;=D21),(D21-23+1)/E21,0)</x:f>
        <x:v>0</x:v>
      </x:c>
      <x:c r="AC21" s="72" t="n">
        <x:f>IF(AND(24&gt;=C21,24&lt;=D21),(D21-24+1)/E21,0)</x:f>
        <x:v>0</x:v>
      </x:c>
      <x:c r="AD21" s="72" t="n">
        <x:f>IF(AND(25&gt;=C21,25&lt;=D21),(D21-25+1)/E21,0)</x:f>
        <x:v>0</x:v>
      </x:c>
      <x:c r="AE21" s="72" t="n">
        <x:f>IF(AND(26&gt;=C21,26&lt;=D21),(D21-26+1)/E21,0)</x:f>
        <x:v>0</x:v>
      </x:c>
      <x:c r="AF21" s="72" t="n">
        <x:f>IF(AND(27&gt;=C21,27&lt;=D21),(D21-27+1)/E21,0)</x:f>
        <x:v>0</x:v>
      </x:c>
      <x:c r="AG21" s="72" t="n">
        <x:f>IF(AND(28&gt;=C21,28&lt;=D21),(D21-28+1)/E21,0)</x:f>
        <x:v>0</x:v>
      </x:c>
      <x:c r="AH21" s="72" t="n">
        <x:f>IF(AND(29&gt;=C21,29&lt;=D21),(D21-29+1)/E21,0)</x:f>
        <x:v>0</x:v>
      </x:c>
      <x:c r="AI21" s="72" t="n">
        <x:f>IF(AND(30&gt;=C21,30&lt;=D21),(D21-30+1)/E21,0)</x:f>
        <x:v>0</x:v>
      </x:c>
      <x:c r="AJ21" s="72" t="n">
        <x:f>IF(AND(31&gt;=C21,31&lt;=D21),(D21-31+1)/E21,0)</x:f>
        <x:v>0</x:v>
      </x:c>
      <x:c r="AK21" s="72" t="n">
        <x:f>IF(AND(32&gt;=C21,32&lt;=D21),(D21-32+1)/E21,0)</x:f>
        <x:v>0</x:v>
      </x:c>
      <x:c r="AL21" s="72" t="n">
        <x:f>SUM(F21:AK21)</x:f>
        <x:v>1</x:v>
      </x:c>
    </x:row>
    <x:row r="22" ht="23" customHeight="1">
      <x:c r="A22" s="52" t="str">
        <x:v>FW02</x:v>
      </x:c>
      <x:c r="B22" s="52" t="str">
        <x:v>Formwork</x:v>
      </x:c>
      <x:c r="C22" s="67" t="n">
        <x:v>6</x:v>
      </x:c>
      <x:c r="D22" s="67" t="n">
        <x:v>17</x:v>
      </x:c>
      <x:c r="E22" s="68" t="n">
        <x:f>(D22-C22+1)*(D22-C22+2)/2</x:f>
        <x:v>78</x:v>
      </x:c>
      <x:c r="F22" s="69" t="n">
        <x:f>IF(AND(1&gt;=C22,1&lt;=D22),(D22-1+1)/E22,0)</x:f>
        <x:v>0</x:v>
      </x:c>
      <x:c r="G22" s="69" t="n">
        <x:f>IF(AND(2&gt;=C22,2&lt;=D22),(D22-2+1)/E22,0)</x:f>
        <x:v>0</x:v>
      </x:c>
      <x:c r="H22" s="69" t="n">
        <x:f>IF(AND(3&gt;=C22,3&lt;=D22),(D22-3+1)/E22,0)</x:f>
        <x:v>0</x:v>
      </x:c>
      <x:c r="I22" s="69" t="n">
        <x:f>IF(AND(4&gt;=C22,4&lt;=D22),(D22-4+1)/E22,0)</x:f>
        <x:v>0</x:v>
      </x:c>
      <x:c r="J22" s="69" t="n">
        <x:f>IF(AND(5&gt;=C22,5&lt;=D22),(D22-5+1)/E22,0)</x:f>
        <x:v>0</x:v>
      </x:c>
      <x:c r="K22" s="69" t="n">
        <x:f>IF(AND(6&gt;=C22,6&lt;=D22),(D22-6+1)/E22,0)</x:f>
        <x:v>0.15384615384615385</x:v>
      </x:c>
      <x:c r="L22" s="69" t="n">
        <x:f>IF(AND(7&gt;=C22,7&lt;=D22),(D22-7+1)/E22,0)</x:f>
        <x:v>0.14102564102564102</x:v>
      </x:c>
      <x:c r="M22" s="69" t="n">
        <x:f>IF(AND(8&gt;=C22,8&lt;=D22),(D22-8+1)/E22,0)</x:f>
        <x:v>0.1282051282051282</x:v>
      </x:c>
      <x:c r="N22" s="69" t="n">
        <x:f>IF(AND(9&gt;=C22,9&lt;=D22),(D22-9+1)/E22,0)</x:f>
        <x:v>0.11538461538461539</x:v>
      </x:c>
      <x:c r="O22" s="69" t="n">
        <x:f>IF(AND(10&gt;=C22,10&lt;=D22),(D22-10+1)/E22,0)</x:f>
        <x:v>0.10256410256410256</x:v>
      </x:c>
      <x:c r="P22" s="69" t="n">
        <x:f>IF(AND(11&gt;=C22,11&lt;=D22),(D22-11+1)/E22,0)</x:f>
        <x:v>0.08974358974358974</x:v>
      </x:c>
      <x:c r="Q22" s="69" t="n">
        <x:f>IF(AND(12&gt;=C22,12&lt;=D22),(D22-12+1)/E22,0)</x:f>
        <x:v>0.07692307692307693</x:v>
      </x:c>
      <x:c r="R22" s="69" t="n">
        <x:f>IF(AND(13&gt;=C22,13&lt;=D22),(D22-13+1)/E22,0)</x:f>
        <x:v>0.0641025641025641</x:v>
      </x:c>
      <x:c r="S22" s="69" t="n">
        <x:f>IF(AND(14&gt;=C22,14&lt;=D22),(D22-14+1)/E22,0)</x:f>
        <x:v>0.05128205128205128</x:v>
      </x:c>
      <x:c r="T22" s="69" t="n">
        <x:f>IF(AND(15&gt;=C22,15&lt;=D22),(D22-15+1)/E22,0)</x:f>
        <x:v>0.038461538461538464</x:v>
      </x:c>
      <x:c r="U22" s="69" t="n">
        <x:f>IF(AND(16&gt;=C22,16&lt;=D22),(D22-16+1)/E22,0)</x:f>
        <x:v>0.02564102564102564</x:v>
      </x:c>
      <x:c r="V22" s="69" t="n">
        <x:f>IF(AND(17&gt;=C22,17&lt;=D22),(D22-17+1)/E22,0)</x:f>
        <x:v>0.01282051282051282</x:v>
      </x:c>
      <x:c r="W22" s="69" t="n">
        <x:f>IF(AND(18&gt;=C22,18&lt;=D22),(D22-18+1)/E22,0)</x:f>
        <x:v>0</x:v>
      </x:c>
      <x:c r="X22" s="69" t="n">
        <x:f>IF(AND(19&gt;=C22,19&lt;=D22),(D22-19+1)/E22,0)</x:f>
        <x:v>0</x:v>
      </x:c>
      <x:c r="Y22" s="69" t="n">
        <x:f>IF(AND(20&gt;=C22,20&lt;=D22),(D22-20+1)/E22,0)</x:f>
        <x:v>0</x:v>
      </x:c>
      <x:c r="Z22" s="69" t="n">
        <x:f>IF(AND(21&gt;=C22,21&lt;=D22),(D22-21+1)/E22,0)</x:f>
        <x:v>0</x:v>
      </x:c>
      <x:c r="AA22" s="69" t="n">
        <x:f>IF(AND(22&gt;=C22,22&lt;=D22),(D22-22+1)/E22,0)</x:f>
        <x:v>0</x:v>
      </x:c>
      <x:c r="AB22" s="69" t="n">
        <x:f>IF(AND(23&gt;=C22,23&lt;=D22),(D22-23+1)/E22,0)</x:f>
        <x:v>0</x:v>
      </x:c>
      <x:c r="AC22" s="69" t="n">
        <x:f>IF(AND(24&gt;=C22,24&lt;=D22),(D22-24+1)/E22,0)</x:f>
        <x:v>0</x:v>
      </x:c>
      <x:c r="AD22" s="69" t="n">
        <x:f>IF(AND(25&gt;=C22,25&lt;=D22),(D22-25+1)/E22,0)</x:f>
        <x:v>0</x:v>
      </x:c>
      <x:c r="AE22" s="69" t="n">
        <x:f>IF(AND(26&gt;=C22,26&lt;=D22),(D22-26+1)/E22,0)</x:f>
        <x:v>0</x:v>
      </x:c>
      <x:c r="AF22" s="69" t="n">
        <x:f>IF(AND(27&gt;=C22,27&lt;=D22),(D22-27+1)/E22,0)</x:f>
        <x:v>0</x:v>
      </x:c>
      <x:c r="AG22" s="69" t="n">
        <x:f>IF(AND(28&gt;=C22,28&lt;=D22),(D22-28+1)/E22,0)</x:f>
        <x:v>0</x:v>
      </x:c>
      <x:c r="AH22" s="69" t="n">
        <x:f>IF(AND(29&gt;=C22,29&lt;=D22),(D22-29+1)/E22,0)</x:f>
        <x:v>0</x:v>
      </x:c>
      <x:c r="AI22" s="69" t="n">
        <x:f>IF(AND(30&gt;=C22,30&lt;=D22),(D22-30+1)/E22,0)</x:f>
        <x:v>0</x:v>
      </x:c>
      <x:c r="AJ22" s="69" t="n">
        <x:f>IF(AND(31&gt;=C22,31&lt;=D22),(D22-31+1)/E22,0)</x:f>
        <x:v>0</x:v>
      </x:c>
      <x:c r="AK22" s="69" t="n">
        <x:f>IF(AND(32&gt;=C22,32&lt;=D22),(D22-32+1)/E22,0)</x:f>
        <x:v>0</x:v>
      </x:c>
      <x:c r="AL22" s="69" t="n">
        <x:f>SUM(F22:AK22)</x:f>
        <x:v>1</x:v>
      </x:c>
    </x:row>
    <x:row r="23" ht="23" customHeight="1">
      <x:c r="A23" s="54" t="str">
        <x:v>FW03</x:v>
      </x:c>
      <x:c r="B23" s="54" t="str">
        <x:v>Formwork</x:v>
      </x:c>
      <x:c r="C23" s="70" t="n">
        <x:v>5</x:v>
      </x:c>
      <x:c r="D23" s="70" t="n">
        <x:v>16</x:v>
      </x:c>
      <x:c r="E23" s="71" t="n">
        <x:f>(D23-C23+1)*(D23-C23+2)/2</x:f>
        <x:v>78</x:v>
      </x:c>
      <x:c r="F23" s="72" t="n">
        <x:f>IF(AND(1&gt;=C23,1&lt;=D23),(D23-1+1)/E23,0)</x:f>
        <x:v>0</x:v>
      </x:c>
      <x:c r="G23" s="72" t="n">
        <x:f>IF(AND(2&gt;=C23,2&lt;=D23),(D23-2+1)/E23,0)</x:f>
        <x:v>0</x:v>
      </x:c>
      <x:c r="H23" s="72" t="n">
        <x:f>IF(AND(3&gt;=C23,3&lt;=D23),(D23-3+1)/E23,0)</x:f>
        <x:v>0</x:v>
      </x:c>
      <x:c r="I23" s="72" t="n">
        <x:f>IF(AND(4&gt;=C23,4&lt;=D23),(D23-4+1)/E23,0)</x:f>
        <x:v>0</x:v>
      </x:c>
      <x:c r="J23" s="72" t="n">
        <x:f>IF(AND(5&gt;=C23,5&lt;=D23),(D23-5+1)/E23,0)</x:f>
        <x:v>0.15384615384615385</x:v>
      </x:c>
      <x:c r="K23" s="72" t="n">
        <x:f>IF(AND(6&gt;=C23,6&lt;=D23),(D23-6+1)/E23,0)</x:f>
        <x:v>0.14102564102564102</x:v>
      </x:c>
      <x:c r="L23" s="72" t="n">
        <x:f>IF(AND(7&gt;=C23,7&lt;=D23),(D23-7+1)/E23,0)</x:f>
        <x:v>0.1282051282051282</x:v>
      </x:c>
      <x:c r="M23" s="72" t="n">
        <x:f>IF(AND(8&gt;=C23,8&lt;=D23),(D23-8+1)/E23,0)</x:f>
        <x:v>0.11538461538461539</x:v>
      </x:c>
      <x:c r="N23" s="72" t="n">
        <x:f>IF(AND(9&gt;=C23,9&lt;=D23),(D23-9+1)/E23,0)</x:f>
        <x:v>0.10256410256410256</x:v>
      </x:c>
      <x:c r="O23" s="72" t="n">
        <x:f>IF(AND(10&gt;=C23,10&lt;=D23),(D23-10+1)/E23,0)</x:f>
        <x:v>0.08974358974358974</x:v>
      </x:c>
      <x:c r="P23" s="72" t="n">
        <x:f>IF(AND(11&gt;=C23,11&lt;=D23),(D23-11+1)/E23,0)</x:f>
        <x:v>0.07692307692307693</x:v>
      </x:c>
      <x:c r="Q23" s="72" t="n">
        <x:f>IF(AND(12&gt;=C23,12&lt;=D23),(D23-12+1)/E23,0)</x:f>
        <x:v>0.0641025641025641</x:v>
      </x:c>
      <x:c r="R23" s="72" t="n">
        <x:f>IF(AND(13&gt;=C23,13&lt;=D23),(D23-13+1)/E23,0)</x:f>
        <x:v>0.05128205128205128</x:v>
      </x:c>
      <x:c r="S23" s="72" t="n">
        <x:f>IF(AND(14&gt;=C23,14&lt;=D23),(D23-14+1)/E23,0)</x:f>
        <x:v>0.038461538461538464</x:v>
      </x:c>
      <x:c r="T23" s="72" t="n">
        <x:f>IF(AND(15&gt;=C23,15&lt;=D23),(D23-15+1)/E23,0)</x:f>
        <x:v>0.02564102564102564</x:v>
      </x:c>
      <x:c r="U23" s="72" t="n">
        <x:f>IF(AND(16&gt;=C23,16&lt;=D23),(D23-16+1)/E23,0)</x:f>
        <x:v>0.01282051282051282</x:v>
      </x:c>
      <x:c r="V23" s="72" t="n">
        <x:f>IF(AND(17&gt;=C23,17&lt;=D23),(D23-17+1)/E23,0)</x:f>
        <x:v>0</x:v>
      </x:c>
      <x:c r="W23" s="72" t="n">
        <x:f>IF(AND(18&gt;=C23,18&lt;=D23),(D23-18+1)/E23,0)</x:f>
        <x:v>0</x:v>
      </x:c>
      <x:c r="X23" s="72" t="n">
        <x:f>IF(AND(19&gt;=C23,19&lt;=D23),(D23-19+1)/E23,0)</x:f>
        <x:v>0</x:v>
      </x:c>
      <x:c r="Y23" s="72" t="n">
        <x:f>IF(AND(20&gt;=C23,20&lt;=D23),(D23-20+1)/E23,0)</x:f>
        <x:v>0</x:v>
      </x:c>
      <x:c r="Z23" s="72" t="n">
        <x:f>IF(AND(21&gt;=C23,21&lt;=D23),(D23-21+1)/E23,0)</x:f>
        <x:v>0</x:v>
      </x:c>
      <x:c r="AA23" s="72" t="n">
        <x:f>IF(AND(22&gt;=C23,22&lt;=D23),(D23-22+1)/E23,0)</x:f>
        <x:v>0</x:v>
      </x:c>
      <x:c r="AB23" s="72" t="n">
        <x:f>IF(AND(23&gt;=C23,23&lt;=D23),(D23-23+1)/E23,0)</x:f>
        <x:v>0</x:v>
      </x:c>
      <x:c r="AC23" s="72" t="n">
        <x:f>IF(AND(24&gt;=C23,24&lt;=D23),(D23-24+1)/E23,0)</x:f>
        <x:v>0</x:v>
      </x:c>
      <x:c r="AD23" s="72" t="n">
        <x:f>IF(AND(25&gt;=C23,25&lt;=D23),(D23-25+1)/E23,0)</x:f>
        <x:v>0</x:v>
      </x:c>
      <x:c r="AE23" s="72" t="n">
        <x:f>IF(AND(26&gt;=C23,26&lt;=D23),(D23-26+1)/E23,0)</x:f>
        <x:v>0</x:v>
      </x:c>
      <x:c r="AF23" s="72" t="n">
        <x:f>IF(AND(27&gt;=C23,27&lt;=D23),(D23-27+1)/E23,0)</x:f>
        <x:v>0</x:v>
      </x:c>
      <x:c r="AG23" s="72" t="n">
        <x:f>IF(AND(28&gt;=C23,28&lt;=D23),(D23-28+1)/E23,0)</x:f>
        <x:v>0</x:v>
      </x:c>
      <x:c r="AH23" s="72" t="n">
        <x:f>IF(AND(29&gt;=C23,29&lt;=D23),(D23-29+1)/E23,0)</x:f>
        <x:v>0</x:v>
      </x:c>
      <x:c r="AI23" s="72" t="n">
        <x:f>IF(AND(30&gt;=C23,30&lt;=D23),(D23-30+1)/E23,0)</x:f>
        <x:v>0</x:v>
      </x:c>
      <x:c r="AJ23" s="72" t="n">
        <x:f>IF(AND(31&gt;=C23,31&lt;=D23),(D23-31+1)/E23,0)</x:f>
        <x:v>0</x:v>
      </x:c>
      <x:c r="AK23" s="72" t="n">
        <x:f>IF(AND(32&gt;=C23,32&lt;=D23),(D23-32+1)/E23,0)</x:f>
        <x:v>0</x:v>
      </x:c>
      <x:c r="AL23" s="72" t="n">
        <x:f>SUM(F23:AK23)</x:f>
        <x:v>1</x:v>
      </x:c>
    </x:row>
    <x:row r="24" ht="23" customHeight="1">
      <x:c r="A24" s="52" t="str">
        <x:v>FW04</x:v>
      </x:c>
      <x:c r="B24" s="52" t="str">
        <x:v>Formwork</x:v>
      </x:c>
      <x:c r="C24" s="67" t="n">
        <x:v>5</x:v>
      </x:c>
      <x:c r="D24" s="67" t="n">
        <x:v>16</x:v>
      </x:c>
      <x:c r="E24" s="68" t="n">
        <x:f>(D24-C24+1)*(D24-C24+2)/2</x:f>
        <x:v>78</x:v>
      </x:c>
      <x:c r="F24" s="69" t="n">
        <x:f>IF(AND(1&gt;=C24,1&lt;=D24),(D24-1+1)/E24,0)</x:f>
        <x:v>0</x:v>
      </x:c>
      <x:c r="G24" s="69" t="n">
        <x:f>IF(AND(2&gt;=C24,2&lt;=D24),(D24-2+1)/E24,0)</x:f>
        <x:v>0</x:v>
      </x:c>
      <x:c r="H24" s="69" t="n">
        <x:f>IF(AND(3&gt;=C24,3&lt;=D24),(D24-3+1)/E24,0)</x:f>
        <x:v>0</x:v>
      </x:c>
      <x:c r="I24" s="69" t="n">
        <x:f>IF(AND(4&gt;=C24,4&lt;=D24),(D24-4+1)/E24,0)</x:f>
        <x:v>0</x:v>
      </x:c>
      <x:c r="J24" s="69" t="n">
        <x:f>IF(AND(5&gt;=C24,5&lt;=D24),(D24-5+1)/E24,0)</x:f>
        <x:v>0.15384615384615385</x:v>
      </x:c>
      <x:c r="K24" s="69" t="n">
        <x:f>IF(AND(6&gt;=C24,6&lt;=D24),(D24-6+1)/E24,0)</x:f>
        <x:v>0.14102564102564102</x:v>
      </x:c>
      <x:c r="L24" s="69" t="n">
        <x:f>IF(AND(7&gt;=C24,7&lt;=D24),(D24-7+1)/E24,0)</x:f>
        <x:v>0.1282051282051282</x:v>
      </x:c>
      <x:c r="M24" s="69" t="n">
        <x:f>IF(AND(8&gt;=C24,8&lt;=D24),(D24-8+1)/E24,0)</x:f>
        <x:v>0.11538461538461539</x:v>
      </x:c>
      <x:c r="N24" s="69" t="n">
        <x:f>IF(AND(9&gt;=C24,9&lt;=D24),(D24-9+1)/E24,0)</x:f>
        <x:v>0.10256410256410256</x:v>
      </x:c>
      <x:c r="O24" s="69" t="n">
        <x:f>IF(AND(10&gt;=C24,10&lt;=D24),(D24-10+1)/E24,0)</x:f>
        <x:v>0.08974358974358974</x:v>
      </x:c>
      <x:c r="P24" s="69" t="n">
        <x:f>IF(AND(11&gt;=C24,11&lt;=D24),(D24-11+1)/E24,0)</x:f>
        <x:v>0.07692307692307693</x:v>
      </x:c>
      <x:c r="Q24" s="69" t="n">
        <x:f>IF(AND(12&gt;=C24,12&lt;=D24),(D24-12+1)/E24,0)</x:f>
        <x:v>0.0641025641025641</x:v>
      </x:c>
      <x:c r="R24" s="69" t="n">
        <x:f>IF(AND(13&gt;=C24,13&lt;=D24),(D24-13+1)/E24,0)</x:f>
        <x:v>0.05128205128205128</x:v>
      </x:c>
      <x:c r="S24" s="69" t="n">
        <x:f>IF(AND(14&gt;=C24,14&lt;=D24),(D24-14+1)/E24,0)</x:f>
        <x:v>0.038461538461538464</x:v>
      </x:c>
      <x:c r="T24" s="69" t="n">
        <x:f>IF(AND(15&gt;=C24,15&lt;=D24),(D24-15+1)/E24,0)</x:f>
        <x:v>0.02564102564102564</x:v>
      </x:c>
      <x:c r="U24" s="69" t="n">
        <x:f>IF(AND(16&gt;=C24,16&lt;=D24),(D24-16+1)/E24,0)</x:f>
        <x:v>0.01282051282051282</x:v>
      </x:c>
      <x:c r="V24" s="69" t="n">
        <x:f>IF(AND(17&gt;=C24,17&lt;=D24),(D24-17+1)/E24,0)</x:f>
        <x:v>0</x:v>
      </x:c>
      <x:c r="W24" s="69" t="n">
        <x:f>IF(AND(18&gt;=C24,18&lt;=D24),(D24-18+1)/E24,0)</x:f>
        <x:v>0</x:v>
      </x:c>
      <x:c r="X24" s="69" t="n">
        <x:f>IF(AND(19&gt;=C24,19&lt;=D24),(D24-19+1)/E24,0)</x:f>
        <x:v>0</x:v>
      </x:c>
      <x:c r="Y24" s="69" t="n">
        <x:f>IF(AND(20&gt;=C24,20&lt;=D24),(D24-20+1)/E24,0)</x:f>
        <x:v>0</x:v>
      </x:c>
      <x:c r="Z24" s="69" t="n">
        <x:f>IF(AND(21&gt;=C24,21&lt;=D24),(D24-21+1)/E24,0)</x:f>
        <x:v>0</x:v>
      </x:c>
      <x:c r="AA24" s="69" t="n">
        <x:f>IF(AND(22&gt;=C24,22&lt;=D24),(D24-22+1)/E24,0)</x:f>
        <x:v>0</x:v>
      </x:c>
      <x:c r="AB24" s="69" t="n">
        <x:f>IF(AND(23&gt;=C24,23&lt;=D24),(D24-23+1)/E24,0)</x:f>
        <x:v>0</x:v>
      </x:c>
      <x:c r="AC24" s="69" t="n">
        <x:f>IF(AND(24&gt;=C24,24&lt;=D24),(D24-24+1)/E24,0)</x:f>
        <x:v>0</x:v>
      </x:c>
      <x:c r="AD24" s="69" t="n">
        <x:f>IF(AND(25&gt;=C24,25&lt;=D24),(D24-25+1)/E24,0)</x:f>
        <x:v>0</x:v>
      </x:c>
      <x:c r="AE24" s="69" t="n">
        <x:f>IF(AND(26&gt;=C24,26&lt;=D24),(D24-26+1)/E24,0)</x:f>
        <x:v>0</x:v>
      </x:c>
      <x:c r="AF24" s="69" t="n">
        <x:f>IF(AND(27&gt;=C24,27&lt;=D24),(D24-27+1)/E24,0)</x:f>
        <x:v>0</x:v>
      </x:c>
      <x:c r="AG24" s="69" t="n">
        <x:f>IF(AND(28&gt;=C24,28&lt;=D24),(D24-28+1)/E24,0)</x:f>
        <x:v>0</x:v>
      </x:c>
      <x:c r="AH24" s="69" t="n">
        <x:f>IF(AND(29&gt;=C24,29&lt;=D24),(D24-29+1)/E24,0)</x:f>
        <x:v>0</x:v>
      </x:c>
      <x:c r="AI24" s="69" t="n">
        <x:f>IF(AND(30&gt;=C24,30&lt;=D24),(D24-30+1)/E24,0)</x:f>
        <x:v>0</x:v>
      </x:c>
      <x:c r="AJ24" s="69" t="n">
        <x:f>IF(AND(31&gt;=C24,31&lt;=D24),(D24-31+1)/E24,0)</x:f>
        <x:v>0</x:v>
      </x:c>
      <x:c r="AK24" s="69" t="n">
        <x:f>IF(AND(32&gt;=C24,32&lt;=D24),(D24-32+1)/E24,0)</x:f>
        <x:v>0</x:v>
      </x:c>
      <x:c r="AL24" s="69" t="n">
        <x:f>SUM(F24:AK24)</x:f>
        <x:v>1</x:v>
      </x:c>
    </x:row>
    <x:row r="25" ht="23" customHeight="1">
      <x:c r="A25" s="54" t="str">
        <x:v>FW05</x:v>
      </x:c>
      <x:c r="B25" s="54" t="str">
        <x:v>Formwork</x:v>
      </x:c>
      <x:c r="C25" s="70" t="n">
        <x:v>3</x:v>
      </x:c>
      <x:c r="D25" s="70" t="n">
        <x:v>6</x:v>
      </x:c>
      <x:c r="E25" s="71" t="n">
        <x:f>(D25-C25+1)*(D25-C25+2)/2</x:f>
        <x:v>10</x:v>
      </x:c>
      <x:c r="F25" s="72" t="n">
        <x:f>IF(AND(1&gt;=C25,1&lt;=D25),(D25-1+1)/E25,0)</x:f>
        <x:v>0</x:v>
      </x:c>
      <x:c r="G25" s="72" t="n">
        <x:f>IF(AND(2&gt;=C25,2&lt;=D25),(D25-2+1)/E25,0)</x:f>
        <x:v>0</x:v>
      </x:c>
      <x:c r="H25" s="72" t="n">
        <x:f>IF(AND(3&gt;=C25,3&lt;=D25),(D25-3+1)/E25,0)</x:f>
        <x:v>0.4</x:v>
      </x:c>
      <x:c r="I25" s="72" t="n">
        <x:f>IF(AND(4&gt;=C25,4&lt;=D25),(D25-4+1)/E25,0)</x:f>
        <x:v>0.3</x:v>
      </x:c>
      <x:c r="J25" s="72" t="n">
        <x:f>IF(AND(5&gt;=C25,5&lt;=D25),(D25-5+1)/E25,0)</x:f>
        <x:v>0.2</x:v>
      </x:c>
      <x:c r="K25" s="72" t="n">
        <x:f>IF(AND(6&gt;=C25,6&lt;=D25),(D25-6+1)/E25,0)</x:f>
        <x:v>0.1</x:v>
      </x:c>
      <x:c r="L25" s="72" t="n">
        <x:f>IF(AND(7&gt;=C25,7&lt;=D25),(D25-7+1)/E25,0)</x:f>
        <x:v>0</x:v>
      </x:c>
      <x:c r="M25" s="72" t="n">
        <x:f>IF(AND(8&gt;=C25,8&lt;=D25),(D25-8+1)/E25,0)</x:f>
        <x:v>0</x:v>
      </x:c>
      <x:c r="N25" s="72" t="n">
        <x:f>IF(AND(9&gt;=C25,9&lt;=D25),(D25-9+1)/E25,0)</x:f>
        <x:v>0</x:v>
      </x:c>
      <x:c r="O25" s="72" t="n">
        <x:f>IF(AND(10&gt;=C25,10&lt;=D25),(D25-10+1)/E25,0)</x:f>
        <x:v>0</x:v>
      </x:c>
      <x:c r="P25" s="72" t="n">
        <x:f>IF(AND(11&gt;=C25,11&lt;=D25),(D25-11+1)/E25,0)</x:f>
        <x:v>0</x:v>
      </x:c>
      <x:c r="Q25" s="72" t="n">
        <x:f>IF(AND(12&gt;=C25,12&lt;=D25),(D25-12+1)/E25,0)</x:f>
        <x:v>0</x:v>
      </x:c>
      <x:c r="R25" s="72" t="n">
        <x:f>IF(AND(13&gt;=C25,13&lt;=D25),(D25-13+1)/E25,0)</x:f>
        <x:v>0</x:v>
      </x:c>
      <x:c r="S25" s="72" t="n">
        <x:f>IF(AND(14&gt;=C25,14&lt;=D25),(D25-14+1)/E25,0)</x:f>
        <x:v>0</x:v>
      </x:c>
      <x:c r="T25" s="72" t="n">
        <x:f>IF(AND(15&gt;=C25,15&lt;=D25),(D25-15+1)/E25,0)</x:f>
        <x:v>0</x:v>
      </x:c>
      <x:c r="U25" s="72" t="n">
        <x:f>IF(AND(16&gt;=C25,16&lt;=D25),(D25-16+1)/E25,0)</x:f>
        <x:v>0</x:v>
      </x:c>
      <x:c r="V25" s="72" t="n">
        <x:f>IF(AND(17&gt;=C25,17&lt;=D25),(D25-17+1)/E25,0)</x:f>
        <x:v>0</x:v>
      </x:c>
      <x:c r="W25" s="72" t="n">
        <x:f>IF(AND(18&gt;=C25,18&lt;=D25),(D25-18+1)/E25,0)</x:f>
        <x:v>0</x:v>
      </x:c>
      <x:c r="X25" s="72" t="n">
        <x:f>IF(AND(19&gt;=C25,19&lt;=D25),(D25-19+1)/E25,0)</x:f>
        <x:v>0</x:v>
      </x:c>
      <x:c r="Y25" s="72" t="n">
        <x:f>IF(AND(20&gt;=C25,20&lt;=D25),(D25-20+1)/E25,0)</x:f>
        <x:v>0</x:v>
      </x:c>
      <x:c r="Z25" s="72" t="n">
        <x:f>IF(AND(21&gt;=C25,21&lt;=D25),(D25-21+1)/E25,0)</x:f>
        <x:v>0</x:v>
      </x:c>
      <x:c r="AA25" s="72" t="n">
        <x:f>IF(AND(22&gt;=C25,22&lt;=D25),(D25-22+1)/E25,0)</x:f>
        <x:v>0</x:v>
      </x:c>
      <x:c r="AB25" s="72" t="n">
        <x:f>IF(AND(23&gt;=C25,23&lt;=D25),(D25-23+1)/E25,0)</x:f>
        <x:v>0</x:v>
      </x:c>
      <x:c r="AC25" s="72" t="n">
        <x:f>IF(AND(24&gt;=C25,24&lt;=D25),(D25-24+1)/E25,0)</x:f>
        <x:v>0</x:v>
      </x:c>
      <x:c r="AD25" s="72" t="n">
        <x:f>IF(AND(25&gt;=C25,25&lt;=D25),(D25-25+1)/E25,0)</x:f>
        <x:v>0</x:v>
      </x:c>
      <x:c r="AE25" s="72" t="n">
        <x:f>IF(AND(26&gt;=C25,26&lt;=D25),(D25-26+1)/E25,0)</x:f>
        <x:v>0</x:v>
      </x:c>
      <x:c r="AF25" s="72" t="n">
        <x:f>IF(AND(27&gt;=C25,27&lt;=D25),(D25-27+1)/E25,0)</x:f>
        <x:v>0</x:v>
      </x:c>
      <x:c r="AG25" s="72" t="n">
        <x:f>IF(AND(28&gt;=C25,28&lt;=D25),(D25-28+1)/E25,0)</x:f>
        <x:v>0</x:v>
      </x:c>
      <x:c r="AH25" s="72" t="n">
        <x:f>IF(AND(29&gt;=C25,29&lt;=D25),(D25-29+1)/E25,0)</x:f>
        <x:v>0</x:v>
      </x:c>
      <x:c r="AI25" s="72" t="n">
        <x:f>IF(AND(30&gt;=C25,30&lt;=D25),(D25-30+1)/E25,0)</x:f>
        <x:v>0</x:v>
      </x:c>
      <x:c r="AJ25" s="72" t="n">
        <x:f>IF(AND(31&gt;=C25,31&lt;=D25),(D25-31+1)/E25,0)</x:f>
        <x:v>0</x:v>
      </x:c>
      <x:c r="AK25" s="72" t="n">
        <x:f>IF(AND(32&gt;=C25,32&lt;=D25),(D25-32+1)/E25,0)</x:f>
        <x:v>0</x:v>
      </x:c>
      <x:c r="AL25" s="72" t="n">
        <x:f>SUM(F25:AK25)</x:f>
        <x:v>0.9999999999999999</x:v>
      </x:c>
    </x:row>
    <x:row r="26" ht="23" customHeight="1">
      <x:c r="A26" s="52" t="str">
        <x:v>FW06</x:v>
      </x:c>
      <x:c r="B26" s="52" t="str">
        <x:v>Formwork</x:v>
      </x:c>
      <x:c r="C26" s="67" t="n">
        <x:v>5</x:v>
      </x:c>
      <x:c r="D26" s="67" t="n">
        <x:v>8</x:v>
      </x:c>
      <x:c r="E26" s="68" t="n">
        <x:f>(D26-C26+1)*(D26-C26+2)/2</x:f>
        <x:v>10</x:v>
      </x:c>
      <x:c r="F26" s="69" t="n">
        <x:f>IF(AND(1&gt;=C26,1&lt;=D26),(D26-1+1)/E26,0)</x:f>
        <x:v>0</x:v>
      </x:c>
      <x:c r="G26" s="69" t="n">
        <x:f>IF(AND(2&gt;=C26,2&lt;=D26),(D26-2+1)/E26,0)</x:f>
        <x:v>0</x:v>
      </x:c>
      <x:c r="H26" s="69" t="n">
        <x:f>IF(AND(3&gt;=C26,3&lt;=D26),(D26-3+1)/E26,0)</x:f>
        <x:v>0</x:v>
      </x:c>
      <x:c r="I26" s="69" t="n">
        <x:f>IF(AND(4&gt;=C26,4&lt;=D26),(D26-4+1)/E26,0)</x:f>
        <x:v>0</x:v>
      </x:c>
      <x:c r="J26" s="69" t="n">
        <x:f>IF(AND(5&gt;=C26,5&lt;=D26),(D26-5+1)/E26,0)</x:f>
        <x:v>0.4</x:v>
      </x:c>
      <x:c r="K26" s="69" t="n">
        <x:f>IF(AND(6&gt;=C26,6&lt;=D26),(D26-6+1)/E26,0)</x:f>
        <x:v>0.3</x:v>
      </x:c>
      <x:c r="L26" s="69" t="n">
        <x:f>IF(AND(7&gt;=C26,7&lt;=D26),(D26-7+1)/E26,0)</x:f>
        <x:v>0.2</x:v>
      </x:c>
      <x:c r="M26" s="69" t="n">
        <x:f>IF(AND(8&gt;=C26,8&lt;=D26),(D26-8+1)/E26,0)</x:f>
        <x:v>0.1</x:v>
      </x:c>
      <x:c r="N26" s="69" t="n">
        <x:f>IF(AND(9&gt;=C26,9&lt;=D26),(D26-9+1)/E26,0)</x:f>
        <x:v>0</x:v>
      </x:c>
      <x:c r="O26" s="69" t="n">
        <x:f>IF(AND(10&gt;=C26,10&lt;=D26),(D26-10+1)/E26,0)</x:f>
        <x:v>0</x:v>
      </x:c>
      <x:c r="P26" s="69" t="n">
        <x:f>IF(AND(11&gt;=C26,11&lt;=D26),(D26-11+1)/E26,0)</x:f>
        <x:v>0</x:v>
      </x:c>
      <x:c r="Q26" s="69" t="n">
        <x:f>IF(AND(12&gt;=C26,12&lt;=D26),(D26-12+1)/E26,0)</x:f>
        <x:v>0</x:v>
      </x:c>
      <x:c r="R26" s="69" t="n">
        <x:f>IF(AND(13&gt;=C26,13&lt;=D26),(D26-13+1)/E26,0)</x:f>
        <x:v>0</x:v>
      </x:c>
      <x:c r="S26" s="69" t="n">
        <x:f>IF(AND(14&gt;=C26,14&lt;=D26),(D26-14+1)/E26,0)</x:f>
        <x:v>0</x:v>
      </x:c>
      <x:c r="T26" s="69" t="n">
        <x:f>IF(AND(15&gt;=C26,15&lt;=D26),(D26-15+1)/E26,0)</x:f>
        <x:v>0</x:v>
      </x:c>
      <x:c r="U26" s="69" t="n">
        <x:f>IF(AND(16&gt;=C26,16&lt;=D26),(D26-16+1)/E26,0)</x:f>
        <x:v>0</x:v>
      </x:c>
      <x:c r="V26" s="69" t="n">
        <x:f>IF(AND(17&gt;=C26,17&lt;=D26),(D26-17+1)/E26,0)</x:f>
        <x:v>0</x:v>
      </x:c>
      <x:c r="W26" s="69" t="n">
        <x:f>IF(AND(18&gt;=C26,18&lt;=D26),(D26-18+1)/E26,0)</x:f>
        <x:v>0</x:v>
      </x:c>
      <x:c r="X26" s="69" t="n">
        <x:f>IF(AND(19&gt;=C26,19&lt;=D26),(D26-19+1)/E26,0)</x:f>
        <x:v>0</x:v>
      </x:c>
      <x:c r="Y26" s="69" t="n">
        <x:f>IF(AND(20&gt;=C26,20&lt;=D26),(D26-20+1)/E26,0)</x:f>
        <x:v>0</x:v>
      </x:c>
      <x:c r="Z26" s="69" t="n">
        <x:f>IF(AND(21&gt;=C26,21&lt;=D26),(D26-21+1)/E26,0)</x:f>
        <x:v>0</x:v>
      </x:c>
      <x:c r="AA26" s="69" t="n">
        <x:f>IF(AND(22&gt;=C26,22&lt;=D26),(D26-22+1)/E26,0)</x:f>
        <x:v>0</x:v>
      </x:c>
      <x:c r="AB26" s="69" t="n">
        <x:f>IF(AND(23&gt;=C26,23&lt;=D26),(D26-23+1)/E26,0)</x:f>
        <x:v>0</x:v>
      </x:c>
      <x:c r="AC26" s="69" t="n">
        <x:f>IF(AND(24&gt;=C26,24&lt;=D26),(D26-24+1)/E26,0)</x:f>
        <x:v>0</x:v>
      </x:c>
      <x:c r="AD26" s="69" t="n">
        <x:f>IF(AND(25&gt;=C26,25&lt;=D26),(D26-25+1)/E26,0)</x:f>
        <x:v>0</x:v>
      </x:c>
      <x:c r="AE26" s="69" t="n">
        <x:f>IF(AND(26&gt;=C26,26&lt;=D26),(D26-26+1)/E26,0)</x:f>
        <x:v>0</x:v>
      </x:c>
      <x:c r="AF26" s="69" t="n">
        <x:f>IF(AND(27&gt;=C26,27&lt;=D26),(D26-27+1)/E26,0)</x:f>
        <x:v>0</x:v>
      </x:c>
      <x:c r="AG26" s="69" t="n">
        <x:f>IF(AND(28&gt;=C26,28&lt;=D26),(D26-28+1)/E26,0)</x:f>
        <x:v>0</x:v>
      </x:c>
      <x:c r="AH26" s="69" t="n">
        <x:f>IF(AND(29&gt;=C26,29&lt;=D26),(D26-29+1)/E26,0)</x:f>
        <x:v>0</x:v>
      </x:c>
      <x:c r="AI26" s="69" t="n">
        <x:f>IF(AND(30&gt;=C26,30&lt;=D26),(D26-30+1)/E26,0)</x:f>
        <x:v>0</x:v>
      </x:c>
      <x:c r="AJ26" s="69" t="n">
        <x:f>IF(AND(31&gt;=C26,31&lt;=D26),(D26-31+1)/E26,0)</x:f>
        <x:v>0</x:v>
      </x:c>
      <x:c r="AK26" s="69" t="n">
        <x:f>IF(AND(32&gt;=C26,32&lt;=D26),(D26-32+1)/E26,0)</x:f>
        <x:v>0</x:v>
      </x:c>
      <x:c r="AL26" s="69" t="n">
        <x:f>SUM(F26:AK26)</x:f>
        <x:v>0.9999999999999999</x:v>
      </x:c>
    </x:row>
    <x:row r="27" ht="23" customHeight="1">
      <x:c r="A27" s="54" t="str">
        <x:v>EN01</x:v>
      </x:c>
      <x:c r="B27" s="54" t="str">
        <x:v>Envelope</x:v>
      </x:c>
      <x:c r="C27" s="70" t="n">
        <x:v>2</x:v>
      </x:c>
      <x:c r="D27" s="70" t="n">
        <x:v>6</x:v>
      </x:c>
      <x:c r="E27" s="71" t="n">
        <x:f>(D27-C27+1)*(D27-C27+2)/2</x:f>
        <x:v>15</x:v>
      </x:c>
      <x:c r="F27" s="72" t="n">
        <x:f>IF(AND(1&gt;=C27,1&lt;=D27),(D27-1+1)/E27,0)</x:f>
        <x:v>0</x:v>
      </x:c>
      <x:c r="G27" s="72" t="n">
        <x:f>IF(AND(2&gt;=C27,2&lt;=D27),(D27-2+1)/E27,0)</x:f>
        <x:v>0.3333333333333333</x:v>
      </x:c>
      <x:c r="H27" s="72" t="n">
        <x:f>IF(AND(3&gt;=C27,3&lt;=D27),(D27-3+1)/E27,0)</x:f>
        <x:v>0.26666666666666666</x:v>
      </x:c>
      <x:c r="I27" s="72" t="n">
        <x:f>IF(AND(4&gt;=C27,4&lt;=D27),(D27-4+1)/E27,0)</x:f>
        <x:v>0.2</x:v>
      </x:c>
      <x:c r="J27" s="72" t="n">
        <x:f>IF(AND(5&gt;=C27,5&lt;=D27),(D27-5+1)/E27,0)</x:f>
        <x:v>0.13333333333333333</x:v>
      </x:c>
      <x:c r="K27" s="72" t="n">
        <x:f>IF(AND(6&gt;=C27,6&lt;=D27),(D27-6+1)/E27,0)</x:f>
        <x:v>0.06666666666666667</x:v>
      </x:c>
      <x:c r="L27" s="72" t="n">
        <x:f>IF(AND(7&gt;=C27,7&lt;=D27),(D27-7+1)/E27,0)</x:f>
        <x:v>0</x:v>
      </x:c>
      <x:c r="M27" s="72" t="n">
        <x:f>IF(AND(8&gt;=C27,8&lt;=D27),(D27-8+1)/E27,0)</x:f>
        <x:v>0</x:v>
      </x:c>
      <x:c r="N27" s="72" t="n">
        <x:f>IF(AND(9&gt;=C27,9&lt;=D27),(D27-9+1)/E27,0)</x:f>
        <x:v>0</x:v>
      </x:c>
      <x:c r="O27" s="72" t="n">
        <x:f>IF(AND(10&gt;=C27,10&lt;=D27),(D27-10+1)/E27,0)</x:f>
        <x:v>0</x:v>
      </x:c>
      <x:c r="P27" s="72" t="n">
        <x:f>IF(AND(11&gt;=C27,11&lt;=D27),(D27-11+1)/E27,0)</x:f>
        <x:v>0</x:v>
      </x:c>
      <x:c r="Q27" s="72" t="n">
        <x:f>IF(AND(12&gt;=C27,12&lt;=D27),(D27-12+1)/E27,0)</x:f>
        <x:v>0</x:v>
      </x:c>
      <x:c r="R27" s="72" t="n">
        <x:f>IF(AND(13&gt;=C27,13&lt;=D27),(D27-13+1)/E27,0)</x:f>
        <x:v>0</x:v>
      </x:c>
      <x:c r="S27" s="72" t="n">
        <x:f>IF(AND(14&gt;=C27,14&lt;=D27),(D27-14+1)/E27,0)</x:f>
        <x:v>0</x:v>
      </x:c>
      <x:c r="T27" s="72" t="n">
        <x:f>IF(AND(15&gt;=C27,15&lt;=D27),(D27-15+1)/E27,0)</x:f>
        <x:v>0</x:v>
      </x:c>
      <x:c r="U27" s="72" t="n">
        <x:f>IF(AND(16&gt;=C27,16&lt;=D27),(D27-16+1)/E27,0)</x:f>
        <x:v>0</x:v>
      </x:c>
      <x:c r="V27" s="72" t="n">
        <x:f>IF(AND(17&gt;=C27,17&lt;=D27),(D27-17+1)/E27,0)</x:f>
        <x:v>0</x:v>
      </x:c>
      <x:c r="W27" s="72" t="n">
        <x:f>IF(AND(18&gt;=C27,18&lt;=D27),(D27-18+1)/E27,0)</x:f>
        <x:v>0</x:v>
      </x:c>
      <x:c r="X27" s="72" t="n">
        <x:f>IF(AND(19&gt;=C27,19&lt;=D27),(D27-19+1)/E27,0)</x:f>
        <x:v>0</x:v>
      </x:c>
      <x:c r="Y27" s="72" t="n">
        <x:f>IF(AND(20&gt;=C27,20&lt;=D27),(D27-20+1)/E27,0)</x:f>
        <x:v>0</x:v>
      </x:c>
      <x:c r="Z27" s="72" t="n">
        <x:f>IF(AND(21&gt;=C27,21&lt;=D27),(D27-21+1)/E27,0)</x:f>
        <x:v>0</x:v>
      </x:c>
      <x:c r="AA27" s="72" t="n">
        <x:f>IF(AND(22&gt;=C27,22&lt;=D27),(D27-22+1)/E27,0)</x:f>
        <x:v>0</x:v>
      </x:c>
      <x:c r="AB27" s="72" t="n">
        <x:f>IF(AND(23&gt;=C27,23&lt;=D27),(D27-23+1)/E27,0)</x:f>
        <x:v>0</x:v>
      </x:c>
      <x:c r="AC27" s="72" t="n">
        <x:f>IF(AND(24&gt;=C27,24&lt;=D27),(D27-24+1)/E27,0)</x:f>
        <x:v>0</x:v>
      </x:c>
      <x:c r="AD27" s="72" t="n">
        <x:f>IF(AND(25&gt;=C27,25&lt;=D27),(D27-25+1)/E27,0)</x:f>
        <x:v>0</x:v>
      </x:c>
      <x:c r="AE27" s="72" t="n">
        <x:f>IF(AND(26&gt;=C27,26&lt;=D27),(D27-26+1)/E27,0)</x:f>
        <x:v>0</x:v>
      </x:c>
      <x:c r="AF27" s="72" t="n">
        <x:f>IF(AND(27&gt;=C27,27&lt;=D27),(D27-27+1)/E27,0)</x:f>
        <x:v>0</x:v>
      </x:c>
      <x:c r="AG27" s="72" t="n">
        <x:f>IF(AND(28&gt;=C27,28&lt;=D27),(D27-28+1)/E27,0)</x:f>
        <x:v>0</x:v>
      </x:c>
      <x:c r="AH27" s="72" t="n">
        <x:f>IF(AND(29&gt;=C27,29&lt;=D27),(D27-29+1)/E27,0)</x:f>
        <x:v>0</x:v>
      </x:c>
      <x:c r="AI27" s="72" t="n">
        <x:f>IF(AND(30&gt;=C27,30&lt;=D27),(D27-30+1)/E27,0)</x:f>
        <x:v>0</x:v>
      </x:c>
      <x:c r="AJ27" s="72" t="n">
        <x:f>IF(AND(31&gt;=C27,31&lt;=D27),(D27-31+1)/E27,0)</x:f>
        <x:v>0</x:v>
      </x:c>
      <x:c r="AK27" s="72" t="n">
        <x:f>IF(AND(32&gt;=C27,32&lt;=D27),(D27-32+1)/E27,0)</x:f>
        <x:v>0</x:v>
      </x:c>
      <x:c r="AL27" s="72" t="n">
        <x:f>SUM(F27:AK27)</x:f>
        <x:v>1</x:v>
      </x:c>
    </x:row>
    <x:row r="28" ht="23" customHeight="1">
      <x:c r="A28" s="52" t="str">
        <x:v>EN02</x:v>
      </x:c>
      <x:c r="B28" s="52" t="str">
        <x:v>Envelope</x:v>
      </x:c>
      <x:c r="C28" s="67" t="n">
        <x:v>16</x:v>
      </x:c>
      <x:c r="D28" s="67" t="n">
        <x:v>21</x:v>
      </x:c>
      <x:c r="E28" s="68" t="n">
        <x:f>(D28-C28+1)*(D28-C28+2)/2</x:f>
        <x:v>21</x:v>
      </x:c>
      <x:c r="F28" s="69" t="n">
        <x:f>IF(AND(1&gt;=C28,1&lt;=D28),(D28-1+1)/E28,0)</x:f>
        <x:v>0</x:v>
      </x:c>
      <x:c r="G28" s="69" t="n">
        <x:f>IF(AND(2&gt;=C28,2&lt;=D28),(D28-2+1)/E28,0)</x:f>
        <x:v>0</x:v>
      </x:c>
      <x:c r="H28" s="69" t="n">
        <x:f>IF(AND(3&gt;=C28,3&lt;=D28),(D28-3+1)/E28,0)</x:f>
        <x:v>0</x:v>
      </x:c>
      <x:c r="I28" s="69" t="n">
        <x:f>IF(AND(4&gt;=C28,4&lt;=D28),(D28-4+1)/E28,0)</x:f>
        <x:v>0</x:v>
      </x:c>
      <x:c r="J28" s="69" t="n">
        <x:f>IF(AND(5&gt;=C28,5&lt;=D28),(D28-5+1)/E28,0)</x:f>
        <x:v>0</x:v>
      </x:c>
      <x:c r="K28" s="69" t="n">
        <x:f>IF(AND(6&gt;=C28,6&lt;=D28),(D28-6+1)/E28,0)</x:f>
        <x:v>0</x:v>
      </x:c>
      <x:c r="L28" s="69" t="n">
        <x:f>IF(AND(7&gt;=C28,7&lt;=D28),(D28-7+1)/E28,0)</x:f>
        <x:v>0</x:v>
      </x:c>
      <x:c r="M28" s="69" t="n">
        <x:f>IF(AND(8&gt;=C28,8&lt;=D28),(D28-8+1)/E28,0)</x:f>
        <x:v>0</x:v>
      </x:c>
      <x:c r="N28" s="69" t="n">
        <x:f>IF(AND(9&gt;=C28,9&lt;=D28),(D28-9+1)/E28,0)</x:f>
        <x:v>0</x:v>
      </x:c>
      <x:c r="O28" s="69" t="n">
        <x:f>IF(AND(10&gt;=C28,10&lt;=D28),(D28-10+1)/E28,0)</x:f>
        <x:v>0</x:v>
      </x:c>
      <x:c r="P28" s="69" t="n">
        <x:f>IF(AND(11&gt;=C28,11&lt;=D28),(D28-11+1)/E28,0)</x:f>
        <x:v>0</x:v>
      </x:c>
      <x:c r="Q28" s="69" t="n">
        <x:f>IF(AND(12&gt;=C28,12&lt;=D28),(D28-12+1)/E28,0)</x:f>
        <x:v>0</x:v>
      </x:c>
      <x:c r="R28" s="69" t="n">
        <x:f>IF(AND(13&gt;=C28,13&lt;=D28),(D28-13+1)/E28,0)</x:f>
        <x:v>0</x:v>
      </x:c>
      <x:c r="S28" s="69" t="n">
        <x:f>IF(AND(14&gt;=C28,14&lt;=D28),(D28-14+1)/E28,0)</x:f>
        <x:v>0</x:v>
      </x:c>
      <x:c r="T28" s="69" t="n">
        <x:f>IF(AND(15&gt;=C28,15&lt;=D28),(D28-15+1)/E28,0)</x:f>
        <x:v>0</x:v>
      </x:c>
      <x:c r="U28" s="69" t="n">
        <x:f>IF(AND(16&gt;=C28,16&lt;=D28),(D28-16+1)/E28,0)</x:f>
        <x:v>0.2857142857142857</x:v>
      </x:c>
      <x:c r="V28" s="69" t="n">
        <x:f>IF(AND(17&gt;=C28,17&lt;=D28),(D28-17+1)/E28,0)</x:f>
        <x:v>0.23809523809523808</x:v>
      </x:c>
      <x:c r="W28" s="69" t="n">
        <x:f>IF(AND(18&gt;=C28,18&lt;=D28),(D28-18+1)/E28,0)</x:f>
        <x:v>0.19047619047619047</x:v>
      </x:c>
      <x:c r="X28" s="69" t="n">
        <x:f>IF(AND(19&gt;=C28,19&lt;=D28),(D28-19+1)/E28,0)</x:f>
        <x:v>0.14285714285714285</x:v>
      </x:c>
      <x:c r="Y28" s="69" t="n">
        <x:f>IF(AND(20&gt;=C28,20&lt;=D28),(D28-20+1)/E28,0)</x:f>
        <x:v>0.09523809523809523</x:v>
      </x:c>
      <x:c r="Z28" s="69" t="n">
        <x:f>IF(AND(21&gt;=C28,21&lt;=D28),(D28-21+1)/E28,0)</x:f>
        <x:v>0.047619047619047616</x:v>
      </x:c>
      <x:c r="AA28" s="69" t="n">
        <x:f>IF(AND(22&gt;=C28,22&lt;=D28),(D28-22+1)/E28,0)</x:f>
        <x:v>0</x:v>
      </x:c>
      <x:c r="AB28" s="69" t="n">
        <x:f>IF(AND(23&gt;=C28,23&lt;=D28),(D28-23+1)/E28,0)</x:f>
        <x:v>0</x:v>
      </x:c>
      <x:c r="AC28" s="69" t="n">
        <x:f>IF(AND(24&gt;=C28,24&lt;=D28),(D28-24+1)/E28,0)</x:f>
        <x:v>0</x:v>
      </x:c>
      <x:c r="AD28" s="69" t="n">
        <x:f>IF(AND(25&gt;=C28,25&lt;=D28),(D28-25+1)/E28,0)</x:f>
        <x:v>0</x:v>
      </x:c>
      <x:c r="AE28" s="69" t="n">
        <x:f>IF(AND(26&gt;=C28,26&lt;=D28),(D28-26+1)/E28,0)</x:f>
        <x:v>0</x:v>
      </x:c>
      <x:c r="AF28" s="69" t="n">
        <x:f>IF(AND(27&gt;=C28,27&lt;=D28),(D28-27+1)/E28,0)</x:f>
        <x:v>0</x:v>
      </x:c>
      <x:c r="AG28" s="69" t="n">
        <x:f>IF(AND(28&gt;=C28,28&lt;=D28),(D28-28+1)/E28,0)</x:f>
        <x:v>0</x:v>
      </x:c>
      <x:c r="AH28" s="69" t="n">
        <x:f>IF(AND(29&gt;=C28,29&lt;=D28),(D28-29+1)/E28,0)</x:f>
        <x:v>0</x:v>
      </x:c>
      <x:c r="AI28" s="69" t="n">
        <x:f>IF(AND(30&gt;=C28,30&lt;=D28),(D28-30+1)/E28,0)</x:f>
        <x:v>0</x:v>
      </x:c>
      <x:c r="AJ28" s="69" t="n">
        <x:f>IF(AND(31&gt;=C28,31&lt;=D28),(D28-31+1)/E28,0)</x:f>
        <x:v>0</x:v>
      </x:c>
      <x:c r="AK28" s="69" t="n">
        <x:f>IF(AND(32&gt;=C28,32&lt;=D28),(D28-32+1)/E28,0)</x:f>
        <x:v>0</x:v>
      </x:c>
      <x:c r="AL28" s="69" t="n">
        <x:f>SUM(F28:AK28)</x:f>
        <x:v>0.9999999999999998</x:v>
      </x:c>
    </x:row>
    <x:row r="29" ht="23" customHeight="1">
      <x:c r="A29" s="54" t="str">
        <x:v>EN03</x:v>
      </x:c>
      <x:c r="B29" s="54" t="str">
        <x:v>Envelope</x:v>
      </x:c>
      <x:c r="C29" s="70" t="n">
        <x:v>12</x:v>
      </x:c>
      <x:c r="D29" s="70" t="n">
        <x:v>22</x:v>
      </x:c>
      <x:c r="E29" s="71" t="n">
        <x:f>(D29-C29+1)*(D29-C29+2)/2</x:f>
        <x:v>66</x:v>
      </x:c>
      <x:c r="F29" s="72" t="n">
        <x:f>IF(AND(1&gt;=C29,1&lt;=D29),(D29-1+1)/E29,0)</x:f>
        <x:v>0</x:v>
      </x:c>
      <x:c r="G29" s="72" t="n">
        <x:f>IF(AND(2&gt;=C29,2&lt;=D29),(D29-2+1)/E29,0)</x:f>
        <x:v>0</x:v>
      </x:c>
      <x:c r="H29" s="72" t="n">
        <x:f>IF(AND(3&gt;=C29,3&lt;=D29),(D29-3+1)/E29,0)</x:f>
        <x:v>0</x:v>
      </x:c>
      <x:c r="I29" s="72" t="n">
        <x:f>IF(AND(4&gt;=C29,4&lt;=D29),(D29-4+1)/E29,0)</x:f>
        <x:v>0</x:v>
      </x:c>
      <x:c r="J29" s="72" t="n">
        <x:f>IF(AND(5&gt;=C29,5&lt;=D29),(D29-5+1)/E29,0)</x:f>
        <x:v>0</x:v>
      </x:c>
      <x:c r="K29" s="72" t="n">
        <x:f>IF(AND(6&gt;=C29,6&lt;=D29),(D29-6+1)/E29,0)</x:f>
        <x:v>0</x:v>
      </x:c>
      <x:c r="L29" s="72" t="n">
        <x:f>IF(AND(7&gt;=C29,7&lt;=D29),(D29-7+1)/E29,0)</x:f>
        <x:v>0</x:v>
      </x:c>
      <x:c r="M29" s="72" t="n">
        <x:f>IF(AND(8&gt;=C29,8&lt;=D29),(D29-8+1)/E29,0)</x:f>
        <x:v>0</x:v>
      </x:c>
      <x:c r="N29" s="72" t="n">
        <x:f>IF(AND(9&gt;=C29,9&lt;=D29),(D29-9+1)/E29,0)</x:f>
        <x:v>0</x:v>
      </x:c>
      <x:c r="O29" s="72" t="n">
        <x:f>IF(AND(10&gt;=C29,10&lt;=D29),(D29-10+1)/E29,0)</x:f>
        <x:v>0</x:v>
      </x:c>
      <x:c r="P29" s="72" t="n">
        <x:f>IF(AND(11&gt;=C29,11&lt;=D29),(D29-11+1)/E29,0)</x:f>
        <x:v>0</x:v>
      </x:c>
      <x:c r="Q29" s="72" t="n">
        <x:f>IF(AND(12&gt;=C29,12&lt;=D29),(D29-12+1)/E29,0)</x:f>
        <x:v>0.16666666666666666</x:v>
      </x:c>
      <x:c r="R29" s="72" t="n">
        <x:f>IF(AND(13&gt;=C29,13&lt;=D29),(D29-13+1)/E29,0)</x:f>
        <x:v>0.15151515151515152</x:v>
      </x:c>
      <x:c r="S29" s="72" t="n">
        <x:f>IF(AND(14&gt;=C29,14&lt;=D29),(D29-14+1)/E29,0)</x:f>
        <x:v>0.13636363636363635</x:v>
      </x:c>
      <x:c r="T29" s="72" t="n">
        <x:f>IF(AND(15&gt;=C29,15&lt;=D29),(D29-15+1)/E29,0)</x:f>
        <x:v>0.12121212121212122</x:v>
      </x:c>
      <x:c r="U29" s="72" t="n">
        <x:f>IF(AND(16&gt;=C29,16&lt;=D29),(D29-16+1)/E29,0)</x:f>
        <x:v>0.10606060606060606</x:v>
      </x:c>
      <x:c r="V29" s="72" t="n">
        <x:f>IF(AND(17&gt;=C29,17&lt;=D29),(D29-17+1)/E29,0)</x:f>
        <x:v>0.09090909090909091</x:v>
      </x:c>
      <x:c r="W29" s="72" t="n">
        <x:f>IF(AND(18&gt;=C29,18&lt;=D29),(D29-18+1)/E29,0)</x:f>
        <x:v>0.07575757575757576</x:v>
      </x:c>
      <x:c r="X29" s="72" t="n">
        <x:f>IF(AND(19&gt;=C29,19&lt;=D29),(D29-19+1)/E29,0)</x:f>
        <x:v>0.06060606060606061</x:v>
      </x:c>
      <x:c r="Y29" s="72" t="n">
        <x:f>IF(AND(20&gt;=C29,20&lt;=D29),(D29-20+1)/E29,0)</x:f>
        <x:v>0.045454545454545456</x:v>
      </x:c>
      <x:c r="Z29" s="72" t="n">
        <x:f>IF(AND(21&gt;=C29,21&lt;=D29),(D29-21+1)/E29,0)</x:f>
        <x:v>0.030303030303030304</x:v>
      </x:c>
      <x:c r="AA29" s="72" t="n">
        <x:f>IF(AND(22&gt;=C29,22&lt;=D29),(D29-22+1)/E29,0)</x:f>
        <x:v>0.015151515151515152</x:v>
      </x:c>
      <x:c r="AB29" s="72" t="n">
        <x:f>IF(AND(23&gt;=C29,23&lt;=D29),(D29-23+1)/E29,0)</x:f>
        <x:v>0</x:v>
      </x:c>
      <x:c r="AC29" s="72" t="n">
        <x:f>IF(AND(24&gt;=C29,24&lt;=D29),(D29-24+1)/E29,0)</x:f>
        <x:v>0</x:v>
      </x:c>
      <x:c r="AD29" s="72" t="n">
        <x:f>IF(AND(25&gt;=C29,25&lt;=D29),(D29-25+1)/E29,0)</x:f>
        <x:v>0</x:v>
      </x:c>
      <x:c r="AE29" s="72" t="n">
        <x:f>IF(AND(26&gt;=C29,26&lt;=D29),(D29-26+1)/E29,0)</x:f>
        <x:v>0</x:v>
      </x:c>
      <x:c r="AF29" s="72" t="n">
        <x:f>IF(AND(27&gt;=C29,27&lt;=D29),(D29-27+1)/E29,0)</x:f>
        <x:v>0</x:v>
      </x:c>
      <x:c r="AG29" s="72" t="n">
        <x:f>IF(AND(28&gt;=C29,28&lt;=D29),(D29-28+1)/E29,0)</x:f>
        <x:v>0</x:v>
      </x:c>
      <x:c r="AH29" s="72" t="n">
        <x:f>IF(AND(29&gt;=C29,29&lt;=D29),(D29-29+1)/E29,0)</x:f>
        <x:v>0</x:v>
      </x:c>
      <x:c r="AI29" s="72" t="n">
        <x:f>IF(AND(30&gt;=C29,30&lt;=D29),(D29-30+1)/E29,0)</x:f>
        <x:v>0</x:v>
      </x:c>
      <x:c r="AJ29" s="72" t="n">
        <x:f>IF(AND(31&gt;=C29,31&lt;=D29),(D29-31+1)/E29,0)</x:f>
        <x:v>0</x:v>
      </x:c>
      <x:c r="AK29" s="72" t="n">
        <x:f>IF(AND(32&gt;=C29,32&lt;=D29),(D29-32+1)/E29,0)</x:f>
        <x:v>0</x:v>
      </x:c>
      <x:c r="AL29" s="72" t="n">
        <x:f>SUM(F29:AK29)</x:f>
        <x:v>1</x:v>
      </x:c>
    </x:row>
    <x:row r="30" ht="23" customHeight="1">
      <x:c r="A30" s="52" t="str">
        <x:v>EN04</x:v>
      </x:c>
      <x:c r="B30" s="52" t="str">
        <x:v>Envelope</x:v>
      </x:c>
      <x:c r="C30" s="67" t="n">
        <x:v>13</x:v>
      </x:c>
      <x:c r="D30" s="67" t="n">
        <x:v>23</x:v>
      </x:c>
      <x:c r="E30" s="68" t="n">
        <x:f>(D30-C30+1)*(D30-C30+2)/2</x:f>
        <x:v>66</x:v>
      </x:c>
      <x:c r="F30" s="69" t="n">
        <x:f>IF(AND(1&gt;=C30,1&lt;=D30),(D30-1+1)/E30,0)</x:f>
        <x:v>0</x:v>
      </x:c>
      <x:c r="G30" s="69" t="n">
        <x:f>IF(AND(2&gt;=C30,2&lt;=D30),(D30-2+1)/E30,0)</x:f>
        <x:v>0</x:v>
      </x:c>
      <x:c r="H30" s="69" t="n">
        <x:f>IF(AND(3&gt;=C30,3&lt;=D30),(D30-3+1)/E30,0)</x:f>
        <x:v>0</x:v>
      </x:c>
      <x:c r="I30" s="69" t="n">
        <x:f>IF(AND(4&gt;=C30,4&lt;=D30),(D30-4+1)/E30,0)</x:f>
        <x:v>0</x:v>
      </x:c>
      <x:c r="J30" s="69" t="n">
        <x:f>IF(AND(5&gt;=C30,5&lt;=D30),(D30-5+1)/E30,0)</x:f>
        <x:v>0</x:v>
      </x:c>
      <x:c r="K30" s="69" t="n">
        <x:f>IF(AND(6&gt;=C30,6&lt;=D30),(D30-6+1)/E30,0)</x:f>
        <x:v>0</x:v>
      </x:c>
      <x:c r="L30" s="69" t="n">
        <x:f>IF(AND(7&gt;=C30,7&lt;=D30),(D30-7+1)/E30,0)</x:f>
        <x:v>0</x:v>
      </x:c>
      <x:c r="M30" s="69" t="n">
        <x:f>IF(AND(8&gt;=C30,8&lt;=D30),(D30-8+1)/E30,0)</x:f>
        <x:v>0</x:v>
      </x:c>
      <x:c r="N30" s="69" t="n">
        <x:f>IF(AND(9&gt;=C30,9&lt;=D30),(D30-9+1)/E30,0)</x:f>
        <x:v>0</x:v>
      </x:c>
      <x:c r="O30" s="69" t="n">
        <x:f>IF(AND(10&gt;=C30,10&lt;=D30),(D30-10+1)/E30,0)</x:f>
        <x:v>0</x:v>
      </x:c>
      <x:c r="P30" s="69" t="n">
        <x:f>IF(AND(11&gt;=C30,11&lt;=D30),(D30-11+1)/E30,0)</x:f>
        <x:v>0</x:v>
      </x:c>
      <x:c r="Q30" s="69" t="n">
        <x:f>IF(AND(12&gt;=C30,12&lt;=D30),(D30-12+1)/E30,0)</x:f>
        <x:v>0</x:v>
      </x:c>
      <x:c r="R30" s="69" t="n">
        <x:f>IF(AND(13&gt;=C30,13&lt;=D30),(D30-13+1)/E30,0)</x:f>
        <x:v>0.16666666666666666</x:v>
      </x:c>
      <x:c r="S30" s="69" t="n">
        <x:f>IF(AND(14&gt;=C30,14&lt;=D30),(D30-14+1)/E30,0)</x:f>
        <x:v>0.15151515151515152</x:v>
      </x:c>
      <x:c r="T30" s="69" t="n">
        <x:f>IF(AND(15&gt;=C30,15&lt;=D30),(D30-15+1)/E30,0)</x:f>
        <x:v>0.13636363636363635</x:v>
      </x:c>
      <x:c r="U30" s="69" t="n">
        <x:f>IF(AND(16&gt;=C30,16&lt;=D30),(D30-16+1)/E30,0)</x:f>
        <x:v>0.12121212121212122</x:v>
      </x:c>
      <x:c r="V30" s="69" t="n">
        <x:f>IF(AND(17&gt;=C30,17&lt;=D30),(D30-17+1)/E30,0)</x:f>
        <x:v>0.10606060606060606</x:v>
      </x:c>
      <x:c r="W30" s="69" t="n">
        <x:f>IF(AND(18&gt;=C30,18&lt;=D30),(D30-18+1)/E30,0)</x:f>
        <x:v>0.09090909090909091</x:v>
      </x:c>
      <x:c r="X30" s="69" t="n">
        <x:f>IF(AND(19&gt;=C30,19&lt;=D30),(D30-19+1)/E30,0)</x:f>
        <x:v>0.07575757575757576</x:v>
      </x:c>
      <x:c r="Y30" s="69" t="n">
        <x:f>IF(AND(20&gt;=C30,20&lt;=D30),(D30-20+1)/E30,0)</x:f>
        <x:v>0.06060606060606061</x:v>
      </x:c>
      <x:c r="Z30" s="69" t="n">
        <x:f>IF(AND(21&gt;=C30,21&lt;=D30),(D30-21+1)/E30,0)</x:f>
        <x:v>0.045454545454545456</x:v>
      </x:c>
      <x:c r="AA30" s="69" t="n">
        <x:f>IF(AND(22&gt;=C30,22&lt;=D30),(D30-22+1)/E30,0)</x:f>
        <x:v>0.030303030303030304</x:v>
      </x:c>
      <x:c r="AB30" s="69" t="n">
        <x:f>IF(AND(23&gt;=C30,23&lt;=D30),(D30-23+1)/E30,0)</x:f>
        <x:v>0.015151515151515152</x:v>
      </x:c>
      <x:c r="AC30" s="69" t="n">
        <x:f>IF(AND(24&gt;=C30,24&lt;=D30),(D30-24+1)/E30,0)</x:f>
        <x:v>0</x:v>
      </x:c>
      <x:c r="AD30" s="69" t="n">
        <x:f>IF(AND(25&gt;=C30,25&lt;=D30),(D30-25+1)/E30,0)</x:f>
        <x:v>0</x:v>
      </x:c>
      <x:c r="AE30" s="69" t="n">
        <x:f>IF(AND(26&gt;=C30,26&lt;=D30),(D30-26+1)/E30,0)</x:f>
        <x:v>0</x:v>
      </x:c>
      <x:c r="AF30" s="69" t="n">
        <x:f>IF(AND(27&gt;=C30,27&lt;=D30),(D30-27+1)/E30,0)</x:f>
        <x:v>0</x:v>
      </x:c>
      <x:c r="AG30" s="69" t="n">
        <x:f>IF(AND(28&gt;=C30,28&lt;=D30),(D30-28+1)/E30,0)</x:f>
        <x:v>0</x:v>
      </x:c>
      <x:c r="AH30" s="69" t="n">
        <x:f>IF(AND(29&gt;=C30,29&lt;=D30),(D30-29+1)/E30,0)</x:f>
        <x:v>0</x:v>
      </x:c>
      <x:c r="AI30" s="69" t="n">
        <x:f>IF(AND(30&gt;=C30,30&lt;=D30),(D30-30+1)/E30,0)</x:f>
        <x:v>0</x:v>
      </x:c>
      <x:c r="AJ30" s="69" t="n">
        <x:f>IF(AND(31&gt;=C30,31&lt;=D30),(D30-31+1)/E30,0)</x:f>
        <x:v>0</x:v>
      </x:c>
      <x:c r="AK30" s="69" t="n">
        <x:f>IF(AND(32&gt;=C30,32&lt;=D30),(D30-32+1)/E30,0)</x:f>
        <x:v>0</x:v>
      </x:c>
      <x:c r="AL30" s="69" t="n">
        <x:f>SUM(F30:AK30)</x:f>
        <x:v>1</x:v>
      </x:c>
    </x:row>
    <x:row r="31" ht="23" customHeight="1">
      <x:c r="A31" s="54" t="str">
        <x:v>AR01</x:v>
      </x:c>
      <x:c r="B31" s="54" t="str">
        <x:v>Finishes</x:v>
      </x:c>
      <x:c r="C31" s="70" t="n">
        <x:v>9</x:v>
      </x:c>
      <x:c r="D31" s="70" t="n">
        <x:v>20</x:v>
      </x:c>
      <x:c r="E31" s="71" t="n">
        <x:f>(D31-C31+1)*(D31-C31+2)/2</x:f>
        <x:v>78</x:v>
      </x:c>
      <x:c r="F31" s="72" t="n">
        <x:f>IF(AND(1&gt;=C31,1&lt;=D31),(D31-1+1)/E31,0)</x:f>
        <x:v>0</x:v>
      </x:c>
      <x:c r="G31" s="72" t="n">
        <x:f>IF(AND(2&gt;=C31,2&lt;=D31),(D31-2+1)/E31,0)</x:f>
        <x:v>0</x:v>
      </x:c>
      <x:c r="H31" s="72" t="n">
        <x:f>IF(AND(3&gt;=C31,3&lt;=D31),(D31-3+1)/E31,0)</x:f>
        <x:v>0</x:v>
      </x:c>
      <x:c r="I31" s="72" t="n">
        <x:f>IF(AND(4&gt;=C31,4&lt;=D31),(D31-4+1)/E31,0)</x:f>
        <x:v>0</x:v>
      </x:c>
      <x:c r="J31" s="72" t="n">
        <x:f>IF(AND(5&gt;=C31,5&lt;=D31),(D31-5+1)/E31,0)</x:f>
        <x:v>0</x:v>
      </x:c>
      <x:c r="K31" s="72" t="n">
        <x:f>IF(AND(6&gt;=C31,6&lt;=D31),(D31-6+1)/E31,0)</x:f>
        <x:v>0</x:v>
      </x:c>
      <x:c r="L31" s="72" t="n">
        <x:f>IF(AND(7&gt;=C31,7&lt;=D31),(D31-7+1)/E31,0)</x:f>
        <x:v>0</x:v>
      </x:c>
      <x:c r="M31" s="72" t="n">
        <x:f>IF(AND(8&gt;=C31,8&lt;=D31),(D31-8+1)/E31,0)</x:f>
        <x:v>0</x:v>
      </x:c>
      <x:c r="N31" s="72" t="n">
        <x:f>IF(AND(9&gt;=C31,9&lt;=D31),(D31-9+1)/E31,0)</x:f>
        <x:v>0.15384615384615385</x:v>
      </x:c>
      <x:c r="O31" s="72" t="n">
        <x:f>IF(AND(10&gt;=C31,10&lt;=D31),(D31-10+1)/E31,0)</x:f>
        <x:v>0.14102564102564102</x:v>
      </x:c>
      <x:c r="P31" s="72" t="n">
        <x:f>IF(AND(11&gt;=C31,11&lt;=D31),(D31-11+1)/E31,0)</x:f>
        <x:v>0.1282051282051282</x:v>
      </x:c>
      <x:c r="Q31" s="72" t="n">
        <x:f>IF(AND(12&gt;=C31,12&lt;=D31),(D31-12+1)/E31,0)</x:f>
        <x:v>0.11538461538461539</x:v>
      </x:c>
      <x:c r="R31" s="72" t="n">
        <x:f>IF(AND(13&gt;=C31,13&lt;=D31),(D31-13+1)/E31,0)</x:f>
        <x:v>0.10256410256410256</x:v>
      </x:c>
      <x:c r="S31" s="72" t="n">
        <x:f>IF(AND(14&gt;=C31,14&lt;=D31),(D31-14+1)/E31,0)</x:f>
        <x:v>0.08974358974358974</x:v>
      </x:c>
      <x:c r="T31" s="72" t="n">
        <x:f>IF(AND(15&gt;=C31,15&lt;=D31),(D31-15+1)/E31,0)</x:f>
        <x:v>0.07692307692307693</x:v>
      </x:c>
      <x:c r="U31" s="72" t="n">
        <x:f>IF(AND(16&gt;=C31,16&lt;=D31),(D31-16+1)/E31,0)</x:f>
        <x:v>0.0641025641025641</x:v>
      </x:c>
      <x:c r="V31" s="72" t="n">
        <x:f>IF(AND(17&gt;=C31,17&lt;=D31),(D31-17+1)/E31,0)</x:f>
        <x:v>0.05128205128205128</x:v>
      </x:c>
      <x:c r="W31" s="72" t="n">
        <x:f>IF(AND(18&gt;=C31,18&lt;=D31),(D31-18+1)/E31,0)</x:f>
        <x:v>0.038461538461538464</x:v>
      </x:c>
      <x:c r="X31" s="72" t="n">
        <x:f>IF(AND(19&gt;=C31,19&lt;=D31),(D31-19+1)/E31,0)</x:f>
        <x:v>0.02564102564102564</x:v>
      </x:c>
      <x:c r="Y31" s="72" t="n">
        <x:f>IF(AND(20&gt;=C31,20&lt;=D31),(D31-20+1)/E31,0)</x:f>
        <x:v>0.01282051282051282</x:v>
      </x:c>
      <x:c r="Z31" s="72" t="n">
        <x:f>IF(AND(21&gt;=C31,21&lt;=D31),(D31-21+1)/E31,0)</x:f>
        <x:v>0</x:v>
      </x:c>
      <x:c r="AA31" s="72" t="n">
        <x:f>IF(AND(22&gt;=C31,22&lt;=D31),(D31-22+1)/E31,0)</x:f>
        <x:v>0</x:v>
      </x:c>
      <x:c r="AB31" s="72" t="n">
        <x:f>IF(AND(23&gt;=C31,23&lt;=D31),(D31-23+1)/E31,0)</x:f>
        <x:v>0</x:v>
      </x:c>
      <x:c r="AC31" s="72" t="n">
        <x:f>IF(AND(24&gt;=C31,24&lt;=D31),(D31-24+1)/E31,0)</x:f>
        <x:v>0</x:v>
      </x:c>
      <x:c r="AD31" s="72" t="n">
        <x:f>IF(AND(25&gt;=C31,25&lt;=D31),(D31-25+1)/E31,0)</x:f>
        <x:v>0</x:v>
      </x:c>
      <x:c r="AE31" s="72" t="n">
        <x:f>IF(AND(26&gt;=C31,26&lt;=D31),(D31-26+1)/E31,0)</x:f>
        <x:v>0</x:v>
      </x:c>
      <x:c r="AF31" s="72" t="n">
        <x:f>IF(AND(27&gt;=C31,27&lt;=D31),(D31-27+1)/E31,0)</x:f>
        <x:v>0</x:v>
      </x:c>
      <x:c r="AG31" s="72" t="n">
        <x:f>IF(AND(28&gt;=C31,28&lt;=D31),(D31-28+1)/E31,0)</x:f>
        <x:v>0</x:v>
      </x:c>
      <x:c r="AH31" s="72" t="n">
        <x:f>IF(AND(29&gt;=C31,29&lt;=D31),(D31-29+1)/E31,0)</x:f>
        <x:v>0</x:v>
      </x:c>
      <x:c r="AI31" s="72" t="n">
        <x:f>IF(AND(30&gt;=C31,30&lt;=D31),(D31-30+1)/E31,0)</x:f>
        <x:v>0</x:v>
      </x:c>
      <x:c r="AJ31" s="72" t="n">
        <x:f>IF(AND(31&gt;=C31,31&lt;=D31),(D31-31+1)/E31,0)</x:f>
        <x:v>0</x:v>
      </x:c>
      <x:c r="AK31" s="72" t="n">
        <x:f>IF(AND(32&gt;=C31,32&lt;=D31),(D31-32+1)/E31,0)</x:f>
        <x:v>0</x:v>
      </x:c>
      <x:c r="AL31" s="72" t="n">
        <x:f>SUM(F31:AK31)</x:f>
        <x:v>1</x:v>
      </x:c>
    </x:row>
    <x:row r="32" ht="23" customHeight="1">
      <x:c r="A32" s="52" t="str">
        <x:v>AR02</x:v>
      </x:c>
      <x:c r="B32" s="52" t="str">
        <x:v>Finishes</x:v>
      </x:c>
      <x:c r="C32" s="67" t="n">
        <x:v>12</x:v>
      </x:c>
      <x:c r="D32" s="67" t="n">
        <x:v>22</x:v>
      </x:c>
      <x:c r="E32" s="68" t="n">
        <x:f>(D32-C32+1)*(D32-C32+2)/2</x:f>
        <x:v>66</x:v>
      </x:c>
      <x:c r="F32" s="69" t="n">
        <x:f>IF(AND(1&gt;=C32,1&lt;=D32),(D32-1+1)/E32,0)</x:f>
        <x:v>0</x:v>
      </x:c>
      <x:c r="G32" s="69" t="n">
        <x:f>IF(AND(2&gt;=C32,2&lt;=D32),(D32-2+1)/E32,0)</x:f>
        <x:v>0</x:v>
      </x:c>
      <x:c r="H32" s="69" t="n">
        <x:f>IF(AND(3&gt;=C32,3&lt;=D32),(D32-3+1)/E32,0)</x:f>
        <x:v>0</x:v>
      </x:c>
      <x:c r="I32" s="69" t="n">
        <x:f>IF(AND(4&gt;=C32,4&lt;=D32),(D32-4+1)/E32,0)</x:f>
        <x:v>0</x:v>
      </x:c>
      <x:c r="J32" s="69" t="n">
        <x:f>IF(AND(5&gt;=C32,5&lt;=D32),(D32-5+1)/E32,0)</x:f>
        <x:v>0</x:v>
      </x:c>
      <x:c r="K32" s="69" t="n">
        <x:f>IF(AND(6&gt;=C32,6&lt;=D32),(D32-6+1)/E32,0)</x:f>
        <x:v>0</x:v>
      </x:c>
      <x:c r="L32" s="69" t="n">
        <x:f>IF(AND(7&gt;=C32,7&lt;=D32),(D32-7+1)/E32,0)</x:f>
        <x:v>0</x:v>
      </x:c>
      <x:c r="M32" s="69" t="n">
        <x:f>IF(AND(8&gt;=C32,8&lt;=D32),(D32-8+1)/E32,0)</x:f>
        <x:v>0</x:v>
      </x:c>
      <x:c r="N32" s="69" t="n">
        <x:f>IF(AND(9&gt;=C32,9&lt;=D32),(D32-9+1)/E32,0)</x:f>
        <x:v>0</x:v>
      </x:c>
      <x:c r="O32" s="69" t="n">
        <x:f>IF(AND(10&gt;=C32,10&lt;=D32),(D32-10+1)/E32,0)</x:f>
        <x:v>0</x:v>
      </x:c>
      <x:c r="P32" s="69" t="n">
        <x:f>IF(AND(11&gt;=C32,11&lt;=D32),(D32-11+1)/E32,0)</x:f>
        <x:v>0</x:v>
      </x:c>
      <x:c r="Q32" s="69" t="n">
        <x:f>IF(AND(12&gt;=C32,12&lt;=D32),(D32-12+1)/E32,0)</x:f>
        <x:v>0.16666666666666666</x:v>
      </x:c>
      <x:c r="R32" s="69" t="n">
        <x:f>IF(AND(13&gt;=C32,13&lt;=D32),(D32-13+1)/E32,0)</x:f>
        <x:v>0.15151515151515152</x:v>
      </x:c>
      <x:c r="S32" s="69" t="n">
        <x:f>IF(AND(14&gt;=C32,14&lt;=D32),(D32-14+1)/E32,0)</x:f>
        <x:v>0.13636363636363635</x:v>
      </x:c>
      <x:c r="T32" s="69" t="n">
        <x:f>IF(AND(15&gt;=C32,15&lt;=D32),(D32-15+1)/E32,0)</x:f>
        <x:v>0.12121212121212122</x:v>
      </x:c>
      <x:c r="U32" s="69" t="n">
        <x:f>IF(AND(16&gt;=C32,16&lt;=D32),(D32-16+1)/E32,0)</x:f>
        <x:v>0.10606060606060606</x:v>
      </x:c>
      <x:c r="V32" s="69" t="n">
        <x:f>IF(AND(17&gt;=C32,17&lt;=D32),(D32-17+1)/E32,0)</x:f>
        <x:v>0.09090909090909091</x:v>
      </x:c>
      <x:c r="W32" s="69" t="n">
        <x:f>IF(AND(18&gt;=C32,18&lt;=D32),(D32-18+1)/E32,0)</x:f>
        <x:v>0.07575757575757576</x:v>
      </x:c>
      <x:c r="X32" s="69" t="n">
        <x:f>IF(AND(19&gt;=C32,19&lt;=D32),(D32-19+1)/E32,0)</x:f>
        <x:v>0.06060606060606061</x:v>
      </x:c>
      <x:c r="Y32" s="69" t="n">
        <x:f>IF(AND(20&gt;=C32,20&lt;=D32),(D32-20+1)/E32,0)</x:f>
        <x:v>0.045454545454545456</x:v>
      </x:c>
      <x:c r="Z32" s="69" t="n">
        <x:f>IF(AND(21&gt;=C32,21&lt;=D32),(D32-21+1)/E32,0)</x:f>
        <x:v>0.030303030303030304</x:v>
      </x:c>
      <x:c r="AA32" s="69" t="n">
        <x:f>IF(AND(22&gt;=C32,22&lt;=D32),(D32-22+1)/E32,0)</x:f>
        <x:v>0.015151515151515152</x:v>
      </x:c>
      <x:c r="AB32" s="69" t="n">
        <x:f>IF(AND(23&gt;=C32,23&lt;=D32),(D32-23+1)/E32,0)</x:f>
        <x:v>0</x:v>
      </x:c>
      <x:c r="AC32" s="69" t="n">
        <x:f>IF(AND(24&gt;=C32,24&lt;=D32),(D32-24+1)/E32,0)</x:f>
        <x:v>0</x:v>
      </x:c>
      <x:c r="AD32" s="69" t="n">
        <x:f>IF(AND(25&gt;=C32,25&lt;=D32),(D32-25+1)/E32,0)</x:f>
        <x:v>0</x:v>
      </x:c>
      <x:c r="AE32" s="69" t="n">
        <x:f>IF(AND(26&gt;=C32,26&lt;=D32),(D32-26+1)/E32,0)</x:f>
        <x:v>0</x:v>
      </x:c>
      <x:c r="AF32" s="69" t="n">
        <x:f>IF(AND(27&gt;=C32,27&lt;=D32),(D32-27+1)/E32,0)</x:f>
        <x:v>0</x:v>
      </x:c>
      <x:c r="AG32" s="69" t="n">
        <x:f>IF(AND(28&gt;=C32,28&lt;=D32),(D32-28+1)/E32,0)</x:f>
        <x:v>0</x:v>
      </x:c>
      <x:c r="AH32" s="69" t="n">
        <x:f>IF(AND(29&gt;=C32,29&lt;=D32),(D32-29+1)/E32,0)</x:f>
        <x:v>0</x:v>
      </x:c>
      <x:c r="AI32" s="69" t="n">
        <x:f>IF(AND(30&gt;=C32,30&lt;=D32),(D32-30+1)/E32,0)</x:f>
        <x:v>0</x:v>
      </x:c>
      <x:c r="AJ32" s="69" t="n">
        <x:f>IF(AND(31&gt;=C32,31&lt;=D32),(D32-31+1)/E32,0)</x:f>
        <x:v>0</x:v>
      </x:c>
      <x:c r="AK32" s="69" t="n">
        <x:f>IF(AND(32&gt;=C32,32&lt;=D32),(D32-32+1)/E32,0)</x:f>
        <x:v>0</x:v>
      </x:c>
      <x:c r="AL32" s="69" t="n">
        <x:f>SUM(F32:AK32)</x:f>
        <x:v>1</x:v>
      </x:c>
    </x:row>
    <x:row r="33" ht="23" customHeight="1">
      <x:c r="A33" s="54" t="str">
        <x:v>AR03</x:v>
      </x:c>
      <x:c r="B33" s="54" t="str">
        <x:v>Finishes</x:v>
      </x:c>
      <x:c r="C33" s="70" t="n">
        <x:v>13</x:v>
      </x:c>
      <x:c r="D33" s="70" t="n">
        <x:v>22</x:v>
      </x:c>
      <x:c r="E33" s="71" t="n">
        <x:f>(D33-C33+1)*(D33-C33+2)/2</x:f>
        <x:v>55</x:v>
      </x:c>
      <x:c r="F33" s="72" t="n">
        <x:f>IF(AND(1&gt;=C33,1&lt;=D33),(D33-1+1)/E33,0)</x:f>
        <x:v>0</x:v>
      </x:c>
      <x:c r="G33" s="72" t="n">
        <x:f>IF(AND(2&gt;=C33,2&lt;=D33),(D33-2+1)/E33,0)</x:f>
        <x:v>0</x:v>
      </x:c>
      <x:c r="H33" s="72" t="n">
        <x:f>IF(AND(3&gt;=C33,3&lt;=D33),(D33-3+1)/E33,0)</x:f>
        <x:v>0</x:v>
      </x:c>
      <x:c r="I33" s="72" t="n">
        <x:f>IF(AND(4&gt;=C33,4&lt;=D33),(D33-4+1)/E33,0)</x:f>
        <x:v>0</x:v>
      </x:c>
      <x:c r="J33" s="72" t="n">
        <x:f>IF(AND(5&gt;=C33,5&lt;=D33),(D33-5+1)/E33,0)</x:f>
        <x:v>0</x:v>
      </x:c>
      <x:c r="K33" s="72" t="n">
        <x:f>IF(AND(6&gt;=C33,6&lt;=D33),(D33-6+1)/E33,0)</x:f>
        <x:v>0</x:v>
      </x:c>
      <x:c r="L33" s="72" t="n">
        <x:f>IF(AND(7&gt;=C33,7&lt;=D33),(D33-7+1)/E33,0)</x:f>
        <x:v>0</x:v>
      </x:c>
      <x:c r="M33" s="72" t="n">
        <x:f>IF(AND(8&gt;=C33,8&lt;=D33),(D33-8+1)/E33,0)</x:f>
        <x:v>0</x:v>
      </x:c>
      <x:c r="N33" s="72" t="n">
        <x:f>IF(AND(9&gt;=C33,9&lt;=D33),(D33-9+1)/E33,0)</x:f>
        <x:v>0</x:v>
      </x:c>
      <x:c r="O33" s="72" t="n">
        <x:f>IF(AND(10&gt;=C33,10&lt;=D33),(D33-10+1)/E33,0)</x:f>
        <x:v>0</x:v>
      </x:c>
      <x:c r="P33" s="72" t="n">
        <x:f>IF(AND(11&gt;=C33,11&lt;=D33),(D33-11+1)/E33,0)</x:f>
        <x:v>0</x:v>
      </x:c>
      <x:c r="Q33" s="72" t="n">
        <x:f>IF(AND(12&gt;=C33,12&lt;=D33),(D33-12+1)/E33,0)</x:f>
        <x:v>0</x:v>
      </x:c>
      <x:c r="R33" s="72" t="n">
        <x:f>IF(AND(13&gt;=C33,13&lt;=D33),(D33-13+1)/E33,0)</x:f>
        <x:v>0.18181818181818182</x:v>
      </x:c>
      <x:c r="S33" s="72" t="n">
        <x:f>IF(AND(14&gt;=C33,14&lt;=D33),(D33-14+1)/E33,0)</x:f>
        <x:v>0.16363636363636364</x:v>
      </x:c>
      <x:c r="T33" s="72" t="n">
        <x:f>IF(AND(15&gt;=C33,15&lt;=D33),(D33-15+1)/E33,0)</x:f>
        <x:v>0.14545454545454545</x:v>
      </x:c>
      <x:c r="U33" s="72" t="n">
        <x:f>IF(AND(16&gt;=C33,16&lt;=D33),(D33-16+1)/E33,0)</x:f>
        <x:v>0.12727272727272726</x:v>
      </x:c>
      <x:c r="V33" s="72" t="n">
        <x:f>IF(AND(17&gt;=C33,17&lt;=D33),(D33-17+1)/E33,0)</x:f>
        <x:v>0.10909090909090909</x:v>
      </x:c>
      <x:c r="W33" s="72" t="n">
        <x:f>IF(AND(18&gt;=C33,18&lt;=D33),(D33-18+1)/E33,0)</x:f>
        <x:v>0.09090909090909091</x:v>
      </x:c>
      <x:c r="X33" s="72" t="n">
        <x:f>IF(AND(19&gt;=C33,19&lt;=D33),(D33-19+1)/E33,0)</x:f>
        <x:v>0.07272727272727272</x:v>
      </x:c>
      <x:c r="Y33" s="72" t="n">
        <x:f>IF(AND(20&gt;=C33,20&lt;=D33),(D33-20+1)/E33,0)</x:f>
        <x:v>0.05454545454545454</x:v>
      </x:c>
      <x:c r="Z33" s="72" t="n">
        <x:f>IF(AND(21&gt;=C33,21&lt;=D33),(D33-21+1)/E33,0)</x:f>
        <x:v>0.03636363636363636</x:v>
      </x:c>
      <x:c r="AA33" s="72" t="n">
        <x:f>IF(AND(22&gt;=C33,22&lt;=D33),(D33-22+1)/E33,0)</x:f>
        <x:v>0.01818181818181818</x:v>
      </x:c>
      <x:c r="AB33" s="72" t="n">
        <x:f>IF(AND(23&gt;=C33,23&lt;=D33),(D33-23+1)/E33,0)</x:f>
        <x:v>0</x:v>
      </x:c>
      <x:c r="AC33" s="72" t="n">
        <x:f>IF(AND(24&gt;=C33,24&lt;=D33),(D33-24+1)/E33,0)</x:f>
        <x:v>0</x:v>
      </x:c>
      <x:c r="AD33" s="72" t="n">
        <x:f>IF(AND(25&gt;=C33,25&lt;=D33),(D33-25+1)/E33,0)</x:f>
        <x:v>0</x:v>
      </x:c>
      <x:c r="AE33" s="72" t="n">
        <x:f>IF(AND(26&gt;=C33,26&lt;=D33),(D33-26+1)/E33,0)</x:f>
        <x:v>0</x:v>
      </x:c>
      <x:c r="AF33" s="72" t="n">
        <x:f>IF(AND(27&gt;=C33,27&lt;=D33),(D33-27+1)/E33,0)</x:f>
        <x:v>0</x:v>
      </x:c>
      <x:c r="AG33" s="72" t="n">
        <x:f>IF(AND(28&gt;=C33,28&lt;=D33),(D33-28+1)/E33,0)</x:f>
        <x:v>0</x:v>
      </x:c>
      <x:c r="AH33" s="72" t="n">
        <x:f>IF(AND(29&gt;=C33,29&lt;=D33),(D33-29+1)/E33,0)</x:f>
        <x:v>0</x:v>
      </x:c>
      <x:c r="AI33" s="72" t="n">
        <x:f>IF(AND(30&gt;=C33,30&lt;=D33),(D33-30+1)/E33,0)</x:f>
        <x:v>0</x:v>
      </x:c>
      <x:c r="AJ33" s="72" t="n">
        <x:f>IF(AND(31&gt;=C33,31&lt;=D33),(D33-31+1)/E33,0)</x:f>
        <x:v>0</x:v>
      </x:c>
      <x:c r="AK33" s="72" t="n">
        <x:f>IF(AND(32&gt;=C33,32&lt;=D33),(D33-32+1)/E33,0)</x:f>
        <x:v>0</x:v>
      </x:c>
      <x:c r="AL33" s="72" t="n">
        <x:f>SUM(F33:AK33)</x:f>
        <x:v>1</x:v>
      </x:c>
    </x:row>
    <x:row r="34" ht="23" customHeight="1">
      <x:c r="A34" s="52" t="str">
        <x:v>AR04</x:v>
      </x:c>
      <x:c r="B34" s="52" t="str">
        <x:v>Finishes</x:v>
      </x:c>
      <x:c r="C34" s="67" t="n">
        <x:v>15</x:v>
      </x:c>
      <x:c r="D34" s="67" t="n">
        <x:v>23</x:v>
      </x:c>
      <x:c r="E34" s="68" t="n">
        <x:f>(D34-C34+1)*(D34-C34+2)/2</x:f>
        <x:v>45</x:v>
      </x:c>
      <x:c r="F34" s="69" t="n">
        <x:f>IF(AND(1&gt;=C34,1&lt;=D34),(D34-1+1)/E34,0)</x:f>
        <x:v>0</x:v>
      </x:c>
      <x:c r="G34" s="69" t="n">
        <x:f>IF(AND(2&gt;=C34,2&lt;=D34),(D34-2+1)/E34,0)</x:f>
        <x:v>0</x:v>
      </x:c>
      <x:c r="H34" s="69" t="n">
        <x:f>IF(AND(3&gt;=C34,3&lt;=D34),(D34-3+1)/E34,0)</x:f>
        <x:v>0</x:v>
      </x:c>
      <x:c r="I34" s="69" t="n">
        <x:f>IF(AND(4&gt;=C34,4&lt;=D34),(D34-4+1)/E34,0)</x:f>
        <x:v>0</x:v>
      </x:c>
      <x:c r="J34" s="69" t="n">
        <x:f>IF(AND(5&gt;=C34,5&lt;=D34),(D34-5+1)/E34,0)</x:f>
        <x:v>0</x:v>
      </x:c>
      <x:c r="K34" s="69" t="n">
        <x:f>IF(AND(6&gt;=C34,6&lt;=D34),(D34-6+1)/E34,0)</x:f>
        <x:v>0</x:v>
      </x:c>
      <x:c r="L34" s="69" t="n">
        <x:f>IF(AND(7&gt;=C34,7&lt;=D34),(D34-7+1)/E34,0)</x:f>
        <x:v>0</x:v>
      </x:c>
      <x:c r="M34" s="69" t="n">
        <x:f>IF(AND(8&gt;=C34,8&lt;=D34),(D34-8+1)/E34,0)</x:f>
        <x:v>0</x:v>
      </x:c>
      <x:c r="N34" s="69" t="n">
        <x:f>IF(AND(9&gt;=C34,9&lt;=D34),(D34-9+1)/E34,0)</x:f>
        <x:v>0</x:v>
      </x:c>
      <x:c r="O34" s="69" t="n">
        <x:f>IF(AND(10&gt;=C34,10&lt;=D34),(D34-10+1)/E34,0)</x:f>
        <x:v>0</x:v>
      </x:c>
      <x:c r="P34" s="69" t="n">
        <x:f>IF(AND(11&gt;=C34,11&lt;=D34),(D34-11+1)/E34,0)</x:f>
        <x:v>0</x:v>
      </x:c>
      <x:c r="Q34" s="69" t="n">
        <x:f>IF(AND(12&gt;=C34,12&lt;=D34),(D34-12+1)/E34,0)</x:f>
        <x:v>0</x:v>
      </x:c>
      <x:c r="R34" s="69" t="n">
        <x:f>IF(AND(13&gt;=C34,13&lt;=D34),(D34-13+1)/E34,0)</x:f>
        <x:v>0</x:v>
      </x:c>
      <x:c r="S34" s="69" t="n">
        <x:f>IF(AND(14&gt;=C34,14&lt;=D34),(D34-14+1)/E34,0)</x:f>
        <x:v>0</x:v>
      </x:c>
      <x:c r="T34" s="69" t="n">
        <x:f>IF(AND(15&gt;=C34,15&lt;=D34),(D34-15+1)/E34,0)</x:f>
        <x:v>0.2</x:v>
      </x:c>
      <x:c r="U34" s="69" t="n">
        <x:f>IF(AND(16&gt;=C34,16&lt;=D34),(D34-16+1)/E34,0)</x:f>
        <x:v>0.17777777777777778</x:v>
      </x:c>
      <x:c r="V34" s="69" t="n">
        <x:f>IF(AND(17&gt;=C34,17&lt;=D34),(D34-17+1)/E34,0)</x:f>
        <x:v>0.15555555555555556</x:v>
      </x:c>
      <x:c r="W34" s="69" t="n">
        <x:f>IF(AND(18&gt;=C34,18&lt;=D34),(D34-18+1)/E34,0)</x:f>
        <x:v>0.13333333333333333</x:v>
      </x:c>
      <x:c r="X34" s="69" t="n">
        <x:f>IF(AND(19&gt;=C34,19&lt;=D34),(D34-19+1)/E34,0)</x:f>
        <x:v>0.1111111111111111</x:v>
      </x:c>
      <x:c r="Y34" s="69" t="n">
        <x:f>IF(AND(20&gt;=C34,20&lt;=D34),(D34-20+1)/E34,0)</x:f>
        <x:v>0.08888888888888889</x:v>
      </x:c>
      <x:c r="Z34" s="69" t="n">
        <x:f>IF(AND(21&gt;=C34,21&lt;=D34),(D34-21+1)/E34,0)</x:f>
        <x:v>0.06666666666666667</x:v>
      </x:c>
      <x:c r="AA34" s="69" t="n">
        <x:f>IF(AND(22&gt;=C34,22&lt;=D34),(D34-22+1)/E34,0)</x:f>
        <x:v>0.044444444444444446</x:v>
      </x:c>
      <x:c r="AB34" s="69" t="n">
        <x:f>IF(AND(23&gt;=C34,23&lt;=D34),(D34-23+1)/E34,0)</x:f>
        <x:v>0.022222222222222223</x:v>
      </x:c>
      <x:c r="AC34" s="69" t="n">
        <x:f>IF(AND(24&gt;=C34,24&lt;=D34),(D34-24+1)/E34,0)</x:f>
        <x:v>0</x:v>
      </x:c>
      <x:c r="AD34" s="69" t="n">
        <x:f>IF(AND(25&gt;=C34,25&lt;=D34),(D34-25+1)/E34,0)</x:f>
        <x:v>0</x:v>
      </x:c>
      <x:c r="AE34" s="69" t="n">
        <x:f>IF(AND(26&gt;=C34,26&lt;=D34),(D34-26+1)/E34,0)</x:f>
        <x:v>0</x:v>
      </x:c>
      <x:c r="AF34" s="69" t="n">
        <x:f>IF(AND(27&gt;=C34,27&lt;=D34),(D34-27+1)/E34,0)</x:f>
        <x:v>0</x:v>
      </x:c>
      <x:c r="AG34" s="69" t="n">
        <x:f>IF(AND(28&gt;=C34,28&lt;=D34),(D34-28+1)/E34,0)</x:f>
        <x:v>0</x:v>
      </x:c>
      <x:c r="AH34" s="69" t="n">
        <x:f>IF(AND(29&gt;=C34,29&lt;=D34),(D34-29+1)/E34,0)</x:f>
        <x:v>0</x:v>
      </x:c>
      <x:c r="AI34" s="69" t="n">
        <x:f>IF(AND(30&gt;=C34,30&lt;=D34),(D34-30+1)/E34,0)</x:f>
        <x:v>0</x:v>
      </x:c>
      <x:c r="AJ34" s="69" t="n">
        <x:f>IF(AND(31&gt;=C34,31&lt;=D34),(D34-31+1)/E34,0)</x:f>
        <x:v>0</x:v>
      </x:c>
      <x:c r="AK34" s="69" t="n">
        <x:f>IF(AND(32&gt;=C34,32&lt;=D34),(D34-32+1)/E34,0)</x:f>
        <x:v>0</x:v>
      </x:c>
      <x:c r="AL34" s="69" t="n">
        <x:f>SUM(F34:AK34)</x:f>
        <x:v>0.9999999999999999</x:v>
      </x:c>
    </x:row>
    <x:row r="35" ht="23" customHeight="1">
      <x:c r="A35" s="54" t="str">
        <x:v>AR05</x:v>
      </x:c>
      <x:c r="B35" s="54" t="str">
        <x:v>Finishes</x:v>
      </x:c>
      <x:c r="C35" s="70" t="n">
        <x:v>17</x:v>
      </x:c>
      <x:c r="D35" s="70" t="n">
        <x:v>24</x:v>
      </x:c>
      <x:c r="E35" s="71" t="n">
        <x:f>(D35-C35+1)*(D35-C35+2)/2</x:f>
        <x:v>36</x:v>
      </x:c>
      <x:c r="F35" s="72" t="n">
        <x:f>IF(AND(1&gt;=C35,1&lt;=D35),(D35-1+1)/E35,0)</x:f>
        <x:v>0</x:v>
      </x:c>
      <x:c r="G35" s="72" t="n">
        <x:f>IF(AND(2&gt;=C35,2&lt;=D35),(D35-2+1)/E35,0)</x:f>
        <x:v>0</x:v>
      </x:c>
      <x:c r="H35" s="72" t="n">
        <x:f>IF(AND(3&gt;=C35,3&lt;=D35),(D35-3+1)/E35,0)</x:f>
        <x:v>0</x:v>
      </x:c>
      <x:c r="I35" s="72" t="n">
        <x:f>IF(AND(4&gt;=C35,4&lt;=D35),(D35-4+1)/E35,0)</x:f>
        <x:v>0</x:v>
      </x:c>
      <x:c r="J35" s="72" t="n">
        <x:f>IF(AND(5&gt;=C35,5&lt;=D35),(D35-5+1)/E35,0)</x:f>
        <x:v>0</x:v>
      </x:c>
      <x:c r="K35" s="72" t="n">
        <x:f>IF(AND(6&gt;=C35,6&lt;=D35),(D35-6+1)/E35,0)</x:f>
        <x:v>0</x:v>
      </x:c>
      <x:c r="L35" s="72" t="n">
        <x:f>IF(AND(7&gt;=C35,7&lt;=D35),(D35-7+1)/E35,0)</x:f>
        <x:v>0</x:v>
      </x:c>
      <x:c r="M35" s="72" t="n">
        <x:f>IF(AND(8&gt;=C35,8&lt;=D35),(D35-8+1)/E35,0)</x:f>
        <x:v>0</x:v>
      </x:c>
      <x:c r="N35" s="72" t="n">
        <x:f>IF(AND(9&gt;=C35,9&lt;=D35),(D35-9+1)/E35,0)</x:f>
        <x:v>0</x:v>
      </x:c>
      <x:c r="O35" s="72" t="n">
        <x:f>IF(AND(10&gt;=C35,10&lt;=D35),(D35-10+1)/E35,0)</x:f>
        <x:v>0</x:v>
      </x:c>
      <x:c r="P35" s="72" t="n">
        <x:f>IF(AND(11&gt;=C35,11&lt;=D35),(D35-11+1)/E35,0)</x:f>
        <x:v>0</x:v>
      </x:c>
      <x:c r="Q35" s="72" t="n">
        <x:f>IF(AND(12&gt;=C35,12&lt;=D35),(D35-12+1)/E35,0)</x:f>
        <x:v>0</x:v>
      </x:c>
      <x:c r="R35" s="72" t="n">
        <x:f>IF(AND(13&gt;=C35,13&lt;=D35),(D35-13+1)/E35,0)</x:f>
        <x:v>0</x:v>
      </x:c>
      <x:c r="S35" s="72" t="n">
        <x:f>IF(AND(14&gt;=C35,14&lt;=D35),(D35-14+1)/E35,0)</x:f>
        <x:v>0</x:v>
      </x:c>
      <x:c r="T35" s="72" t="n">
        <x:f>IF(AND(15&gt;=C35,15&lt;=D35),(D35-15+1)/E35,0)</x:f>
        <x:v>0</x:v>
      </x:c>
      <x:c r="U35" s="72" t="n">
        <x:f>IF(AND(16&gt;=C35,16&lt;=D35),(D35-16+1)/E35,0)</x:f>
        <x:v>0</x:v>
      </x:c>
      <x:c r="V35" s="72" t="n">
        <x:f>IF(AND(17&gt;=C35,17&lt;=D35),(D35-17+1)/E35,0)</x:f>
        <x:v>0.2222222222222222</x:v>
      </x:c>
      <x:c r="W35" s="72" t="n">
        <x:f>IF(AND(18&gt;=C35,18&lt;=D35),(D35-18+1)/E35,0)</x:f>
        <x:v>0.19444444444444445</x:v>
      </x:c>
      <x:c r="X35" s="72" t="n">
        <x:f>IF(AND(19&gt;=C35,19&lt;=D35),(D35-19+1)/E35,0)</x:f>
        <x:v>0.16666666666666666</x:v>
      </x:c>
      <x:c r="Y35" s="72" t="n">
        <x:f>IF(AND(20&gt;=C35,20&lt;=D35),(D35-20+1)/E35,0)</x:f>
        <x:v>0.1388888888888889</x:v>
      </x:c>
      <x:c r="Z35" s="72" t="n">
        <x:f>IF(AND(21&gt;=C35,21&lt;=D35),(D35-21+1)/E35,0)</x:f>
        <x:v>0.1111111111111111</x:v>
      </x:c>
      <x:c r="AA35" s="72" t="n">
        <x:f>IF(AND(22&gt;=C35,22&lt;=D35),(D35-22+1)/E35,0)</x:f>
        <x:v>0.08333333333333333</x:v>
      </x:c>
      <x:c r="AB35" s="72" t="n">
        <x:f>IF(AND(23&gt;=C35,23&lt;=D35),(D35-23+1)/E35,0)</x:f>
        <x:v>0.05555555555555555</x:v>
      </x:c>
      <x:c r="AC35" s="72" t="n">
        <x:f>IF(AND(24&gt;=C35,24&lt;=D35),(D35-24+1)/E35,0)</x:f>
        <x:v>0.027777777777777776</x:v>
      </x:c>
      <x:c r="AD35" s="72" t="n">
        <x:f>IF(AND(25&gt;=C35,25&lt;=D35),(D35-25+1)/E35,0)</x:f>
        <x:v>0</x:v>
      </x:c>
      <x:c r="AE35" s="72" t="n">
        <x:f>IF(AND(26&gt;=C35,26&lt;=D35),(D35-26+1)/E35,0)</x:f>
        <x:v>0</x:v>
      </x:c>
      <x:c r="AF35" s="72" t="n">
        <x:f>IF(AND(27&gt;=C35,27&lt;=D35),(D35-27+1)/E35,0)</x:f>
        <x:v>0</x:v>
      </x:c>
      <x:c r="AG35" s="72" t="n">
        <x:f>IF(AND(28&gt;=C35,28&lt;=D35),(D35-28+1)/E35,0)</x:f>
        <x:v>0</x:v>
      </x:c>
      <x:c r="AH35" s="72" t="n">
        <x:f>IF(AND(29&gt;=C35,29&lt;=D35),(D35-29+1)/E35,0)</x:f>
        <x:v>0</x:v>
      </x:c>
      <x:c r="AI35" s="72" t="n">
        <x:f>IF(AND(30&gt;=C35,30&lt;=D35),(D35-30+1)/E35,0)</x:f>
        <x:v>0</x:v>
      </x:c>
      <x:c r="AJ35" s="72" t="n">
        <x:f>IF(AND(31&gt;=C35,31&lt;=D35),(D35-31+1)/E35,0)</x:f>
        <x:v>0</x:v>
      </x:c>
      <x:c r="AK35" s="72" t="n">
        <x:f>IF(AND(32&gt;=C35,32&lt;=D35),(D35-32+1)/E35,0)</x:f>
        <x:v>0</x:v>
      </x:c>
      <x:c r="AL35" s="72" t="n">
        <x:f>SUM(F35:AK35)</x:f>
        <x:v>1</x:v>
      </x:c>
    </x:row>
    <x:row r="36" ht="23" customHeight="1">
      <x:c r="A36" s="52" t="str">
        <x:v>AR06</x:v>
      </x:c>
      <x:c r="B36" s="52" t="str">
        <x:v>Finishes</x:v>
      </x:c>
      <x:c r="C36" s="67" t="n">
        <x:v>18</x:v>
      </x:c>
      <x:c r="D36" s="67" t="n">
        <x:v>24</x:v>
      </x:c>
      <x:c r="E36" s="68" t="n">
        <x:f>(D36-C36+1)*(D36-C36+2)/2</x:f>
        <x:v>28</x:v>
      </x:c>
      <x:c r="F36" s="69" t="n">
        <x:f>IF(AND(1&gt;=C36,1&lt;=D36),(D36-1+1)/E36,0)</x:f>
        <x:v>0</x:v>
      </x:c>
      <x:c r="G36" s="69" t="n">
        <x:f>IF(AND(2&gt;=C36,2&lt;=D36),(D36-2+1)/E36,0)</x:f>
        <x:v>0</x:v>
      </x:c>
      <x:c r="H36" s="69" t="n">
        <x:f>IF(AND(3&gt;=C36,3&lt;=D36),(D36-3+1)/E36,0)</x:f>
        <x:v>0</x:v>
      </x:c>
      <x:c r="I36" s="69" t="n">
        <x:f>IF(AND(4&gt;=C36,4&lt;=D36),(D36-4+1)/E36,0)</x:f>
        <x:v>0</x:v>
      </x:c>
      <x:c r="J36" s="69" t="n">
        <x:f>IF(AND(5&gt;=C36,5&lt;=D36),(D36-5+1)/E36,0)</x:f>
        <x:v>0</x:v>
      </x:c>
      <x:c r="K36" s="69" t="n">
        <x:f>IF(AND(6&gt;=C36,6&lt;=D36),(D36-6+1)/E36,0)</x:f>
        <x:v>0</x:v>
      </x:c>
      <x:c r="L36" s="69" t="n">
        <x:f>IF(AND(7&gt;=C36,7&lt;=D36),(D36-7+1)/E36,0)</x:f>
        <x:v>0</x:v>
      </x:c>
      <x:c r="M36" s="69" t="n">
        <x:f>IF(AND(8&gt;=C36,8&lt;=D36),(D36-8+1)/E36,0)</x:f>
        <x:v>0</x:v>
      </x:c>
      <x:c r="N36" s="69" t="n">
        <x:f>IF(AND(9&gt;=C36,9&lt;=D36),(D36-9+1)/E36,0)</x:f>
        <x:v>0</x:v>
      </x:c>
      <x:c r="O36" s="69" t="n">
        <x:f>IF(AND(10&gt;=C36,10&lt;=D36),(D36-10+1)/E36,0)</x:f>
        <x:v>0</x:v>
      </x:c>
      <x:c r="P36" s="69" t="n">
        <x:f>IF(AND(11&gt;=C36,11&lt;=D36),(D36-11+1)/E36,0)</x:f>
        <x:v>0</x:v>
      </x:c>
      <x:c r="Q36" s="69" t="n">
        <x:f>IF(AND(12&gt;=C36,12&lt;=D36),(D36-12+1)/E36,0)</x:f>
        <x:v>0</x:v>
      </x:c>
      <x:c r="R36" s="69" t="n">
        <x:f>IF(AND(13&gt;=C36,13&lt;=D36),(D36-13+1)/E36,0)</x:f>
        <x:v>0</x:v>
      </x:c>
      <x:c r="S36" s="69" t="n">
        <x:f>IF(AND(14&gt;=C36,14&lt;=D36),(D36-14+1)/E36,0)</x:f>
        <x:v>0</x:v>
      </x:c>
      <x:c r="T36" s="69" t="n">
        <x:f>IF(AND(15&gt;=C36,15&lt;=D36),(D36-15+1)/E36,0)</x:f>
        <x:v>0</x:v>
      </x:c>
      <x:c r="U36" s="69" t="n">
        <x:f>IF(AND(16&gt;=C36,16&lt;=D36),(D36-16+1)/E36,0)</x:f>
        <x:v>0</x:v>
      </x:c>
      <x:c r="V36" s="69" t="n">
        <x:f>IF(AND(17&gt;=C36,17&lt;=D36),(D36-17+1)/E36,0)</x:f>
        <x:v>0</x:v>
      </x:c>
      <x:c r="W36" s="69" t="n">
        <x:f>IF(AND(18&gt;=C36,18&lt;=D36),(D36-18+1)/E36,0)</x:f>
        <x:v>0.25</x:v>
      </x:c>
      <x:c r="X36" s="69" t="n">
        <x:f>IF(AND(19&gt;=C36,19&lt;=D36),(D36-19+1)/E36,0)</x:f>
        <x:v>0.21428571428571427</x:v>
      </x:c>
      <x:c r="Y36" s="69" t="n">
        <x:f>IF(AND(20&gt;=C36,20&lt;=D36),(D36-20+1)/E36,0)</x:f>
        <x:v>0.17857142857142858</x:v>
      </x:c>
      <x:c r="Z36" s="69" t="n">
        <x:f>IF(AND(21&gt;=C36,21&lt;=D36),(D36-21+1)/E36,0)</x:f>
        <x:v>0.14285714285714285</x:v>
      </x:c>
      <x:c r="AA36" s="69" t="n">
        <x:f>IF(AND(22&gt;=C36,22&lt;=D36),(D36-22+1)/E36,0)</x:f>
        <x:v>0.10714285714285714</x:v>
      </x:c>
      <x:c r="AB36" s="69" t="n">
        <x:f>IF(AND(23&gt;=C36,23&lt;=D36),(D36-23+1)/E36,0)</x:f>
        <x:v>0.07142857142857142</x:v>
      </x:c>
      <x:c r="AC36" s="69" t="n">
        <x:f>IF(AND(24&gt;=C36,24&lt;=D36),(D36-24+1)/E36,0)</x:f>
        <x:v>0.03571428571428571</x:v>
      </x:c>
      <x:c r="AD36" s="69" t="n">
        <x:f>IF(AND(25&gt;=C36,25&lt;=D36),(D36-25+1)/E36,0)</x:f>
        <x:v>0</x:v>
      </x:c>
      <x:c r="AE36" s="69" t="n">
        <x:f>IF(AND(26&gt;=C36,26&lt;=D36),(D36-26+1)/E36,0)</x:f>
        <x:v>0</x:v>
      </x:c>
      <x:c r="AF36" s="69" t="n">
        <x:f>IF(AND(27&gt;=C36,27&lt;=D36),(D36-27+1)/E36,0)</x:f>
        <x:v>0</x:v>
      </x:c>
      <x:c r="AG36" s="69" t="n">
        <x:f>IF(AND(28&gt;=C36,28&lt;=D36),(D36-28+1)/E36,0)</x:f>
        <x:v>0</x:v>
      </x:c>
      <x:c r="AH36" s="69" t="n">
        <x:f>IF(AND(29&gt;=C36,29&lt;=D36),(D36-29+1)/E36,0)</x:f>
        <x:v>0</x:v>
      </x:c>
      <x:c r="AI36" s="69" t="n">
        <x:f>IF(AND(30&gt;=C36,30&lt;=D36),(D36-30+1)/E36,0)</x:f>
        <x:v>0</x:v>
      </x:c>
      <x:c r="AJ36" s="69" t="n">
        <x:f>IF(AND(31&gt;=C36,31&lt;=D36),(D36-31+1)/E36,0)</x:f>
        <x:v>0</x:v>
      </x:c>
      <x:c r="AK36" s="69" t="n">
        <x:f>IF(AND(32&gt;=C36,32&lt;=D36),(D36-32+1)/E36,0)</x:f>
        <x:v>0</x:v>
      </x:c>
      <x:c r="AL36" s="69" t="n">
        <x:f>SUM(F36:AK36)</x:f>
        <x:v>1</x:v>
      </x:c>
    </x:row>
    <x:row r="37" ht="23" customHeight="1">
      <x:c r="A37" s="54" t="str">
        <x:v>EX01</x:v>
      </x:c>
      <x:c r="B37" s="54" t="str">
        <x:v>External</x:v>
      </x:c>
      <x:c r="C37" s="70" t="n">
        <x:v>20</x:v>
      </x:c>
      <x:c r="D37" s="70" t="n">
        <x:v>24</x:v>
      </x:c>
      <x:c r="E37" s="71" t="n">
        <x:f>(D37-C37+1)*(D37-C37+2)/2</x:f>
        <x:v>15</x:v>
      </x:c>
      <x:c r="F37" s="72" t="n">
        <x:f>IF(AND(1&gt;=C37,1&lt;=D37),(D37-1+1)/E37,0)</x:f>
        <x:v>0</x:v>
      </x:c>
      <x:c r="G37" s="72" t="n">
        <x:f>IF(AND(2&gt;=C37,2&lt;=D37),(D37-2+1)/E37,0)</x:f>
        <x:v>0</x:v>
      </x:c>
      <x:c r="H37" s="72" t="n">
        <x:f>IF(AND(3&gt;=C37,3&lt;=D37),(D37-3+1)/E37,0)</x:f>
        <x:v>0</x:v>
      </x:c>
      <x:c r="I37" s="72" t="n">
        <x:f>IF(AND(4&gt;=C37,4&lt;=D37),(D37-4+1)/E37,0)</x:f>
        <x:v>0</x:v>
      </x:c>
      <x:c r="J37" s="72" t="n">
        <x:f>IF(AND(5&gt;=C37,5&lt;=D37),(D37-5+1)/E37,0)</x:f>
        <x:v>0</x:v>
      </x:c>
      <x:c r="K37" s="72" t="n">
        <x:f>IF(AND(6&gt;=C37,6&lt;=D37),(D37-6+1)/E37,0)</x:f>
        <x:v>0</x:v>
      </x:c>
      <x:c r="L37" s="72" t="n">
        <x:f>IF(AND(7&gt;=C37,7&lt;=D37),(D37-7+1)/E37,0)</x:f>
        <x:v>0</x:v>
      </x:c>
      <x:c r="M37" s="72" t="n">
        <x:f>IF(AND(8&gt;=C37,8&lt;=D37),(D37-8+1)/E37,0)</x:f>
        <x:v>0</x:v>
      </x:c>
      <x:c r="N37" s="72" t="n">
        <x:f>IF(AND(9&gt;=C37,9&lt;=D37),(D37-9+1)/E37,0)</x:f>
        <x:v>0</x:v>
      </x:c>
      <x:c r="O37" s="72" t="n">
        <x:f>IF(AND(10&gt;=C37,10&lt;=D37),(D37-10+1)/E37,0)</x:f>
        <x:v>0</x:v>
      </x:c>
      <x:c r="P37" s="72" t="n">
        <x:f>IF(AND(11&gt;=C37,11&lt;=D37),(D37-11+1)/E37,0)</x:f>
        <x:v>0</x:v>
      </x:c>
      <x:c r="Q37" s="72" t="n">
        <x:f>IF(AND(12&gt;=C37,12&lt;=D37),(D37-12+1)/E37,0)</x:f>
        <x:v>0</x:v>
      </x:c>
      <x:c r="R37" s="72" t="n">
        <x:f>IF(AND(13&gt;=C37,13&lt;=D37),(D37-13+1)/E37,0)</x:f>
        <x:v>0</x:v>
      </x:c>
      <x:c r="S37" s="72" t="n">
        <x:f>IF(AND(14&gt;=C37,14&lt;=D37),(D37-14+1)/E37,0)</x:f>
        <x:v>0</x:v>
      </x:c>
      <x:c r="T37" s="72" t="n">
        <x:f>IF(AND(15&gt;=C37,15&lt;=D37),(D37-15+1)/E37,0)</x:f>
        <x:v>0</x:v>
      </x:c>
      <x:c r="U37" s="72" t="n">
        <x:f>IF(AND(16&gt;=C37,16&lt;=D37),(D37-16+1)/E37,0)</x:f>
        <x:v>0</x:v>
      </x:c>
      <x:c r="V37" s="72" t="n">
        <x:f>IF(AND(17&gt;=C37,17&lt;=D37),(D37-17+1)/E37,0)</x:f>
        <x:v>0</x:v>
      </x:c>
      <x:c r="W37" s="72" t="n">
        <x:f>IF(AND(18&gt;=C37,18&lt;=D37),(D37-18+1)/E37,0)</x:f>
        <x:v>0</x:v>
      </x:c>
      <x:c r="X37" s="72" t="n">
        <x:f>IF(AND(19&gt;=C37,19&lt;=D37),(D37-19+1)/E37,0)</x:f>
        <x:v>0</x:v>
      </x:c>
      <x:c r="Y37" s="72" t="n">
        <x:f>IF(AND(20&gt;=C37,20&lt;=D37),(D37-20+1)/E37,0)</x:f>
        <x:v>0.3333333333333333</x:v>
      </x:c>
      <x:c r="Z37" s="72" t="n">
        <x:f>IF(AND(21&gt;=C37,21&lt;=D37),(D37-21+1)/E37,0)</x:f>
        <x:v>0.26666666666666666</x:v>
      </x:c>
      <x:c r="AA37" s="72" t="n">
        <x:f>IF(AND(22&gt;=C37,22&lt;=D37),(D37-22+1)/E37,0)</x:f>
        <x:v>0.2</x:v>
      </x:c>
      <x:c r="AB37" s="72" t="n">
        <x:f>IF(AND(23&gt;=C37,23&lt;=D37),(D37-23+1)/E37,0)</x:f>
        <x:v>0.13333333333333333</x:v>
      </x:c>
      <x:c r="AC37" s="72" t="n">
        <x:f>IF(AND(24&gt;=C37,24&lt;=D37),(D37-24+1)/E37,0)</x:f>
        <x:v>0.06666666666666667</x:v>
      </x:c>
      <x:c r="AD37" s="72" t="n">
        <x:f>IF(AND(25&gt;=C37,25&lt;=D37),(D37-25+1)/E37,0)</x:f>
        <x:v>0</x:v>
      </x:c>
      <x:c r="AE37" s="72" t="n">
        <x:f>IF(AND(26&gt;=C37,26&lt;=D37),(D37-26+1)/E37,0)</x:f>
        <x:v>0</x:v>
      </x:c>
      <x:c r="AF37" s="72" t="n">
        <x:f>IF(AND(27&gt;=C37,27&lt;=D37),(D37-27+1)/E37,0)</x:f>
        <x:v>0</x:v>
      </x:c>
      <x:c r="AG37" s="72" t="n">
        <x:f>IF(AND(28&gt;=C37,28&lt;=D37),(D37-28+1)/E37,0)</x:f>
        <x:v>0</x:v>
      </x:c>
      <x:c r="AH37" s="72" t="n">
        <x:f>IF(AND(29&gt;=C37,29&lt;=D37),(D37-29+1)/E37,0)</x:f>
        <x:v>0</x:v>
      </x:c>
      <x:c r="AI37" s="72" t="n">
        <x:f>IF(AND(30&gt;=C37,30&lt;=D37),(D37-30+1)/E37,0)</x:f>
        <x:v>0</x:v>
      </x:c>
      <x:c r="AJ37" s="72" t="n">
        <x:f>IF(AND(31&gt;=C37,31&lt;=D37),(D37-31+1)/E37,0)</x:f>
        <x:v>0</x:v>
      </x:c>
      <x:c r="AK37" s="72" t="n">
        <x:f>IF(AND(32&gt;=C37,32&lt;=D37),(D37-32+1)/E37,0)</x:f>
        <x:v>0</x:v>
      </x:c>
      <x:c r="AL37" s="72" t="n">
        <x:f>SUM(F37:AK37)</x:f>
        <x:v>1</x:v>
      </x:c>
    </x:row>
    <x:row r="38" ht="23" customHeight="1">
      <x:c r="A38" s="52" t="str">
        <x:v>EX02</x:v>
      </x:c>
      <x:c r="B38" s="52" t="str">
        <x:v>External</x:v>
      </x:c>
      <x:c r="C38" s="67" t="n">
        <x:v>18</x:v>
      </x:c>
      <x:c r="D38" s="67" t="n">
        <x:v>22</x:v>
      </x:c>
      <x:c r="E38" s="68" t="n">
        <x:f>(D38-C38+1)*(D38-C38+2)/2</x:f>
        <x:v>15</x:v>
      </x:c>
      <x:c r="F38" s="69" t="n">
        <x:f>IF(AND(1&gt;=C38,1&lt;=D38),(D38-1+1)/E38,0)</x:f>
        <x:v>0</x:v>
      </x:c>
      <x:c r="G38" s="69" t="n">
        <x:f>IF(AND(2&gt;=C38,2&lt;=D38),(D38-2+1)/E38,0)</x:f>
        <x:v>0</x:v>
      </x:c>
      <x:c r="H38" s="69" t="n">
        <x:f>IF(AND(3&gt;=C38,3&lt;=D38),(D38-3+1)/E38,0)</x:f>
        <x:v>0</x:v>
      </x:c>
      <x:c r="I38" s="69" t="n">
        <x:f>IF(AND(4&gt;=C38,4&lt;=D38),(D38-4+1)/E38,0)</x:f>
        <x:v>0</x:v>
      </x:c>
      <x:c r="J38" s="69" t="n">
        <x:f>IF(AND(5&gt;=C38,5&lt;=D38),(D38-5+1)/E38,0)</x:f>
        <x:v>0</x:v>
      </x:c>
      <x:c r="K38" s="69" t="n">
        <x:f>IF(AND(6&gt;=C38,6&lt;=D38),(D38-6+1)/E38,0)</x:f>
        <x:v>0</x:v>
      </x:c>
      <x:c r="L38" s="69" t="n">
        <x:f>IF(AND(7&gt;=C38,7&lt;=D38),(D38-7+1)/E38,0)</x:f>
        <x:v>0</x:v>
      </x:c>
      <x:c r="M38" s="69" t="n">
        <x:f>IF(AND(8&gt;=C38,8&lt;=D38),(D38-8+1)/E38,0)</x:f>
        <x:v>0</x:v>
      </x:c>
      <x:c r="N38" s="69" t="n">
        <x:f>IF(AND(9&gt;=C38,9&lt;=D38),(D38-9+1)/E38,0)</x:f>
        <x:v>0</x:v>
      </x:c>
      <x:c r="O38" s="69" t="n">
        <x:f>IF(AND(10&gt;=C38,10&lt;=D38),(D38-10+1)/E38,0)</x:f>
        <x:v>0</x:v>
      </x:c>
      <x:c r="P38" s="69" t="n">
        <x:f>IF(AND(11&gt;=C38,11&lt;=D38),(D38-11+1)/E38,0)</x:f>
        <x:v>0</x:v>
      </x:c>
      <x:c r="Q38" s="69" t="n">
        <x:f>IF(AND(12&gt;=C38,12&lt;=D38),(D38-12+1)/E38,0)</x:f>
        <x:v>0</x:v>
      </x:c>
      <x:c r="R38" s="69" t="n">
        <x:f>IF(AND(13&gt;=C38,13&lt;=D38),(D38-13+1)/E38,0)</x:f>
        <x:v>0</x:v>
      </x:c>
      <x:c r="S38" s="69" t="n">
        <x:f>IF(AND(14&gt;=C38,14&lt;=D38),(D38-14+1)/E38,0)</x:f>
        <x:v>0</x:v>
      </x:c>
      <x:c r="T38" s="69" t="n">
        <x:f>IF(AND(15&gt;=C38,15&lt;=D38),(D38-15+1)/E38,0)</x:f>
        <x:v>0</x:v>
      </x:c>
      <x:c r="U38" s="69" t="n">
        <x:f>IF(AND(16&gt;=C38,16&lt;=D38),(D38-16+1)/E38,0)</x:f>
        <x:v>0</x:v>
      </x:c>
      <x:c r="V38" s="69" t="n">
        <x:f>IF(AND(17&gt;=C38,17&lt;=D38),(D38-17+1)/E38,0)</x:f>
        <x:v>0</x:v>
      </x:c>
      <x:c r="W38" s="69" t="n">
        <x:f>IF(AND(18&gt;=C38,18&lt;=D38),(D38-18+1)/E38,0)</x:f>
        <x:v>0.3333333333333333</x:v>
      </x:c>
      <x:c r="X38" s="69" t="n">
        <x:f>IF(AND(19&gt;=C38,19&lt;=D38),(D38-19+1)/E38,0)</x:f>
        <x:v>0.26666666666666666</x:v>
      </x:c>
      <x:c r="Y38" s="69" t="n">
        <x:f>IF(AND(20&gt;=C38,20&lt;=D38),(D38-20+1)/E38,0)</x:f>
        <x:v>0.2</x:v>
      </x:c>
      <x:c r="Z38" s="69" t="n">
        <x:f>IF(AND(21&gt;=C38,21&lt;=D38),(D38-21+1)/E38,0)</x:f>
        <x:v>0.13333333333333333</x:v>
      </x:c>
      <x:c r="AA38" s="69" t="n">
        <x:f>IF(AND(22&gt;=C38,22&lt;=D38),(D38-22+1)/E38,0)</x:f>
        <x:v>0.06666666666666667</x:v>
      </x:c>
      <x:c r="AB38" s="69" t="n">
        <x:f>IF(AND(23&gt;=C38,23&lt;=D38),(D38-23+1)/E38,0)</x:f>
        <x:v>0</x:v>
      </x:c>
      <x:c r="AC38" s="69" t="n">
        <x:f>IF(AND(24&gt;=C38,24&lt;=D38),(D38-24+1)/E38,0)</x:f>
        <x:v>0</x:v>
      </x:c>
      <x:c r="AD38" s="69" t="n">
        <x:f>IF(AND(25&gt;=C38,25&lt;=D38),(D38-25+1)/E38,0)</x:f>
        <x:v>0</x:v>
      </x:c>
      <x:c r="AE38" s="69" t="n">
        <x:f>IF(AND(26&gt;=C38,26&lt;=D38),(D38-26+1)/E38,0)</x:f>
        <x:v>0</x:v>
      </x:c>
      <x:c r="AF38" s="69" t="n">
        <x:f>IF(AND(27&gt;=C38,27&lt;=D38),(D38-27+1)/E38,0)</x:f>
        <x:v>0</x:v>
      </x:c>
      <x:c r="AG38" s="69" t="n">
        <x:f>IF(AND(28&gt;=C38,28&lt;=D38),(D38-28+1)/E38,0)</x:f>
        <x:v>0</x:v>
      </x:c>
      <x:c r="AH38" s="69" t="n">
        <x:f>IF(AND(29&gt;=C38,29&lt;=D38),(D38-29+1)/E38,0)</x:f>
        <x:v>0</x:v>
      </x:c>
      <x:c r="AI38" s="69" t="n">
        <x:f>IF(AND(30&gt;=C38,30&lt;=D38),(D38-30+1)/E38,0)</x:f>
        <x:v>0</x:v>
      </x:c>
      <x:c r="AJ38" s="69" t="n">
        <x:f>IF(AND(31&gt;=C38,31&lt;=D38),(D38-31+1)/E38,0)</x:f>
        <x:v>0</x:v>
      </x:c>
      <x:c r="AK38" s="69" t="n">
        <x:f>IF(AND(32&gt;=C38,32&lt;=D38),(D38-32+1)/E38,0)</x:f>
        <x:v>0</x:v>
      </x:c>
      <x:c r="AL38" s="69" t="n">
        <x:f>SUM(F38:AK38)</x:f>
        <x:v>1</x:v>
      </x:c>
    </x:row>
    <x:row r="39" ht="23" customHeight="1">
      <x:c r="A39" s="54" t="str">
        <x:v>EX03</x:v>
      </x:c>
      <x:c r="B39" s="54" t="str">
        <x:v>External</x:v>
      </x:c>
      <x:c r="C39" s="70" t="n">
        <x:v>19</x:v>
      </x:c>
      <x:c r="D39" s="70" t="n">
        <x:v>23</x:v>
      </x:c>
      <x:c r="E39" s="71" t="n">
        <x:f>(D39-C39+1)*(D39-C39+2)/2</x:f>
        <x:v>15</x:v>
      </x:c>
      <x:c r="F39" s="72" t="n">
        <x:f>IF(AND(1&gt;=C39,1&lt;=D39),(D39-1+1)/E39,0)</x:f>
        <x:v>0</x:v>
      </x:c>
      <x:c r="G39" s="72" t="n">
        <x:f>IF(AND(2&gt;=C39,2&lt;=D39),(D39-2+1)/E39,0)</x:f>
        <x:v>0</x:v>
      </x:c>
      <x:c r="H39" s="72" t="n">
        <x:f>IF(AND(3&gt;=C39,3&lt;=D39),(D39-3+1)/E39,0)</x:f>
        <x:v>0</x:v>
      </x:c>
      <x:c r="I39" s="72" t="n">
        <x:f>IF(AND(4&gt;=C39,4&lt;=D39),(D39-4+1)/E39,0)</x:f>
        <x:v>0</x:v>
      </x:c>
      <x:c r="J39" s="72" t="n">
        <x:f>IF(AND(5&gt;=C39,5&lt;=D39),(D39-5+1)/E39,0)</x:f>
        <x:v>0</x:v>
      </x:c>
      <x:c r="K39" s="72" t="n">
        <x:f>IF(AND(6&gt;=C39,6&lt;=D39),(D39-6+1)/E39,0)</x:f>
        <x:v>0</x:v>
      </x:c>
      <x:c r="L39" s="72" t="n">
        <x:f>IF(AND(7&gt;=C39,7&lt;=D39),(D39-7+1)/E39,0)</x:f>
        <x:v>0</x:v>
      </x:c>
      <x:c r="M39" s="72" t="n">
        <x:f>IF(AND(8&gt;=C39,8&lt;=D39),(D39-8+1)/E39,0)</x:f>
        <x:v>0</x:v>
      </x:c>
      <x:c r="N39" s="72" t="n">
        <x:f>IF(AND(9&gt;=C39,9&lt;=D39),(D39-9+1)/E39,0)</x:f>
        <x:v>0</x:v>
      </x:c>
      <x:c r="O39" s="72" t="n">
        <x:f>IF(AND(10&gt;=C39,10&lt;=D39),(D39-10+1)/E39,0)</x:f>
        <x:v>0</x:v>
      </x:c>
      <x:c r="P39" s="72" t="n">
        <x:f>IF(AND(11&gt;=C39,11&lt;=D39),(D39-11+1)/E39,0)</x:f>
        <x:v>0</x:v>
      </x:c>
      <x:c r="Q39" s="72" t="n">
        <x:f>IF(AND(12&gt;=C39,12&lt;=D39),(D39-12+1)/E39,0)</x:f>
        <x:v>0</x:v>
      </x:c>
      <x:c r="R39" s="72" t="n">
        <x:f>IF(AND(13&gt;=C39,13&lt;=D39),(D39-13+1)/E39,0)</x:f>
        <x:v>0</x:v>
      </x:c>
      <x:c r="S39" s="72" t="n">
        <x:f>IF(AND(14&gt;=C39,14&lt;=D39),(D39-14+1)/E39,0)</x:f>
        <x:v>0</x:v>
      </x:c>
      <x:c r="T39" s="72" t="n">
        <x:f>IF(AND(15&gt;=C39,15&lt;=D39),(D39-15+1)/E39,0)</x:f>
        <x:v>0</x:v>
      </x:c>
      <x:c r="U39" s="72" t="n">
        <x:f>IF(AND(16&gt;=C39,16&lt;=D39),(D39-16+1)/E39,0)</x:f>
        <x:v>0</x:v>
      </x:c>
      <x:c r="V39" s="72" t="n">
        <x:f>IF(AND(17&gt;=C39,17&lt;=D39),(D39-17+1)/E39,0)</x:f>
        <x:v>0</x:v>
      </x:c>
      <x:c r="W39" s="72" t="n">
        <x:f>IF(AND(18&gt;=C39,18&lt;=D39),(D39-18+1)/E39,0)</x:f>
        <x:v>0</x:v>
      </x:c>
      <x:c r="X39" s="72" t="n">
        <x:f>IF(AND(19&gt;=C39,19&lt;=D39),(D39-19+1)/E39,0)</x:f>
        <x:v>0.3333333333333333</x:v>
      </x:c>
      <x:c r="Y39" s="72" t="n">
        <x:f>IF(AND(20&gt;=C39,20&lt;=D39),(D39-20+1)/E39,0)</x:f>
        <x:v>0.26666666666666666</x:v>
      </x:c>
      <x:c r="Z39" s="72" t="n">
        <x:f>IF(AND(21&gt;=C39,21&lt;=D39),(D39-21+1)/E39,0)</x:f>
        <x:v>0.2</x:v>
      </x:c>
      <x:c r="AA39" s="72" t="n">
        <x:f>IF(AND(22&gt;=C39,22&lt;=D39),(D39-22+1)/E39,0)</x:f>
        <x:v>0.13333333333333333</x:v>
      </x:c>
      <x:c r="AB39" s="72" t="n">
        <x:f>IF(AND(23&gt;=C39,23&lt;=D39),(D39-23+1)/E39,0)</x:f>
        <x:v>0.06666666666666667</x:v>
      </x:c>
      <x:c r="AC39" s="72" t="n">
        <x:f>IF(AND(24&gt;=C39,24&lt;=D39),(D39-24+1)/E39,0)</x:f>
        <x:v>0</x:v>
      </x:c>
      <x:c r="AD39" s="72" t="n">
        <x:f>IF(AND(25&gt;=C39,25&lt;=D39),(D39-25+1)/E39,0)</x:f>
        <x:v>0</x:v>
      </x:c>
      <x:c r="AE39" s="72" t="n">
        <x:f>IF(AND(26&gt;=C39,26&lt;=D39),(D39-26+1)/E39,0)</x:f>
        <x:v>0</x:v>
      </x:c>
      <x:c r="AF39" s="72" t="n">
        <x:f>IF(AND(27&gt;=C39,27&lt;=D39),(D39-27+1)/E39,0)</x:f>
        <x:v>0</x:v>
      </x:c>
      <x:c r="AG39" s="72" t="n">
        <x:f>IF(AND(28&gt;=C39,28&lt;=D39),(D39-28+1)/E39,0)</x:f>
        <x:v>0</x:v>
      </x:c>
      <x:c r="AH39" s="72" t="n">
        <x:f>IF(AND(29&gt;=C39,29&lt;=D39),(D39-29+1)/E39,0)</x:f>
        <x:v>0</x:v>
      </x:c>
      <x:c r="AI39" s="72" t="n">
        <x:f>IF(AND(30&gt;=C39,30&lt;=D39),(D39-30+1)/E39,0)</x:f>
        <x:v>0</x:v>
      </x:c>
      <x:c r="AJ39" s="72" t="n">
        <x:f>IF(AND(31&gt;=C39,31&lt;=D39),(D39-31+1)/E39,0)</x:f>
        <x:v>0</x:v>
      </x:c>
      <x:c r="AK39" s="72" t="n">
        <x:f>IF(AND(32&gt;=C39,32&lt;=D39),(D39-32+1)/E39,0)</x:f>
        <x:v>0</x:v>
      </x:c>
      <x:c r="AL39" s="72" t="n">
        <x:f>SUM(F39:AK39)</x:f>
        <x:v>1</x:v>
      </x:c>
    </x:row>
  </x:sheetData>
  <x:dataValidations count="1">
    <x:dataValidation type="whole" operator="between" sqref="C8:D39">
      <x:formula1>1</x:formula1>
      <x:formula2>24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23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23" hidden="0" customWidth="1"/>
  </x:cols>
  <x:sheetData>
    <x:row r="2">
      <x:c r="A2" s="48" t="str">
        <x:v>Direct cost accrual by package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  <x:c r="AC2" s="59"/>
      <x:c r="AD2" s="59"/>
      <x:c r="AE2" s="59"/>
      <x:c r="AF2" s="59"/>
      <x:c r="AG2" s="59"/>
      <x:c r="AH2" s="59"/>
      <x:c r="AI2" s="59"/>
      <x:c r="AJ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  <x:c r="AA3" s="59"/>
      <x:c r="AB3" s="59"/>
      <x:c r="AC3" s="59"/>
      <x:c r="AD3" s="59"/>
      <x:c r="AE3" s="59"/>
      <x:c r="AF3" s="59"/>
      <x:c r="AG3" s="59"/>
      <x:c r="AH3" s="59"/>
      <x:c r="AI3" s="59"/>
      <x:c r="AJ3" s="59"/>
    </x:row>
    <x:row r="4">
      <x:c r="A4" s="50" t="str">
        <x:v>Earned production cost; payment timing is applied in Cashflow.</x:v>
      </x:c>
      <x:c r="B4" s="50"/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 s="50"/>
      <x:c r="P4" s="50"/>
      <x:c r="Q4" s="50"/>
      <x:c r="R4" s="59"/>
      <x:c r="S4" s="59"/>
      <x:c r="T4" s="59"/>
      <x:c r="U4" s="59"/>
      <x:c r="V4" s="59"/>
      <x:c r="W4" s="59"/>
      <x:c r="X4" s="59"/>
      <x:c r="Y4" s="59"/>
      <x:c r="Z4" s="59"/>
      <x:c r="AA4" s="59"/>
      <x:c r="AB4" s="59"/>
      <x:c r="AC4" s="59"/>
      <x:c r="AD4" s="59"/>
      <x:c r="AE4" s="59"/>
      <x:c r="AF4" s="59"/>
      <x:c r="AG4" s="59"/>
      <x:c r="AH4" s="59"/>
      <x:c r="AI4" s="59"/>
      <x:c r="AJ4" s="59"/>
    </x:row>
    <x:row r="5">
      <x:c r="A5" s="60"/>
      <x:c r="B5" s="60"/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59"/>
      <x:c r="S5" s="59"/>
      <x:c r="T5" s="59"/>
      <x:c r="U5" s="59"/>
      <x:c r="V5" s="59"/>
      <x:c r="W5" s="59"/>
      <x:c r="X5" s="59"/>
      <x:c r="Y5" s="59"/>
      <x:c r="Z5" s="59"/>
      <x:c r="AA5" s="59"/>
      <x:c r="AB5" s="59"/>
      <x:c r="AC5" s="59"/>
      <x:c r="AD5" s="59"/>
      <x:c r="AE5" s="59"/>
      <x:c r="AF5" s="59"/>
      <x:c r="AG5" s="59"/>
      <x:c r="AH5" s="59"/>
      <x:c r="AI5" s="59"/>
      <x:c r="AJ5" s="59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  <x:c r="O6" s="59"/>
      <x:c r="P6" s="59"/>
      <x:c r="Q6" s="59"/>
      <x:c r="R6" s="59"/>
      <x:c r="S6" s="59"/>
      <x:c r="T6" s="59"/>
      <x:c r="U6" s="59"/>
      <x:c r="V6" s="59"/>
      <x:c r="W6" s="59"/>
      <x:c r="X6" s="59"/>
      <x:c r="Y6" s="59"/>
      <x:c r="Z6" s="59"/>
      <x:c r="AA6" s="59"/>
      <x:c r="AB6" s="59"/>
      <x:c r="AC6" s="59"/>
      <x:c r="AD6" s="59"/>
      <x:c r="AE6" s="59"/>
      <x:c r="AF6" s="59"/>
      <x:c r="AG6" s="59"/>
      <x:c r="AH6" s="59"/>
      <x:c r="AI6" s="59"/>
      <x:c r="AJ6" s="59"/>
    </x:row>
    <x:row r="7" ht="34" customHeight="1">
      <x:c r="A7" s="6" t="str">
        <x:v>Code</x:v>
      </x:c>
      <x:c r="B7" s="6" t="str">
        <x:v>Trade</x:v>
      </x:c>
      <x:c r="C7" s="6" t="str">
        <x:v>Budget USD</x:v>
      </x:c>
      <x:c r="D7" s="6" t="str">
        <x:v>M01</x:v>
      </x:c>
      <x:c r="E7" s="6" t="str">
        <x:v>M02</x:v>
      </x:c>
      <x:c r="F7" s="6" t="str">
        <x:v>M03</x:v>
      </x:c>
      <x:c r="G7" s="6" t="str">
        <x:v>M04</x:v>
      </x:c>
      <x:c r="H7" s="6" t="str">
        <x:v>M05</x:v>
      </x:c>
      <x:c r="I7" s="6" t="str">
        <x:v>M06</x:v>
      </x:c>
      <x:c r="J7" s="6" t="str">
        <x:v>M07</x:v>
      </x:c>
      <x:c r="K7" s="6" t="str">
        <x:v>M08</x:v>
      </x:c>
      <x:c r="L7" s="6" t="str">
        <x:v>M09</x:v>
      </x:c>
      <x:c r="M7" s="6" t="str">
        <x:v>M10</x:v>
      </x:c>
      <x:c r="N7" s="6" t="str">
        <x:v>M11</x:v>
      </x:c>
      <x:c r="O7" s="6" t="str">
        <x:v>M12</x:v>
      </x:c>
      <x:c r="P7" s="6" t="str">
        <x:v>M13</x:v>
      </x:c>
      <x:c r="Q7" s="6" t="str">
        <x:v>M14</x:v>
      </x:c>
      <x:c r="R7" s="6" t="str">
        <x:v>M15</x:v>
      </x:c>
      <x:c r="S7" s="6" t="str">
        <x:v>M16</x:v>
      </x:c>
      <x:c r="T7" s="6" t="str">
        <x:v>M17</x:v>
      </x:c>
      <x:c r="U7" s="6" t="str">
        <x:v>M18</x:v>
      </x:c>
      <x:c r="V7" s="6" t="str">
        <x:v>M19</x:v>
      </x:c>
      <x:c r="W7" s="6" t="str">
        <x:v>M20</x:v>
      </x:c>
      <x:c r="X7" s="6" t="str">
        <x:v>M21</x:v>
      </x:c>
      <x:c r="Y7" s="6" t="str">
        <x:v>M22</x:v>
      </x:c>
      <x:c r="Z7" s="6" t="str">
        <x:v>M23</x:v>
      </x:c>
      <x:c r="AA7" s="6" t="str">
        <x:v>M24</x:v>
      </x:c>
      <x:c r="AB7" s="6" t="str">
        <x:v>M25</x:v>
      </x:c>
      <x:c r="AC7" s="6" t="str">
        <x:v>M26</x:v>
      </x:c>
      <x:c r="AD7" s="6" t="str">
        <x:v>M27</x:v>
      </x:c>
      <x:c r="AE7" s="6" t="str">
        <x:v>M28</x:v>
      </x:c>
      <x:c r="AF7" s="6" t="str">
        <x:v>M29</x:v>
      </x:c>
      <x:c r="AG7" s="6" t="str">
        <x:v>M30</x:v>
      </x:c>
      <x:c r="AH7" s="6" t="str">
        <x:v>M31</x:v>
      </x:c>
      <x:c r="AI7" s="6" t="str">
        <x:v>M32</x:v>
      </x:c>
      <x:c r="AJ7" s="6" t="str">
        <x:v>Total USD</x:v>
      </x:c>
    </x:row>
    <x:row r="8" ht="23" customHeight="1">
      <x:c r="A8" s="52" t="str">
        <x:v>EW01</x:v>
      </x:c>
      <x:c r="B8" s="52" t="str">
        <x:v>Earthworks</x:v>
      </x:c>
      <x:c r="C8" s="73" t="n">
        <x:f>'Budget'!F8</x:f>
        <x:v>512020.80000000005</x:v>
      </x:c>
      <x:c r="D8" s="73" t="n">
        <x:f>$C8*'Work phasing'!F8</x:f>
        <x:v>256010.40000000002</x:v>
      </x:c>
      <x:c r="E8" s="73" t="n">
        <x:f>$C8*'Work phasing'!G8</x:f>
        <x:v>170673.6</x:v>
      </x:c>
      <x:c r="F8" s="73" t="n">
        <x:f>$C8*'Work phasing'!H8</x:f>
        <x:v>85336.8</x:v>
      </x:c>
      <x:c r="G8" s="73" t="n">
        <x:f>$C8*'Work phasing'!I8</x:f>
        <x:v>0</x:v>
      </x:c>
      <x:c r="H8" s="73" t="n">
        <x:f>$C8*'Work phasing'!J8</x:f>
        <x:v>0</x:v>
      </x:c>
      <x:c r="I8" s="73" t="n">
        <x:f>$C8*'Work phasing'!K8</x:f>
        <x:v>0</x:v>
      </x:c>
      <x:c r="J8" s="73" t="n">
        <x:f>$C8*'Work phasing'!L8</x:f>
        <x:v>0</x:v>
      </x:c>
      <x:c r="K8" s="73" t="n">
        <x:f>$C8*'Work phasing'!M8</x:f>
        <x:v>0</x:v>
      </x:c>
      <x:c r="L8" s="73" t="n">
        <x:f>$C8*'Work phasing'!N8</x:f>
        <x:v>0</x:v>
      </x:c>
      <x:c r="M8" s="73" t="n">
        <x:f>$C8*'Work phasing'!O8</x:f>
        <x:v>0</x:v>
      </x:c>
      <x:c r="N8" s="73" t="n">
        <x:f>$C8*'Work phasing'!P8</x:f>
        <x:v>0</x:v>
      </x:c>
      <x:c r="O8" s="73" t="n">
        <x:f>$C8*'Work phasing'!Q8</x:f>
        <x:v>0</x:v>
      </x:c>
      <x:c r="P8" s="73" t="n">
        <x:f>$C8*'Work phasing'!R8</x:f>
        <x:v>0</x:v>
      </x:c>
      <x:c r="Q8" s="73" t="n">
        <x:f>$C8*'Work phasing'!S8</x:f>
        <x:v>0</x:v>
      </x:c>
      <x:c r="R8" s="73" t="n">
        <x:f>$C8*'Work phasing'!T8</x:f>
        <x:v>0</x:v>
      </x:c>
      <x:c r="S8" s="73" t="n">
        <x:f>$C8*'Work phasing'!U8</x:f>
        <x:v>0</x:v>
      </x:c>
      <x:c r="T8" s="73" t="n">
        <x:f>$C8*'Work phasing'!V8</x:f>
        <x:v>0</x:v>
      </x:c>
      <x:c r="U8" s="73" t="n">
        <x:f>$C8*'Work phasing'!W8</x:f>
        <x:v>0</x:v>
      </x:c>
      <x:c r="V8" s="73" t="n">
        <x:f>$C8*'Work phasing'!X8</x:f>
        <x:v>0</x:v>
      </x:c>
      <x:c r="W8" s="73" t="n">
        <x:f>$C8*'Work phasing'!Y8</x:f>
        <x:v>0</x:v>
      </x:c>
      <x:c r="X8" s="73" t="n">
        <x:f>$C8*'Work phasing'!Z8</x:f>
        <x:v>0</x:v>
      </x:c>
      <x:c r="Y8" s="73" t="n">
        <x:f>$C8*'Work phasing'!AA8</x:f>
        <x:v>0</x:v>
      </x:c>
      <x:c r="Z8" s="73" t="n">
        <x:f>$C8*'Work phasing'!AB8</x:f>
        <x:v>0</x:v>
      </x:c>
      <x:c r="AA8" s="73" t="n">
        <x:f>$C8*'Work phasing'!AC8</x:f>
        <x:v>0</x:v>
      </x:c>
      <x:c r="AB8" s="73" t="n">
        <x:f>$C8*'Work phasing'!AD8</x:f>
        <x:v>0</x:v>
      </x:c>
      <x:c r="AC8" s="73" t="n">
        <x:f>$C8*'Work phasing'!AE8</x:f>
        <x:v>0</x:v>
      </x:c>
      <x:c r="AD8" s="73" t="n">
        <x:f>$C8*'Work phasing'!AF8</x:f>
        <x:v>0</x:v>
      </x:c>
      <x:c r="AE8" s="73" t="n">
        <x:f>$C8*'Work phasing'!AG8</x:f>
        <x:v>0</x:v>
      </x:c>
      <x:c r="AF8" s="73" t="n">
        <x:f>$C8*'Work phasing'!AH8</x:f>
        <x:v>0</x:v>
      </x:c>
      <x:c r="AG8" s="73" t="n">
        <x:f>$C8*'Work phasing'!AI8</x:f>
        <x:v>0</x:v>
      </x:c>
      <x:c r="AH8" s="73" t="n">
        <x:f>$C8*'Work phasing'!AJ8</x:f>
        <x:v>0</x:v>
      </x:c>
      <x:c r="AI8" s="73" t="n">
        <x:f>$C8*'Work phasing'!AK8</x:f>
        <x:v>0</x:v>
      </x:c>
      <x:c r="AJ8" s="74" t="n">
        <x:f>SUM(D8:AI8)</x:f>
        <x:v>512020.8</x:v>
      </x:c>
    </x:row>
    <x:row r="9" ht="23" customHeight="1">
      <x:c r="A9" s="54" t="str">
        <x:v>EW02</x:v>
      </x:c>
      <x:c r="B9" s="54" t="str">
        <x:v>Earthworks</x:v>
      </x:c>
      <x:c r="C9" s="75" t="n">
        <x:f>'Budget'!F9</x:f>
        <x:v>497664</x:v>
      </x:c>
      <x:c r="D9" s="75" t="n">
        <x:f>$C9*'Work phasing'!F9</x:f>
        <x:v>248832</x:v>
      </x:c>
      <x:c r="E9" s="75" t="n">
        <x:f>$C9*'Work phasing'!G9</x:f>
        <x:v>165888</x:v>
      </x:c>
      <x:c r="F9" s="75" t="n">
        <x:f>$C9*'Work phasing'!H9</x:f>
        <x:v>82944</x:v>
      </x:c>
      <x:c r="G9" s="75" t="n">
        <x:f>$C9*'Work phasing'!I9</x:f>
        <x:v>0</x:v>
      </x:c>
      <x:c r="H9" s="75" t="n">
        <x:f>$C9*'Work phasing'!J9</x:f>
        <x:v>0</x:v>
      </x:c>
      <x:c r="I9" s="75" t="n">
        <x:f>$C9*'Work phasing'!K9</x:f>
        <x:v>0</x:v>
      </x:c>
      <x:c r="J9" s="75" t="n">
        <x:f>$C9*'Work phasing'!L9</x:f>
        <x:v>0</x:v>
      </x:c>
      <x:c r="K9" s="75" t="n">
        <x:f>$C9*'Work phasing'!M9</x:f>
        <x:v>0</x:v>
      </x:c>
      <x:c r="L9" s="75" t="n">
        <x:f>$C9*'Work phasing'!N9</x:f>
        <x:v>0</x:v>
      </x:c>
      <x:c r="M9" s="75" t="n">
        <x:f>$C9*'Work phasing'!O9</x:f>
        <x:v>0</x:v>
      </x:c>
      <x:c r="N9" s="75" t="n">
        <x:f>$C9*'Work phasing'!P9</x:f>
        <x:v>0</x:v>
      </x:c>
      <x:c r="O9" s="75" t="n">
        <x:f>$C9*'Work phasing'!Q9</x:f>
        <x:v>0</x:v>
      </x:c>
      <x:c r="P9" s="75" t="n">
        <x:f>$C9*'Work phasing'!R9</x:f>
        <x:v>0</x:v>
      </x:c>
      <x:c r="Q9" s="75" t="n">
        <x:f>$C9*'Work phasing'!S9</x:f>
        <x:v>0</x:v>
      </x:c>
      <x:c r="R9" s="75" t="n">
        <x:f>$C9*'Work phasing'!T9</x:f>
        <x:v>0</x:v>
      </x:c>
      <x:c r="S9" s="75" t="n">
        <x:f>$C9*'Work phasing'!U9</x:f>
        <x:v>0</x:v>
      </x:c>
      <x:c r="T9" s="75" t="n">
        <x:f>$C9*'Work phasing'!V9</x:f>
        <x:v>0</x:v>
      </x:c>
      <x:c r="U9" s="75" t="n">
        <x:f>$C9*'Work phasing'!W9</x:f>
        <x:v>0</x:v>
      </x:c>
      <x:c r="V9" s="75" t="n">
        <x:f>$C9*'Work phasing'!X9</x:f>
        <x:v>0</x:v>
      </x:c>
      <x:c r="W9" s="75" t="n">
        <x:f>$C9*'Work phasing'!Y9</x:f>
        <x:v>0</x:v>
      </x:c>
      <x:c r="X9" s="75" t="n">
        <x:f>$C9*'Work phasing'!Z9</x:f>
        <x:v>0</x:v>
      </x:c>
      <x:c r="Y9" s="75" t="n">
        <x:f>$C9*'Work phasing'!AA9</x:f>
        <x:v>0</x:v>
      </x:c>
      <x:c r="Z9" s="75" t="n">
        <x:f>$C9*'Work phasing'!AB9</x:f>
        <x:v>0</x:v>
      </x:c>
      <x:c r="AA9" s="75" t="n">
        <x:f>$C9*'Work phasing'!AC9</x:f>
        <x:v>0</x:v>
      </x:c>
      <x:c r="AB9" s="75" t="n">
        <x:f>$C9*'Work phasing'!AD9</x:f>
        <x:v>0</x:v>
      </x:c>
      <x:c r="AC9" s="75" t="n">
        <x:f>$C9*'Work phasing'!AE9</x:f>
        <x:v>0</x:v>
      </x:c>
      <x:c r="AD9" s="75" t="n">
        <x:f>$C9*'Work phasing'!AF9</x:f>
        <x:v>0</x:v>
      </x:c>
      <x:c r="AE9" s="75" t="n">
        <x:f>$C9*'Work phasing'!AG9</x:f>
        <x:v>0</x:v>
      </x:c>
      <x:c r="AF9" s="75" t="n">
        <x:f>$C9*'Work phasing'!AH9</x:f>
        <x:v>0</x:v>
      </x:c>
      <x:c r="AG9" s="75" t="n">
        <x:f>$C9*'Work phasing'!AI9</x:f>
        <x:v>0</x:v>
      </x:c>
      <x:c r="AH9" s="75" t="n">
        <x:f>$C9*'Work phasing'!AJ9</x:f>
        <x:v>0</x:v>
      </x:c>
      <x:c r="AI9" s="75" t="n">
        <x:f>$C9*'Work phasing'!AK9</x:f>
        <x:v>0</x:v>
      </x:c>
      <x:c r="AJ9" s="76" t="n">
        <x:f>SUM(D9:AI9)</x:f>
        <x:v>497664</x:v>
      </x:c>
    </x:row>
    <x:row r="10" ht="23" customHeight="1">
      <x:c r="A10" s="52" t="str">
        <x:v>EW03</x:v>
      </x:c>
      <x:c r="B10" s="52" t="str">
        <x:v>Earthworks</x:v>
      </x:c>
      <x:c r="C10" s="73" t="n">
        <x:f>'Budget'!F10</x:f>
        <x:v>67197.6</x:v>
      </x:c>
      <x:c r="D10" s="73" t="n">
        <x:f>$C10*'Work phasing'!F10</x:f>
        <x:v>0</x:v>
      </x:c>
      <x:c r="E10" s="73" t="n">
        <x:f>$C10*'Work phasing'!G10</x:f>
        <x:v>0</x:v>
      </x:c>
      <x:c r="F10" s="73" t="n">
        <x:f>$C10*'Work phasing'!H10</x:f>
        <x:v>0</x:v>
      </x:c>
      <x:c r="G10" s="73" t="n">
        <x:f>$C10*'Work phasing'!I10</x:f>
        <x:v>0</x:v>
      </x:c>
      <x:c r="H10" s="73" t="n">
        <x:f>$C10*'Work phasing'!J10</x:f>
        <x:v>33598.8</x:v>
      </x:c>
      <x:c r="I10" s="73" t="n">
        <x:f>$C10*'Work phasing'!K10</x:f>
        <x:v>22399.2</x:v>
      </x:c>
      <x:c r="J10" s="73" t="n">
        <x:f>$C10*'Work phasing'!L10</x:f>
        <x:v>11199.6</x:v>
      </x:c>
      <x:c r="K10" s="73" t="n">
        <x:f>$C10*'Work phasing'!M10</x:f>
        <x:v>0</x:v>
      </x:c>
      <x:c r="L10" s="73" t="n">
        <x:f>$C10*'Work phasing'!N10</x:f>
        <x:v>0</x:v>
      </x:c>
      <x:c r="M10" s="73" t="n">
        <x:f>$C10*'Work phasing'!O10</x:f>
        <x:v>0</x:v>
      </x:c>
      <x:c r="N10" s="73" t="n">
        <x:f>$C10*'Work phasing'!P10</x:f>
        <x:v>0</x:v>
      </x:c>
      <x:c r="O10" s="73" t="n">
        <x:f>$C10*'Work phasing'!Q10</x:f>
        <x:v>0</x:v>
      </x:c>
      <x:c r="P10" s="73" t="n">
        <x:f>$C10*'Work phasing'!R10</x:f>
        <x:v>0</x:v>
      </x:c>
      <x:c r="Q10" s="73" t="n">
        <x:f>$C10*'Work phasing'!S10</x:f>
        <x:v>0</x:v>
      </x:c>
      <x:c r="R10" s="73" t="n">
        <x:f>$C10*'Work phasing'!T10</x:f>
        <x:v>0</x:v>
      </x:c>
      <x:c r="S10" s="73" t="n">
        <x:f>$C10*'Work phasing'!U10</x:f>
        <x:v>0</x:v>
      </x:c>
      <x:c r="T10" s="73" t="n">
        <x:f>$C10*'Work phasing'!V10</x:f>
        <x:v>0</x:v>
      </x:c>
      <x:c r="U10" s="73" t="n">
        <x:f>$C10*'Work phasing'!W10</x:f>
        <x:v>0</x:v>
      </x:c>
      <x:c r="V10" s="73" t="n">
        <x:f>$C10*'Work phasing'!X10</x:f>
        <x:v>0</x:v>
      </x:c>
      <x:c r="W10" s="73" t="n">
        <x:f>$C10*'Work phasing'!Y10</x:f>
        <x:v>0</x:v>
      </x:c>
      <x:c r="X10" s="73" t="n">
        <x:f>$C10*'Work phasing'!Z10</x:f>
        <x:v>0</x:v>
      </x:c>
      <x:c r="Y10" s="73" t="n">
        <x:f>$C10*'Work phasing'!AA10</x:f>
        <x:v>0</x:v>
      </x:c>
      <x:c r="Z10" s="73" t="n">
        <x:f>$C10*'Work phasing'!AB10</x:f>
        <x:v>0</x:v>
      </x:c>
      <x:c r="AA10" s="73" t="n">
        <x:f>$C10*'Work phasing'!AC10</x:f>
        <x:v>0</x:v>
      </x:c>
      <x:c r="AB10" s="73" t="n">
        <x:f>$C10*'Work phasing'!AD10</x:f>
        <x:v>0</x:v>
      </x:c>
      <x:c r="AC10" s="73" t="n">
        <x:f>$C10*'Work phasing'!AE10</x:f>
        <x:v>0</x:v>
      </x:c>
      <x:c r="AD10" s="73" t="n">
        <x:f>$C10*'Work phasing'!AF10</x:f>
        <x:v>0</x:v>
      </x:c>
      <x:c r="AE10" s="73" t="n">
        <x:f>$C10*'Work phasing'!AG10</x:f>
        <x:v>0</x:v>
      </x:c>
      <x:c r="AF10" s="73" t="n">
        <x:f>$C10*'Work phasing'!AH10</x:f>
        <x:v>0</x:v>
      </x:c>
      <x:c r="AG10" s="73" t="n">
        <x:f>$C10*'Work phasing'!AI10</x:f>
        <x:v>0</x:v>
      </x:c>
      <x:c r="AH10" s="73" t="n">
        <x:f>$C10*'Work phasing'!AJ10</x:f>
        <x:v>0</x:v>
      </x:c>
      <x:c r="AI10" s="73" t="n">
        <x:f>$C10*'Work phasing'!AK10</x:f>
        <x:v>0</x:v>
      </x:c>
      <x:c r="AJ10" s="74" t="n">
        <x:f>SUM(D10:AI10)</x:f>
        <x:v>67197.6</x:v>
      </x:c>
    </x:row>
    <x:row r="11" ht="23" customHeight="1">
      <x:c r="A11" s="54" t="str">
        <x:v>RC01</x:v>
      </x:c>
      <x:c r="B11" s="54" t="str">
        <x:v>Concrete</x:v>
      </x:c>
      <x:c r="C11" s="75" t="n">
        <x:f>'Budget'!F11</x:f>
        <x:v>135360</x:v>
      </x:c>
      <x:c r="D11" s="75" t="n">
        <x:f>$C11*'Work phasing'!F11</x:f>
        <x:v>0</x:v>
      </x:c>
      <x:c r="E11" s="75" t="n">
        <x:f>$C11*'Work phasing'!G11</x:f>
        <x:v>90240</x:v>
      </x:c>
      <x:c r="F11" s="75" t="n">
        <x:f>$C11*'Work phasing'!H11</x:f>
        <x:v>45120</x:v>
      </x:c>
      <x:c r="G11" s="75" t="n">
        <x:f>$C11*'Work phasing'!I11</x:f>
        <x:v>0</x:v>
      </x:c>
      <x:c r="H11" s="75" t="n">
        <x:f>$C11*'Work phasing'!J11</x:f>
        <x:v>0</x:v>
      </x:c>
      <x:c r="I11" s="75" t="n">
        <x:f>$C11*'Work phasing'!K11</x:f>
        <x:v>0</x:v>
      </x:c>
      <x:c r="J11" s="75" t="n">
        <x:f>$C11*'Work phasing'!L11</x:f>
        <x:v>0</x:v>
      </x:c>
      <x:c r="K11" s="75" t="n">
        <x:f>$C11*'Work phasing'!M11</x:f>
        <x:v>0</x:v>
      </x:c>
      <x:c r="L11" s="75" t="n">
        <x:f>$C11*'Work phasing'!N11</x:f>
        <x:v>0</x:v>
      </x:c>
      <x:c r="M11" s="75" t="n">
        <x:f>$C11*'Work phasing'!O11</x:f>
        <x:v>0</x:v>
      </x:c>
      <x:c r="N11" s="75" t="n">
        <x:f>$C11*'Work phasing'!P11</x:f>
        <x:v>0</x:v>
      </x:c>
      <x:c r="O11" s="75" t="n">
        <x:f>$C11*'Work phasing'!Q11</x:f>
        <x:v>0</x:v>
      </x:c>
      <x:c r="P11" s="75" t="n">
        <x:f>$C11*'Work phasing'!R11</x:f>
        <x:v>0</x:v>
      </x:c>
      <x:c r="Q11" s="75" t="n">
        <x:f>$C11*'Work phasing'!S11</x:f>
        <x:v>0</x:v>
      </x:c>
      <x:c r="R11" s="75" t="n">
        <x:f>$C11*'Work phasing'!T11</x:f>
        <x:v>0</x:v>
      </x:c>
      <x:c r="S11" s="75" t="n">
        <x:f>$C11*'Work phasing'!U11</x:f>
        <x:v>0</x:v>
      </x:c>
      <x:c r="T11" s="75" t="n">
        <x:f>$C11*'Work phasing'!V11</x:f>
        <x:v>0</x:v>
      </x:c>
      <x:c r="U11" s="75" t="n">
        <x:f>$C11*'Work phasing'!W11</x:f>
        <x:v>0</x:v>
      </x:c>
      <x:c r="V11" s="75" t="n">
        <x:f>$C11*'Work phasing'!X11</x:f>
        <x:v>0</x:v>
      </x:c>
      <x:c r="W11" s="75" t="n">
        <x:f>$C11*'Work phasing'!Y11</x:f>
        <x:v>0</x:v>
      </x:c>
      <x:c r="X11" s="75" t="n">
        <x:f>$C11*'Work phasing'!Z11</x:f>
        <x:v>0</x:v>
      </x:c>
      <x:c r="Y11" s="75" t="n">
        <x:f>$C11*'Work phasing'!AA11</x:f>
        <x:v>0</x:v>
      </x:c>
      <x:c r="Z11" s="75" t="n">
        <x:f>$C11*'Work phasing'!AB11</x:f>
        <x:v>0</x:v>
      </x:c>
      <x:c r="AA11" s="75" t="n">
        <x:f>$C11*'Work phasing'!AC11</x:f>
        <x:v>0</x:v>
      </x:c>
      <x:c r="AB11" s="75" t="n">
        <x:f>$C11*'Work phasing'!AD11</x:f>
        <x:v>0</x:v>
      </x:c>
      <x:c r="AC11" s="75" t="n">
        <x:f>$C11*'Work phasing'!AE11</x:f>
        <x:v>0</x:v>
      </x:c>
      <x:c r="AD11" s="75" t="n">
        <x:f>$C11*'Work phasing'!AF11</x:f>
        <x:v>0</x:v>
      </x:c>
      <x:c r="AE11" s="75" t="n">
        <x:f>$C11*'Work phasing'!AG11</x:f>
        <x:v>0</x:v>
      </x:c>
      <x:c r="AF11" s="75" t="n">
        <x:f>$C11*'Work phasing'!AH11</x:f>
        <x:v>0</x:v>
      </x:c>
      <x:c r="AG11" s="75" t="n">
        <x:f>$C11*'Work phasing'!AI11</x:f>
        <x:v>0</x:v>
      </x:c>
      <x:c r="AH11" s="75" t="n">
        <x:f>$C11*'Work phasing'!AJ11</x:f>
        <x:v>0</x:v>
      </x:c>
      <x:c r="AI11" s="75" t="n">
        <x:f>$C11*'Work phasing'!AK11</x:f>
        <x:v>0</x:v>
      </x:c>
      <x:c r="AJ11" s="76" t="n">
        <x:f>SUM(D11:AI11)</x:f>
        <x:v>135360</x:v>
      </x:c>
    </x:row>
    <x:row r="12" ht="23" customHeight="1">
      <x:c r="A12" s="52" t="str">
        <x:v>RC02</x:v>
      </x:c>
      <x:c r="B12" s="52" t="str">
        <x:v>Concrete</x:v>
      </x:c>
      <x:c r="C12" s="73" t="n">
        <x:f>'Budget'!F12</x:f>
        <x:v>1664640</x:v>
      </x:c>
      <x:c r="D12" s="73" t="n">
        <x:f>$C12*'Work phasing'!F12</x:f>
        <x:v>0</x:v>
      </x:c>
      <x:c r="E12" s="73" t="n">
        <x:f>$C12*'Work phasing'!G12</x:f>
        <x:v>0</x:v>
      </x:c>
      <x:c r="F12" s="73" t="n">
        <x:f>$C12*'Work phasing'!H12</x:f>
        <x:v>665856</x:v>
      </x:c>
      <x:c r="G12" s="73" t="n">
        <x:f>$C12*'Work phasing'!I12</x:f>
        <x:v>499392</x:v>
      </x:c>
      <x:c r="H12" s="73" t="n">
        <x:f>$C12*'Work phasing'!J12</x:f>
        <x:v>332928</x:v>
      </x:c>
      <x:c r="I12" s="73" t="n">
        <x:f>$C12*'Work phasing'!K12</x:f>
        <x:v>166464</x:v>
      </x:c>
      <x:c r="J12" s="73" t="n">
        <x:f>$C12*'Work phasing'!L12</x:f>
        <x:v>0</x:v>
      </x:c>
      <x:c r="K12" s="73" t="n">
        <x:f>$C12*'Work phasing'!M12</x:f>
        <x:v>0</x:v>
      </x:c>
      <x:c r="L12" s="73" t="n">
        <x:f>$C12*'Work phasing'!N12</x:f>
        <x:v>0</x:v>
      </x:c>
      <x:c r="M12" s="73" t="n">
        <x:f>$C12*'Work phasing'!O12</x:f>
        <x:v>0</x:v>
      </x:c>
      <x:c r="N12" s="73" t="n">
        <x:f>$C12*'Work phasing'!P12</x:f>
        <x:v>0</x:v>
      </x:c>
      <x:c r="O12" s="73" t="n">
        <x:f>$C12*'Work phasing'!Q12</x:f>
        <x:v>0</x:v>
      </x:c>
      <x:c r="P12" s="73" t="n">
        <x:f>$C12*'Work phasing'!R12</x:f>
        <x:v>0</x:v>
      </x:c>
      <x:c r="Q12" s="73" t="n">
        <x:f>$C12*'Work phasing'!S12</x:f>
        <x:v>0</x:v>
      </x:c>
      <x:c r="R12" s="73" t="n">
        <x:f>$C12*'Work phasing'!T12</x:f>
        <x:v>0</x:v>
      </x:c>
      <x:c r="S12" s="73" t="n">
        <x:f>$C12*'Work phasing'!U12</x:f>
        <x:v>0</x:v>
      </x:c>
      <x:c r="T12" s="73" t="n">
        <x:f>$C12*'Work phasing'!V12</x:f>
        <x:v>0</x:v>
      </x:c>
      <x:c r="U12" s="73" t="n">
        <x:f>$C12*'Work phasing'!W12</x:f>
        <x:v>0</x:v>
      </x:c>
      <x:c r="V12" s="73" t="n">
        <x:f>$C12*'Work phasing'!X12</x:f>
        <x:v>0</x:v>
      </x:c>
      <x:c r="W12" s="73" t="n">
        <x:f>$C12*'Work phasing'!Y12</x:f>
        <x:v>0</x:v>
      </x:c>
      <x:c r="X12" s="73" t="n">
        <x:f>$C12*'Work phasing'!Z12</x:f>
        <x:v>0</x:v>
      </x:c>
      <x:c r="Y12" s="73" t="n">
        <x:f>$C12*'Work phasing'!AA12</x:f>
        <x:v>0</x:v>
      </x:c>
      <x:c r="Z12" s="73" t="n">
        <x:f>$C12*'Work phasing'!AB12</x:f>
        <x:v>0</x:v>
      </x:c>
      <x:c r="AA12" s="73" t="n">
        <x:f>$C12*'Work phasing'!AC12</x:f>
        <x:v>0</x:v>
      </x:c>
      <x:c r="AB12" s="73" t="n">
        <x:f>$C12*'Work phasing'!AD12</x:f>
        <x:v>0</x:v>
      </x:c>
      <x:c r="AC12" s="73" t="n">
        <x:f>$C12*'Work phasing'!AE12</x:f>
        <x:v>0</x:v>
      </x:c>
      <x:c r="AD12" s="73" t="n">
        <x:f>$C12*'Work phasing'!AF12</x:f>
        <x:v>0</x:v>
      </x:c>
      <x:c r="AE12" s="73" t="n">
        <x:f>$C12*'Work phasing'!AG12</x:f>
        <x:v>0</x:v>
      </x:c>
      <x:c r="AF12" s="73" t="n">
        <x:f>$C12*'Work phasing'!AH12</x:f>
        <x:v>0</x:v>
      </x:c>
      <x:c r="AG12" s="73" t="n">
        <x:f>$C12*'Work phasing'!AI12</x:f>
        <x:v>0</x:v>
      </x:c>
      <x:c r="AH12" s="73" t="n">
        <x:f>$C12*'Work phasing'!AJ12</x:f>
        <x:v>0</x:v>
      </x:c>
      <x:c r="AI12" s="73" t="n">
        <x:f>$C12*'Work phasing'!AK12</x:f>
        <x:v>0</x:v>
      </x:c>
      <x:c r="AJ12" s="74" t="n">
        <x:f>SUM(D12:AI12)</x:f>
        <x:v>1664640</x:v>
      </x:c>
    </x:row>
    <x:row r="13" ht="23" customHeight="1">
      <x:c r="A13" s="54" t="str">
        <x:v>RC03</x:v>
      </x:c>
      <x:c r="B13" s="54" t="str">
        <x:v>Concrete</x:v>
      </x:c>
      <x:c r="C13" s="75" t="n">
        <x:f>'Budget'!F13</x:f>
        <x:v>1707900.479999996</x:v>
      </x:c>
      <x:c r="D13" s="75" t="n">
        <x:f>$C13*'Work phasing'!F13</x:f>
        <x:v>0</x:v>
      </x:c>
      <x:c r="E13" s="75" t="n">
        <x:f>$C13*'Work phasing'!G13</x:f>
        <x:v>0</x:v>
      </x:c>
      <x:c r="F13" s="75" t="n">
        <x:f>$C13*'Work phasing'!H13</x:f>
        <x:v>0</x:v>
      </x:c>
      <x:c r="G13" s="75" t="n">
        <x:f>$C13*'Work phasing'!I13</x:f>
        <x:v>0</x:v>
      </x:c>
      <x:c r="H13" s="75" t="n">
        <x:f>$C13*'Work phasing'!J13</x:f>
        <x:v>0</x:v>
      </x:c>
      <x:c r="I13" s="75" t="n">
        <x:f>$C13*'Work phasing'!K13</x:f>
        <x:v>262753.9199999994</x:v>
      </x:c>
      <x:c r="J13" s="75" t="n">
        <x:f>$C13*'Work phasing'!L13</x:f>
        <x:v>240857.75999999943</x:v>
      </x:c>
      <x:c r="K13" s="75" t="n">
        <x:f>$C13*'Work phasing'!M13</x:f>
        <x:v>218961.59999999948</x:v>
      </x:c>
      <x:c r="L13" s="75" t="n">
        <x:f>$C13*'Work phasing'!N13</x:f>
        <x:v>197065.43999999957</x:v>
      </x:c>
      <x:c r="M13" s="75" t="n">
        <x:f>$C13*'Work phasing'!O13</x:f>
        <x:v>175169.2799999996</x:v>
      </x:c>
      <x:c r="N13" s="75" t="n">
        <x:f>$C13*'Work phasing'!P13</x:f>
        <x:v>153273.11999999965</x:v>
      </x:c>
      <x:c r="O13" s="75" t="n">
        <x:f>$C13*'Work phasing'!Q13</x:f>
        <x:v>131376.9599999997</x:v>
      </x:c>
      <x:c r="P13" s="75" t="n">
        <x:f>$C13*'Work phasing'!R13</x:f>
        <x:v>109480.79999999974</x:v>
      </x:c>
      <x:c r="Q13" s="75" t="n">
        <x:f>$C13*'Work phasing'!S13</x:f>
        <x:v>87584.6399999998</x:v>
      </x:c>
      <x:c r="R13" s="75" t="n">
        <x:f>$C13*'Work phasing'!T13</x:f>
        <x:v>65688.47999999985</x:v>
      </x:c>
      <x:c r="S13" s="75" t="n">
        <x:f>$C13*'Work phasing'!U13</x:f>
        <x:v>43792.3199999999</x:v>
      </x:c>
      <x:c r="T13" s="75" t="n">
        <x:f>$C13*'Work phasing'!V13</x:f>
        <x:v>21896.15999999995</x:v>
      </x:c>
      <x:c r="U13" s="75" t="n">
        <x:f>$C13*'Work phasing'!W13</x:f>
        <x:v>0</x:v>
      </x:c>
      <x:c r="V13" s="75" t="n">
        <x:f>$C13*'Work phasing'!X13</x:f>
        <x:v>0</x:v>
      </x:c>
      <x:c r="W13" s="75" t="n">
        <x:f>$C13*'Work phasing'!Y13</x:f>
        <x:v>0</x:v>
      </x:c>
      <x:c r="X13" s="75" t="n">
        <x:f>$C13*'Work phasing'!Z13</x:f>
        <x:v>0</x:v>
      </x:c>
      <x:c r="Y13" s="75" t="n">
        <x:f>$C13*'Work phasing'!AA13</x:f>
        <x:v>0</x:v>
      </x:c>
      <x:c r="Z13" s="75" t="n">
        <x:f>$C13*'Work phasing'!AB13</x:f>
        <x:v>0</x:v>
      </x:c>
      <x:c r="AA13" s="75" t="n">
        <x:f>$C13*'Work phasing'!AC13</x:f>
        <x:v>0</x:v>
      </x:c>
      <x:c r="AB13" s="75" t="n">
        <x:f>$C13*'Work phasing'!AD13</x:f>
        <x:v>0</x:v>
      </x:c>
      <x:c r="AC13" s="75" t="n">
        <x:f>$C13*'Work phasing'!AE13</x:f>
        <x:v>0</x:v>
      </x:c>
      <x:c r="AD13" s="75" t="n">
        <x:f>$C13*'Work phasing'!AF13</x:f>
        <x:v>0</x:v>
      </x:c>
      <x:c r="AE13" s="75" t="n">
        <x:f>$C13*'Work phasing'!AG13</x:f>
        <x:v>0</x:v>
      </x:c>
      <x:c r="AF13" s="75" t="n">
        <x:f>$C13*'Work phasing'!AH13</x:f>
        <x:v>0</x:v>
      </x:c>
      <x:c r="AG13" s="75" t="n">
        <x:f>$C13*'Work phasing'!AI13</x:f>
        <x:v>0</x:v>
      </x:c>
      <x:c r="AH13" s="75" t="n">
        <x:f>$C13*'Work phasing'!AJ13</x:f>
        <x:v>0</x:v>
      </x:c>
      <x:c r="AI13" s="75" t="n">
        <x:f>$C13*'Work phasing'!AK13</x:f>
        <x:v>0</x:v>
      </x:c>
      <x:c r="AJ13" s="76" t="n">
        <x:f>SUM(D13:AI13)</x:f>
        <x:v>1707900.479999996</x:v>
      </x:c>
    </x:row>
    <x:row r="14" ht="23" customHeight="1">
      <x:c r="A14" s="52" t="str">
        <x:v>RC04</x:v>
      </x:c>
      <x:c r="B14" s="52" t="str">
        <x:v>Concrete</x:v>
      </x:c>
      <x:c r="C14" s="73" t="n">
        <x:f>'Budget'!F14</x:f>
        <x:v>361855.4939999996</x:v>
      </x:c>
      <x:c r="D14" s="73" t="n">
        <x:f>$C14*'Work phasing'!F14</x:f>
        <x:v>0</x:v>
      </x:c>
      <x:c r="E14" s="73" t="n">
        <x:f>$C14*'Work phasing'!G14</x:f>
        <x:v>0</x:v>
      </x:c>
      <x:c r="F14" s="73" t="n">
        <x:f>$C14*'Work phasing'!H14</x:f>
        <x:v>0</x:v>
      </x:c>
      <x:c r="G14" s="73" t="n">
        <x:f>$C14*'Work phasing'!I14</x:f>
        <x:v>0</x:v>
      </x:c>
      <x:c r="H14" s="73" t="n">
        <x:f>$C14*'Work phasing'!J14</x:f>
        <x:v>0</x:v>
      </x:c>
      <x:c r="I14" s="73" t="n">
        <x:f>$C14*'Work phasing'!K14</x:f>
        <x:v>55670.07599999994</x:v>
      </x:c>
      <x:c r="J14" s="73" t="n">
        <x:f>$C14*'Work phasing'!L14</x:f>
        <x:v>51030.90299999994</x:v>
      </x:c>
      <x:c r="K14" s="73" t="n">
        <x:f>$C14*'Work phasing'!M14</x:f>
        <x:v>46391.729999999945</x:v>
      </x:c>
      <x:c r="L14" s="73" t="n">
        <x:f>$C14*'Work phasing'!N14</x:f>
        <x:v>41752.55699999996</x:v>
      </x:c>
      <x:c r="M14" s="73" t="n">
        <x:f>$C14*'Work phasing'!O14</x:f>
        <x:v>37113.383999999955</x:v>
      </x:c>
      <x:c r="N14" s="73" t="n">
        <x:f>$C14*'Work phasing'!P14</x:f>
        <x:v>32474.210999999963</x:v>
      </x:c>
      <x:c r="O14" s="73" t="n">
        <x:f>$C14*'Work phasing'!Q14</x:f>
        <x:v>27835.03799999997</x:v>
      </x:c>
      <x:c r="P14" s="73" t="n">
        <x:f>$C14*'Work phasing'!R14</x:f>
        <x:v>23195.864999999972</x:v>
      </x:c>
      <x:c r="Q14" s="73" t="n">
        <x:f>$C14*'Work phasing'!S14</x:f>
        <x:v>18556.691999999977</x:v>
      </x:c>
      <x:c r="R14" s="73" t="n">
        <x:f>$C14*'Work phasing'!T14</x:f>
        <x:v>13917.518999999986</x:v>
      </x:c>
      <x:c r="S14" s="73" t="n">
        <x:f>$C14*'Work phasing'!U14</x:f>
        <x:v>9278.345999999989</x:v>
      </x:c>
      <x:c r="T14" s="73" t="n">
        <x:f>$C14*'Work phasing'!V14</x:f>
        <x:v>4639.172999999994</x:v>
      </x:c>
      <x:c r="U14" s="73" t="n">
        <x:f>$C14*'Work phasing'!W14</x:f>
        <x:v>0</x:v>
      </x:c>
      <x:c r="V14" s="73" t="n">
        <x:f>$C14*'Work phasing'!X14</x:f>
        <x:v>0</x:v>
      </x:c>
      <x:c r="W14" s="73" t="n">
        <x:f>$C14*'Work phasing'!Y14</x:f>
        <x:v>0</x:v>
      </x:c>
      <x:c r="X14" s="73" t="n">
        <x:f>$C14*'Work phasing'!Z14</x:f>
        <x:v>0</x:v>
      </x:c>
      <x:c r="Y14" s="73" t="n">
        <x:f>$C14*'Work phasing'!AA14</x:f>
        <x:v>0</x:v>
      </x:c>
      <x:c r="Z14" s="73" t="n">
        <x:f>$C14*'Work phasing'!AB14</x:f>
        <x:v>0</x:v>
      </x:c>
      <x:c r="AA14" s="73" t="n">
        <x:f>$C14*'Work phasing'!AC14</x:f>
        <x:v>0</x:v>
      </x:c>
      <x:c r="AB14" s="73" t="n">
        <x:f>$C14*'Work phasing'!AD14</x:f>
        <x:v>0</x:v>
      </x:c>
      <x:c r="AC14" s="73" t="n">
        <x:f>$C14*'Work phasing'!AE14</x:f>
        <x:v>0</x:v>
      </x:c>
      <x:c r="AD14" s="73" t="n">
        <x:f>$C14*'Work phasing'!AF14</x:f>
        <x:v>0</x:v>
      </x:c>
      <x:c r="AE14" s="73" t="n">
        <x:f>$C14*'Work phasing'!AG14</x:f>
        <x:v>0</x:v>
      </x:c>
      <x:c r="AF14" s="73" t="n">
        <x:f>$C14*'Work phasing'!AH14</x:f>
        <x:v>0</x:v>
      </x:c>
      <x:c r="AG14" s="73" t="n">
        <x:f>$C14*'Work phasing'!AI14</x:f>
        <x:v>0</x:v>
      </x:c>
      <x:c r="AH14" s="73" t="n">
        <x:f>$C14*'Work phasing'!AJ14</x:f>
        <x:v>0</x:v>
      </x:c>
      <x:c r="AI14" s="73" t="n">
        <x:f>$C14*'Work phasing'!AK14</x:f>
        <x:v>0</x:v>
      </x:c>
      <x:c r="AJ14" s="74" t="n">
        <x:f>SUM(D14:AI14)</x:f>
        <x:v>361855.49399999954</x:v>
      </x:c>
    </x:row>
    <x:row r="15" ht="23" customHeight="1">
      <x:c r="A15" s="54" t="str">
        <x:v>RC05</x:v>
      </x:c>
      <x:c r="B15" s="54" t="str">
        <x:v>Concrete</x:v>
      </x:c>
      <x:c r="C15" s="75" t="n">
        <x:f>'Budget'!F15</x:f>
        <x:v>285901.1999999996</x:v>
      </x:c>
      <x:c r="D15" s="75" t="n">
        <x:f>$C15*'Work phasing'!F15</x:f>
        <x:v>0</x:v>
      </x:c>
      <x:c r="E15" s="75" t="n">
        <x:f>$C15*'Work phasing'!G15</x:f>
        <x:v>0</x:v>
      </x:c>
      <x:c r="F15" s="75" t="n">
        <x:f>$C15*'Work phasing'!H15</x:f>
        <x:v>0</x:v>
      </x:c>
      <x:c r="G15" s="75" t="n">
        <x:f>$C15*'Work phasing'!I15</x:f>
        <x:v>0</x:v>
      </x:c>
      <x:c r="H15" s="75" t="n">
        <x:f>$C15*'Work phasing'!J15</x:f>
        <x:v>43984.799999999945</x:v>
      </x:c>
      <x:c r="I15" s="75" t="n">
        <x:f>$C15*'Work phasing'!K15</x:f>
        <x:v>40319.39999999994</x:v>
      </x:c>
      <x:c r="J15" s="75" t="n">
        <x:f>$C15*'Work phasing'!L15</x:f>
        <x:v>36653.99999999995</x:v>
      </x:c>
      <x:c r="K15" s="75" t="n">
        <x:f>$C15*'Work phasing'!M15</x:f>
        <x:v>32988.599999999955</x:v>
      </x:c>
      <x:c r="L15" s="75" t="n">
        <x:f>$C15*'Work phasing'!N15</x:f>
        <x:v>29323.199999999957</x:v>
      </x:c>
      <x:c r="M15" s="75" t="n">
        <x:f>$C15*'Work phasing'!O15</x:f>
        <x:v>25657.799999999963</x:v>
      </x:c>
      <x:c r="N15" s="75" t="n">
        <x:f>$C15*'Work phasing'!P15</x:f>
        <x:v>21992.399999999972</x:v>
      </x:c>
      <x:c r="O15" s="75" t="n">
        <x:f>$C15*'Work phasing'!Q15</x:f>
        <x:v>18326.999999999975</x:v>
      </x:c>
      <x:c r="P15" s="75" t="n">
        <x:f>$C15*'Work phasing'!R15</x:f>
        <x:v>14661.599999999979</x:v>
      </x:c>
      <x:c r="Q15" s="75" t="n">
        <x:f>$C15*'Work phasing'!S15</x:f>
        <x:v>10996.199999999986</x:v>
      </x:c>
      <x:c r="R15" s="75" t="n">
        <x:f>$C15*'Work phasing'!T15</x:f>
        <x:v>7330.799999999989</x:v>
      </x:c>
      <x:c r="S15" s="75" t="n">
        <x:f>$C15*'Work phasing'!U15</x:f>
        <x:v>3665.3999999999946</x:v>
      </x:c>
      <x:c r="T15" s="75" t="n">
        <x:f>$C15*'Work phasing'!V15</x:f>
        <x:v>0</x:v>
      </x:c>
      <x:c r="U15" s="75" t="n">
        <x:f>$C15*'Work phasing'!W15</x:f>
        <x:v>0</x:v>
      </x:c>
      <x:c r="V15" s="75" t="n">
        <x:f>$C15*'Work phasing'!X15</x:f>
        <x:v>0</x:v>
      </x:c>
      <x:c r="W15" s="75" t="n">
        <x:f>$C15*'Work phasing'!Y15</x:f>
        <x:v>0</x:v>
      </x:c>
      <x:c r="X15" s="75" t="n">
        <x:f>$C15*'Work phasing'!Z15</x:f>
        <x:v>0</x:v>
      </x:c>
      <x:c r="Y15" s="75" t="n">
        <x:f>$C15*'Work phasing'!AA15</x:f>
        <x:v>0</x:v>
      </x:c>
      <x:c r="Z15" s="75" t="n">
        <x:f>$C15*'Work phasing'!AB15</x:f>
        <x:v>0</x:v>
      </x:c>
      <x:c r="AA15" s="75" t="n">
        <x:f>$C15*'Work phasing'!AC15</x:f>
        <x:v>0</x:v>
      </x:c>
      <x:c r="AB15" s="75" t="n">
        <x:f>$C15*'Work phasing'!AD15</x:f>
        <x:v>0</x:v>
      </x:c>
      <x:c r="AC15" s="75" t="n">
        <x:f>$C15*'Work phasing'!AE15</x:f>
        <x:v>0</x:v>
      </x:c>
      <x:c r="AD15" s="75" t="n">
        <x:f>$C15*'Work phasing'!AF15</x:f>
        <x:v>0</x:v>
      </x:c>
      <x:c r="AE15" s="75" t="n">
        <x:f>$C15*'Work phasing'!AG15</x:f>
        <x:v>0</x:v>
      </x:c>
      <x:c r="AF15" s="75" t="n">
        <x:f>$C15*'Work phasing'!AH15</x:f>
        <x:v>0</x:v>
      </x:c>
      <x:c r="AG15" s="75" t="n">
        <x:f>$C15*'Work phasing'!AI15</x:f>
        <x:v>0</x:v>
      </x:c>
      <x:c r="AH15" s="75" t="n">
        <x:f>$C15*'Work phasing'!AJ15</x:f>
        <x:v>0</x:v>
      </x:c>
      <x:c r="AI15" s="75" t="n">
        <x:f>$C15*'Work phasing'!AK15</x:f>
        <x:v>0</x:v>
      </x:c>
      <x:c r="AJ15" s="76" t="n">
        <x:f>SUM(D15:AI15)</x:f>
        <x:v>285901.19999999966</x:v>
      </x:c>
    </x:row>
    <x:row r="16" ht="23" customHeight="1">
      <x:c r="A16" s="52" t="str">
        <x:v>RC06</x:v>
      </x:c>
      <x:c r="B16" s="52" t="str">
        <x:v>Concrete</x:v>
      </x:c>
      <x:c r="C16" s="73" t="n">
        <x:f>'Budget'!F16</x:f>
        <x:v>224537.04000000036</x:v>
      </x:c>
      <x:c r="D16" s="73" t="n">
        <x:f>$C16*'Work phasing'!F16</x:f>
        <x:v>0</x:v>
      </x:c>
      <x:c r="E16" s="73" t="n">
        <x:f>$C16*'Work phasing'!G16</x:f>
        <x:v>0</x:v>
      </x:c>
      <x:c r="F16" s="73" t="n">
        <x:f>$C16*'Work phasing'!H16</x:f>
        <x:v>0</x:v>
      </x:c>
      <x:c r="G16" s="73" t="n">
        <x:f>$C16*'Work phasing'!I16</x:f>
        <x:v>0</x:v>
      </x:c>
      <x:c r="H16" s="73" t="n">
        <x:f>$C16*'Work phasing'!J16</x:f>
        <x:v>34544.160000000054</x:v>
      </x:c>
      <x:c r="I16" s="73" t="n">
        <x:f>$C16*'Work phasing'!K16</x:f>
        <x:v>31665.48000000005</x:v>
      </x:c>
      <x:c r="J16" s="73" t="n">
        <x:f>$C16*'Work phasing'!L16</x:f>
        <x:v>28786.800000000043</x:v>
      </x:c>
      <x:c r="K16" s="73" t="n">
        <x:f>$C16*'Work phasing'!M16</x:f>
        <x:v>25908.120000000043</x:v>
      </x:c>
      <x:c r="L16" s="73" t="n">
        <x:f>$C16*'Work phasing'!N16</x:f>
        <x:v>23029.440000000035</x:v>
      </x:c>
      <x:c r="M16" s="73" t="n">
        <x:f>$C16*'Work phasing'!O16</x:f>
        <x:v>20150.76000000003</x:v>
      </x:c>
      <x:c r="N16" s="73" t="n">
        <x:f>$C16*'Work phasing'!P16</x:f>
        <x:v>17272.080000000027</x:v>
      </x:c>
      <x:c r="O16" s="73" t="n">
        <x:f>$C16*'Work phasing'!Q16</x:f>
        <x:v>14393.400000000021</x:v>
      </x:c>
      <x:c r="P16" s="73" t="n">
        <x:f>$C16*'Work phasing'!R16</x:f>
        <x:v>11514.720000000018</x:v>
      </x:c>
      <x:c r="Q16" s="73" t="n">
        <x:f>$C16*'Work phasing'!S16</x:f>
        <x:v>8636.040000000014</x:v>
      </x:c>
      <x:c r="R16" s="73" t="n">
        <x:f>$C16*'Work phasing'!T16</x:f>
        <x:v>5757.360000000009</x:v>
      </x:c>
      <x:c r="S16" s="73" t="n">
        <x:f>$C16*'Work phasing'!U16</x:f>
        <x:v>2878.6800000000044</x:v>
      </x:c>
      <x:c r="T16" s="73" t="n">
        <x:f>$C16*'Work phasing'!V16</x:f>
        <x:v>0</x:v>
      </x:c>
      <x:c r="U16" s="73" t="n">
        <x:f>$C16*'Work phasing'!W16</x:f>
        <x:v>0</x:v>
      </x:c>
      <x:c r="V16" s="73" t="n">
        <x:f>$C16*'Work phasing'!X16</x:f>
        <x:v>0</x:v>
      </x:c>
      <x:c r="W16" s="73" t="n">
        <x:f>$C16*'Work phasing'!Y16</x:f>
        <x:v>0</x:v>
      </x:c>
      <x:c r="X16" s="73" t="n">
        <x:f>$C16*'Work phasing'!Z16</x:f>
        <x:v>0</x:v>
      </x:c>
      <x:c r="Y16" s="73" t="n">
        <x:f>$C16*'Work phasing'!AA16</x:f>
        <x:v>0</x:v>
      </x:c>
      <x:c r="Z16" s="73" t="n">
        <x:f>$C16*'Work phasing'!AB16</x:f>
        <x:v>0</x:v>
      </x:c>
      <x:c r="AA16" s="73" t="n">
        <x:f>$C16*'Work phasing'!AC16</x:f>
        <x:v>0</x:v>
      </x:c>
      <x:c r="AB16" s="73" t="n">
        <x:f>$C16*'Work phasing'!AD16</x:f>
        <x:v>0</x:v>
      </x:c>
      <x:c r="AC16" s="73" t="n">
        <x:f>$C16*'Work phasing'!AE16</x:f>
        <x:v>0</x:v>
      </x:c>
      <x:c r="AD16" s="73" t="n">
        <x:f>$C16*'Work phasing'!AF16</x:f>
        <x:v>0</x:v>
      </x:c>
      <x:c r="AE16" s="73" t="n">
        <x:f>$C16*'Work phasing'!AG16</x:f>
        <x:v>0</x:v>
      </x:c>
      <x:c r="AF16" s="73" t="n">
        <x:f>$C16*'Work phasing'!AH16</x:f>
        <x:v>0</x:v>
      </x:c>
      <x:c r="AG16" s="73" t="n">
        <x:f>$C16*'Work phasing'!AI16</x:f>
        <x:v>0</x:v>
      </x:c>
      <x:c r="AH16" s="73" t="n">
        <x:f>$C16*'Work phasing'!AJ16</x:f>
        <x:v>0</x:v>
      </x:c>
      <x:c r="AI16" s="73" t="n">
        <x:f>$C16*'Work phasing'!AK16</x:f>
        <x:v>0</x:v>
      </x:c>
      <x:c r="AJ16" s="74" t="n">
        <x:f>SUM(D16:AI16)</x:f>
        <x:v>224537.04000000036</x:v>
      </x:c>
    </x:row>
    <x:row r="17" ht="23" customHeight="1">
      <x:c r="A17" s="54" t="str">
        <x:v>RC07</x:v>
      </x:c>
      <x:c r="B17" s="54" t="str">
        <x:v>Concrete</x:v>
      </x:c>
      <x:c r="C17" s="75" t="n">
        <x:f>'Budget'!F17</x:f>
        <x:v>34942.75199999998</x:v>
      </x:c>
      <x:c r="D17" s="75" t="n">
        <x:f>$C17*'Work phasing'!F17</x:f>
        <x:v>0</x:v>
      </x:c>
      <x:c r="E17" s="75" t="n">
        <x:f>$C17*'Work phasing'!G17</x:f>
        <x:v>0</x:v>
      </x:c>
      <x:c r="F17" s="75" t="n">
        <x:f>$C17*'Work phasing'!H17</x:f>
        <x:v>0</x:v>
      </x:c>
      <x:c r="G17" s="75" t="n">
        <x:f>$C17*'Work phasing'!I17</x:f>
        <x:v>0</x:v>
      </x:c>
      <x:c r="H17" s="75" t="n">
        <x:f>$C17*'Work phasing'!J17</x:f>
        <x:v>0</x:v>
      </x:c>
      <x:c r="I17" s="75" t="n">
        <x:f>$C17*'Work phasing'!K17</x:f>
        <x:v>4991.821714285711</x:v>
      </x:c>
      <x:c r="J17" s="75" t="n">
        <x:f>$C17*'Work phasing'!L17</x:f>
        <x:v>4607.835428571426</x:v>
      </x:c>
      <x:c r="K17" s="75" t="n">
        <x:f>$C17*'Work phasing'!M17</x:f>
        <x:v>4223.849142857141</x:v>
      </x:c>
      <x:c r="L17" s="75" t="n">
        <x:f>$C17*'Work phasing'!N17</x:f>
        <x:v>3839.862857142855</x:v>
      </x:c>
      <x:c r="M17" s="75" t="n">
        <x:f>$C17*'Work phasing'!O17</x:f>
        <x:v>3455.876571428569</x:v>
      </x:c>
      <x:c r="N17" s="75" t="n">
        <x:f>$C17*'Work phasing'!P17</x:f>
        <x:v>3071.890285714284</x:v>
      </x:c>
      <x:c r="O17" s="75" t="n">
        <x:f>$C17*'Work phasing'!Q17</x:f>
        <x:v>2687.9039999999986</x:v>
      </x:c>
      <x:c r="P17" s="75" t="n">
        <x:f>$C17*'Work phasing'!R17</x:f>
        <x:v>2303.917714285713</x:v>
      </x:c>
      <x:c r="Q17" s="75" t="n">
        <x:f>$C17*'Work phasing'!S17</x:f>
        <x:v>1919.9314285714274</x:v>
      </x:c>
      <x:c r="R17" s="75" t="n">
        <x:f>$C17*'Work phasing'!T17</x:f>
        <x:v>1535.945142857142</x:v>
      </x:c>
      <x:c r="S17" s="75" t="n">
        <x:f>$C17*'Work phasing'!U17</x:f>
        <x:v>1151.9588571428565</x:v>
      </x:c>
      <x:c r="T17" s="75" t="n">
        <x:f>$C17*'Work phasing'!V17</x:f>
        <x:v>767.972571428571</x:v>
      </x:c>
      <x:c r="U17" s="75" t="n">
        <x:f>$C17*'Work phasing'!W17</x:f>
        <x:v>383.9862857142855</x:v>
      </x:c>
      <x:c r="V17" s="75" t="n">
        <x:f>$C17*'Work phasing'!X17</x:f>
        <x:v>0</x:v>
      </x:c>
      <x:c r="W17" s="75" t="n">
        <x:f>$C17*'Work phasing'!Y17</x:f>
        <x:v>0</x:v>
      </x:c>
      <x:c r="X17" s="75" t="n">
        <x:f>$C17*'Work phasing'!Z17</x:f>
        <x:v>0</x:v>
      </x:c>
      <x:c r="Y17" s="75" t="n">
        <x:f>$C17*'Work phasing'!AA17</x:f>
        <x:v>0</x:v>
      </x:c>
      <x:c r="Z17" s="75" t="n">
        <x:f>$C17*'Work phasing'!AB17</x:f>
        <x:v>0</x:v>
      </x:c>
      <x:c r="AA17" s="75" t="n">
        <x:f>$C17*'Work phasing'!AC17</x:f>
        <x:v>0</x:v>
      </x:c>
      <x:c r="AB17" s="75" t="n">
        <x:f>$C17*'Work phasing'!AD17</x:f>
        <x:v>0</x:v>
      </x:c>
      <x:c r="AC17" s="75" t="n">
        <x:f>$C17*'Work phasing'!AE17</x:f>
        <x:v>0</x:v>
      </x:c>
      <x:c r="AD17" s="75" t="n">
        <x:f>$C17*'Work phasing'!AF17</x:f>
        <x:v>0</x:v>
      </x:c>
      <x:c r="AE17" s="75" t="n">
        <x:f>$C17*'Work phasing'!AG17</x:f>
        <x:v>0</x:v>
      </x:c>
      <x:c r="AF17" s="75" t="n">
        <x:f>$C17*'Work phasing'!AH17</x:f>
        <x:v>0</x:v>
      </x:c>
      <x:c r="AG17" s="75" t="n">
        <x:f>$C17*'Work phasing'!AI17</x:f>
        <x:v>0</x:v>
      </x:c>
      <x:c r="AH17" s="75" t="n">
        <x:f>$C17*'Work phasing'!AJ17</x:f>
        <x:v>0</x:v>
      </x:c>
      <x:c r="AI17" s="75" t="n">
        <x:f>$C17*'Work phasing'!AK17</x:f>
        <x:v>0</x:v>
      </x:c>
      <x:c r="AJ17" s="76" t="n">
        <x:f>SUM(D17:AI17)</x:f>
        <x:v>34942.75199999998</x:v>
      </x:c>
    </x:row>
    <x:row r="18" ht="23" customHeight="1">
      <x:c r="A18" s="52" t="str">
        <x:v>RC08</x:v>
      </x:c>
      <x:c r="B18" s="52" t="str">
        <x:v>Concrete</x:v>
      </x:c>
      <x:c r="C18" s="73" t="n">
        <x:f>'Budget'!F18</x:f>
        <x:v>77924.7</x:v>
      </x:c>
      <x:c r="D18" s="73" t="n">
        <x:f>$C18*'Work phasing'!F18</x:f>
        <x:v>0</x:v>
      </x:c>
      <x:c r="E18" s="73" t="n">
        <x:f>$C18*'Work phasing'!G18</x:f>
        <x:v>0</x:v>
      </x:c>
      <x:c r="F18" s="73" t="n">
        <x:f>$C18*'Work phasing'!H18</x:f>
        <x:v>31169.88</x:v>
      </x:c>
      <x:c r="G18" s="73" t="n">
        <x:f>$C18*'Work phasing'!I18</x:f>
        <x:v>23377.41</x:v>
      </x:c>
      <x:c r="H18" s="73" t="n">
        <x:f>$C18*'Work phasing'!J18</x:f>
        <x:v>15584.94</x:v>
      </x:c>
      <x:c r="I18" s="73" t="n">
        <x:f>$C18*'Work phasing'!K18</x:f>
        <x:v>7792.47</x:v>
      </x:c>
      <x:c r="J18" s="73" t="n">
        <x:f>$C18*'Work phasing'!L18</x:f>
        <x:v>0</x:v>
      </x:c>
      <x:c r="K18" s="73" t="n">
        <x:f>$C18*'Work phasing'!M18</x:f>
        <x:v>0</x:v>
      </x:c>
      <x:c r="L18" s="73" t="n">
        <x:f>$C18*'Work phasing'!N18</x:f>
        <x:v>0</x:v>
      </x:c>
      <x:c r="M18" s="73" t="n">
        <x:f>$C18*'Work phasing'!O18</x:f>
        <x:v>0</x:v>
      </x:c>
      <x:c r="N18" s="73" t="n">
        <x:f>$C18*'Work phasing'!P18</x:f>
        <x:v>0</x:v>
      </x:c>
      <x:c r="O18" s="73" t="n">
        <x:f>$C18*'Work phasing'!Q18</x:f>
        <x:v>0</x:v>
      </x:c>
      <x:c r="P18" s="73" t="n">
        <x:f>$C18*'Work phasing'!R18</x:f>
        <x:v>0</x:v>
      </x:c>
      <x:c r="Q18" s="73" t="n">
        <x:f>$C18*'Work phasing'!S18</x:f>
        <x:v>0</x:v>
      </x:c>
      <x:c r="R18" s="73" t="n">
        <x:f>$C18*'Work phasing'!T18</x:f>
        <x:v>0</x:v>
      </x:c>
      <x:c r="S18" s="73" t="n">
        <x:f>$C18*'Work phasing'!U18</x:f>
        <x:v>0</x:v>
      </x:c>
      <x:c r="T18" s="73" t="n">
        <x:f>$C18*'Work phasing'!V18</x:f>
        <x:v>0</x:v>
      </x:c>
      <x:c r="U18" s="73" t="n">
        <x:f>$C18*'Work phasing'!W18</x:f>
        <x:v>0</x:v>
      </x:c>
      <x:c r="V18" s="73" t="n">
        <x:f>$C18*'Work phasing'!X18</x:f>
        <x:v>0</x:v>
      </x:c>
      <x:c r="W18" s="73" t="n">
        <x:f>$C18*'Work phasing'!Y18</x:f>
        <x:v>0</x:v>
      </x:c>
      <x:c r="X18" s="73" t="n">
        <x:f>$C18*'Work phasing'!Z18</x:f>
        <x:v>0</x:v>
      </x:c>
      <x:c r="Y18" s="73" t="n">
        <x:f>$C18*'Work phasing'!AA18</x:f>
        <x:v>0</x:v>
      </x:c>
      <x:c r="Z18" s="73" t="n">
        <x:f>$C18*'Work phasing'!AB18</x:f>
        <x:v>0</x:v>
      </x:c>
      <x:c r="AA18" s="73" t="n">
        <x:f>$C18*'Work phasing'!AC18</x:f>
        <x:v>0</x:v>
      </x:c>
      <x:c r="AB18" s="73" t="n">
        <x:f>$C18*'Work phasing'!AD18</x:f>
        <x:v>0</x:v>
      </x:c>
      <x:c r="AC18" s="73" t="n">
        <x:f>$C18*'Work phasing'!AE18</x:f>
        <x:v>0</x:v>
      </x:c>
      <x:c r="AD18" s="73" t="n">
        <x:f>$C18*'Work phasing'!AF18</x:f>
        <x:v>0</x:v>
      </x:c>
      <x:c r="AE18" s="73" t="n">
        <x:f>$C18*'Work phasing'!AG18</x:f>
        <x:v>0</x:v>
      </x:c>
      <x:c r="AF18" s="73" t="n">
        <x:f>$C18*'Work phasing'!AH18</x:f>
        <x:v>0</x:v>
      </x:c>
      <x:c r="AG18" s="73" t="n">
        <x:f>$C18*'Work phasing'!AI18</x:f>
        <x:v>0</x:v>
      </x:c>
      <x:c r="AH18" s="73" t="n">
        <x:f>$C18*'Work phasing'!AJ18</x:f>
        <x:v>0</x:v>
      </x:c>
      <x:c r="AI18" s="73" t="n">
        <x:f>$C18*'Work phasing'!AK18</x:f>
        <x:v>0</x:v>
      </x:c>
      <x:c r="AJ18" s="74" t="n">
        <x:f>SUM(D18:AI18)</x:f>
        <x:v>77924.7</x:v>
      </x:c>
    </x:row>
    <x:row r="19" ht="23" customHeight="1">
      <x:c r="A19" s="54" t="str">
        <x:v>RC09</x:v>
      </x:c>
      <x:c r="B19" s="54" t="str">
        <x:v>Concrete</x:v>
      </x:c>
      <x:c r="C19" s="75" t="n">
        <x:f>'Budget'!F19</x:f>
        <x:v>360360</x:v>
      </x:c>
      <x:c r="D19" s="75" t="n">
        <x:f>$C19*'Work phasing'!F19</x:f>
        <x:v>0</x:v>
      </x:c>
      <x:c r="E19" s="75" t="n">
        <x:f>$C19*'Work phasing'!G19</x:f>
        <x:v>0</x:v>
      </x:c>
      <x:c r="F19" s="75" t="n">
        <x:f>$C19*'Work phasing'!H19</x:f>
        <x:v>0</x:v>
      </x:c>
      <x:c r="G19" s="75" t="n">
        <x:f>$C19*'Work phasing'!I19</x:f>
        <x:v>0</x:v>
      </x:c>
      <x:c r="H19" s="75" t="n">
        <x:f>$C19*'Work phasing'!J19</x:f>
        <x:v>144144</x:v>
      </x:c>
      <x:c r="I19" s="75" t="n">
        <x:f>$C19*'Work phasing'!K19</x:f>
        <x:v>108108</x:v>
      </x:c>
      <x:c r="J19" s="75" t="n">
        <x:f>$C19*'Work phasing'!L19</x:f>
        <x:v>72072</x:v>
      </x:c>
      <x:c r="K19" s="75" t="n">
        <x:f>$C19*'Work phasing'!M19</x:f>
        <x:v>36036</x:v>
      </x:c>
      <x:c r="L19" s="75" t="n">
        <x:f>$C19*'Work phasing'!N19</x:f>
        <x:v>0</x:v>
      </x:c>
      <x:c r="M19" s="75" t="n">
        <x:f>$C19*'Work phasing'!O19</x:f>
        <x:v>0</x:v>
      </x:c>
      <x:c r="N19" s="75" t="n">
        <x:f>$C19*'Work phasing'!P19</x:f>
        <x:v>0</x:v>
      </x:c>
      <x:c r="O19" s="75" t="n">
        <x:f>$C19*'Work phasing'!Q19</x:f>
        <x:v>0</x:v>
      </x:c>
      <x:c r="P19" s="75" t="n">
        <x:f>$C19*'Work phasing'!R19</x:f>
        <x:v>0</x:v>
      </x:c>
      <x:c r="Q19" s="75" t="n">
        <x:f>$C19*'Work phasing'!S19</x:f>
        <x:v>0</x:v>
      </x:c>
      <x:c r="R19" s="75" t="n">
        <x:f>$C19*'Work phasing'!T19</x:f>
        <x:v>0</x:v>
      </x:c>
      <x:c r="S19" s="75" t="n">
        <x:f>$C19*'Work phasing'!U19</x:f>
        <x:v>0</x:v>
      </x:c>
      <x:c r="T19" s="75" t="n">
        <x:f>$C19*'Work phasing'!V19</x:f>
        <x:v>0</x:v>
      </x:c>
      <x:c r="U19" s="75" t="n">
        <x:f>$C19*'Work phasing'!W19</x:f>
        <x:v>0</x:v>
      </x:c>
      <x:c r="V19" s="75" t="n">
        <x:f>$C19*'Work phasing'!X19</x:f>
        <x:v>0</x:v>
      </x:c>
      <x:c r="W19" s="75" t="n">
        <x:f>$C19*'Work phasing'!Y19</x:f>
        <x:v>0</x:v>
      </x:c>
      <x:c r="X19" s="75" t="n">
        <x:f>$C19*'Work phasing'!Z19</x:f>
        <x:v>0</x:v>
      </x:c>
      <x:c r="Y19" s="75" t="n">
        <x:f>$C19*'Work phasing'!AA19</x:f>
        <x:v>0</x:v>
      </x:c>
      <x:c r="Z19" s="75" t="n">
        <x:f>$C19*'Work phasing'!AB19</x:f>
        <x:v>0</x:v>
      </x:c>
      <x:c r="AA19" s="75" t="n">
        <x:f>$C19*'Work phasing'!AC19</x:f>
        <x:v>0</x:v>
      </x:c>
      <x:c r="AB19" s="75" t="n">
        <x:f>$C19*'Work phasing'!AD19</x:f>
        <x:v>0</x:v>
      </x:c>
      <x:c r="AC19" s="75" t="n">
        <x:f>$C19*'Work phasing'!AE19</x:f>
        <x:v>0</x:v>
      </x:c>
      <x:c r="AD19" s="75" t="n">
        <x:f>$C19*'Work phasing'!AF19</x:f>
        <x:v>0</x:v>
      </x:c>
      <x:c r="AE19" s="75" t="n">
        <x:f>$C19*'Work phasing'!AG19</x:f>
        <x:v>0</x:v>
      </x:c>
      <x:c r="AF19" s="75" t="n">
        <x:f>$C19*'Work phasing'!AH19</x:f>
        <x:v>0</x:v>
      </x:c>
      <x:c r="AG19" s="75" t="n">
        <x:f>$C19*'Work phasing'!AI19</x:f>
        <x:v>0</x:v>
      </x:c>
      <x:c r="AH19" s="75" t="n">
        <x:f>$C19*'Work phasing'!AJ19</x:f>
        <x:v>0</x:v>
      </x:c>
      <x:c r="AI19" s="75" t="n">
        <x:f>$C19*'Work phasing'!AK19</x:f>
        <x:v>0</x:v>
      </x:c>
      <x:c r="AJ19" s="76" t="n">
        <x:f>SUM(D19:AI19)</x:f>
        <x:v>360360</x:v>
      </x:c>
    </x:row>
    <x:row r="20" ht="23" customHeight="1">
      <x:c r="A20" s="52" t="str">
        <x:v>RB01</x:v>
      </x:c>
      <x:c r="B20" s="52" t="str">
        <x:v>Reinforcement</x:v>
      </x:c>
      <x:c r="C20" s="73" t="n">
        <x:f>'Budget'!F20</x:f>
        <x:v>4024100.6838441757</x:v>
      </x:c>
      <x:c r="D20" s="73" t="n">
        <x:f>$C20*'Work phasing'!F20</x:f>
        <x:v>0</x:v>
      </x:c>
      <x:c r="E20" s="73" t="n">
        <x:f>$C20*'Work phasing'!G20</x:f>
        <x:v>0</x:v>
      </x:c>
      <x:c r="F20" s="73" t="n">
        <x:f>$C20*'Work phasing'!H20</x:f>
        <x:v>473423.60986402066</x:v>
      </x:c>
      <x:c r="G20" s="73" t="n">
        <x:f>$C20*'Work phasing'!I20</x:f>
        <x:v>443834.63424751937</x:v>
      </x:c>
      <x:c r="H20" s="73" t="n">
        <x:f>$C20*'Work phasing'!J20</x:f>
        <x:v>414245.6586310181</x:v>
      </x:c>
      <x:c r="I20" s="73" t="n">
        <x:f>$C20*'Work phasing'!K20</x:f>
        <x:v>384656.6830145168</x:v>
      </x:c>
      <x:c r="J20" s="73" t="n">
        <x:f>$C20*'Work phasing'!L20</x:f>
        <x:v>355067.70739801554</x:v>
      </x:c>
      <x:c r="K20" s="73" t="n">
        <x:f>$C20*'Work phasing'!M20</x:f>
        <x:v>325478.73178151425</x:v>
      </x:c>
      <x:c r="L20" s="73" t="n">
        <x:f>$C20*'Work phasing'!N20</x:f>
        <x:v>295889.75616501295</x:v>
      </x:c>
      <x:c r="M20" s="73" t="n">
        <x:f>$C20*'Work phasing'!O20</x:f>
        <x:v>266300.78054851166</x:v>
      </x:c>
      <x:c r="N20" s="73" t="n">
        <x:f>$C20*'Work phasing'!P20</x:f>
        <x:v>236711.80493201033</x:v>
      </x:c>
      <x:c r="O20" s="73" t="n">
        <x:f>$C20*'Work phasing'!Q20</x:f>
        <x:v>207122.82931550904</x:v>
      </x:c>
      <x:c r="P20" s="73" t="n">
        <x:f>$C20*'Work phasing'!R20</x:f>
        <x:v>177533.85369900777</x:v>
      </x:c>
      <x:c r="Q20" s="73" t="n">
        <x:f>$C20*'Work phasing'!S20</x:f>
        <x:v>147944.87808250648</x:v>
      </x:c>
      <x:c r="R20" s="73" t="n">
        <x:f>$C20*'Work phasing'!T20</x:f>
        <x:v>118355.90246600517</x:v>
      </x:c>
      <x:c r="S20" s="73" t="n">
        <x:f>$C20*'Work phasing'!U20</x:f>
        <x:v>88766.92684950389</x:v>
      </x:c>
      <x:c r="T20" s="73" t="n">
        <x:f>$C20*'Work phasing'!V20</x:f>
        <x:v>59177.95123300258</x:v>
      </x:c>
      <x:c r="U20" s="73" t="n">
        <x:f>$C20*'Work phasing'!W20</x:f>
        <x:v>29588.97561650129</x:v>
      </x:c>
      <x:c r="V20" s="73" t="n">
        <x:f>$C20*'Work phasing'!X20</x:f>
        <x:v>0</x:v>
      </x:c>
      <x:c r="W20" s="73" t="n">
        <x:f>$C20*'Work phasing'!Y20</x:f>
        <x:v>0</x:v>
      </x:c>
      <x:c r="X20" s="73" t="n">
        <x:f>$C20*'Work phasing'!Z20</x:f>
        <x:v>0</x:v>
      </x:c>
      <x:c r="Y20" s="73" t="n">
        <x:f>$C20*'Work phasing'!AA20</x:f>
        <x:v>0</x:v>
      </x:c>
      <x:c r="Z20" s="73" t="n">
        <x:f>$C20*'Work phasing'!AB20</x:f>
        <x:v>0</x:v>
      </x:c>
      <x:c r="AA20" s="73" t="n">
        <x:f>$C20*'Work phasing'!AC20</x:f>
        <x:v>0</x:v>
      </x:c>
      <x:c r="AB20" s="73" t="n">
        <x:f>$C20*'Work phasing'!AD20</x:f>
        <x:v>0</x:v>
      </x:c>
      <x:c r="AC20" s="73" t="n">
        <x:f>$C20*'Work phasing'!AE20</x:f>
        <x:v>0</x:v>
      </x:c>
      <x:c r="AD20" s="73" t="n">
        <x:f>$C20*'Work phasing'!AF20</x:f>
        <x:v>0</x:v>
      </x:c>
      <x:c r="AE20" s="73" t="n">
        <x:f>$C20*'Work phasing'!AG20</x:f>
        <x:v>0</x:v>
      </x:c>
      <x:c r="AF20" s="73" t="n">
        <x:f>$C20*'Work phasing'!AH20</x:f>
        <x:v>0</x:v>
      </x:c>
      <x:c r="AG20" s="73" t="n">
        <x:f>$C20*'Work phasing'!AI20</x:f>
        <x:v>0</x:v>
      </x:c>
      <x:c r="AH20" s="73" t="n">
        <x:f>$C20*'Work phasing'!AJ20</x:f>
        <x:v>0</x:v>
      </x:c>
      <x:c r="AI20" s="73" t="n">
        <x:f>$C20*'Work phasing'!AK20</x:f>
        <x:v>0</x:v>
      </x:c>
      <x:c r="AJ20" s="74" t="n">
        <x:f>SUM(D20:AI20)</x:f>
        <x:v>4024100.683844176</x:v>
      </x:c>
    </x:row>
    <x:row r="21" ht="23" customHeight="1">
      <x:c r="A21" s="54" t="str">
        <x:v>FW01</x:v>
      </x:c>
      <x:c r="B21" s="54" t="str">
        <x:v>Formwork</x:v>
      </x:c>
      <x:c r="C21" s="75" t="n">
        <x:f>'Budget'!F21</x:f>
        <x:v>1055597.4000000015</x:v>
      </x:c>
      <x:c r="D21" s="75" t="n">
        <x:f>$C21*'Work phasing'!F21</x:f>
        <x:v>0</x:v>
      </x:c>
      <x:c r="E21" s="75" t="n">
        <x:f>$C21*'Work phasing'!G21</x:f>
        <x:v>0</x:v>
      </x:c>
      <x:c r="F21" s="75" t="n">
        <x:f>$C21*'Work phasing'!H21</x:f>
        <x:v>0</x:v>
      </x:c>
      <x:c r="G21" s="75" t="n">
        <x:f>$C21*'Work phasing'!I21</x:f>
        <x:v>0</x:v>
      </x:c>
      <x:c r="H21" s="75" t="n">
        <x:f>$C21*'Work phasing'!J21</x:f>
        <x:v>0</x:v>
      </x:c>
      <x:c r="I21" s="75" t="n">
        <x:f>$C21*'Work phasing'!K21</x:f>
        <x:v>162399.60000000024</x:v>
      </x:c>
      <x:c r="J21" s="75" t="n">
        <x:f>$C21*'Work phasing'!L21</x:f>
        <x:v>148866.30000000022</x:v>
      </x:c>
      <x:c r="K21" s="75" t="n">
        <x:f>$C21*'Work phasing'!M21</x:f>
        <x:v>135333.00000000017</x:v>
      </x:c>
      <x:c r="L21" s="75" t="n">
        <x:f>$C21*'Work phasing'!N21</x:f>
        <x:v>121799.70000000019</x:v>
      </x:c>
      <x:c r="M21" s="75" t="n">
        <x:f>$C21*'Work phasing'!O21</x:f>
        <x:v>108266.40000000015</x:v>
      </x:c>
      <x:c r="N21" s="75" t="n">
        <x:f>$C21*'Work phasing'!P21</x:f>
        <x:v>94733.10000000014</x:v>
      </x:c>
      <x:c r="O21" s="75" t="n">
        <x:f>$C21*'Work phasing'!Q21</x:f>
        <x:v>81199.80000000012</x:v>
      </x:c>
      <x:c r="P21" s="75" t="n">
        <x:f>$C21*'Work phasing'!R21</x:f>
        <x:v>67666.50000000009</x:v>
      </x:c>
      <x:c r="Q21" s="75" t="n">
        <x:f>$C21*'Work phasing'!S21</x:f>
        <x:v>54133.20000000008</x:v>
      </x:c>
      <x:c r="R21" s="75" t="n">
        <x:f>$C21*'Work phasing'!T21</x:f>
        <x:v>40599.90000000006</x:v>
      </x:c>
      <x:c r="S21" s="75" t="n">
        <x:f>$C21*'Work phasing'!U21</x:f>
        <x:v>27066.60000000004</x:v>
      </x:c>
      <x:c r="T21" s="75" t="n">
        <x:f>$C21*'Work phasing'!V21</x:f>
        <x:v>13533.30000000002</x:v>
      </x:c>
      <x:c r="U21" s="75" t="n">
        <x:f>$C21*'Work phasing'!W21</x:f>
        <x:v>0</x:v>
      </x:c>
      <x:c r="V21" s="75" t="n">
        <x:f>$C21*'Work phasing'!X21</x:f>
        <x:v>0</x:v>
      </x:c>
      <x:c r="W21" s="75" t="n">
        <x:f>$C21*'Work phasing'!Y21</x:f>
        <x:v>0</x:v>
      </x:c>
      <x:c r="X21" s="75" t="n">
        <x:f>$C21*'Work phasing'!Z21</x:f>
        <x:v>0</x:v>
      </x:c>
      <x:c r="Y21" s="75" t="n">
        <x:f>$C21*'Work phasing'!AA21</x:f>
        <x:v>0</x:v>
      </x:c>
      <x:c r="Z21" s="75" t="n">
        <x:f>$C21*'Work phasing'!AB21</x:f>
        <x:v>0</x:v>
      </x:c>
      <x:c r="AA21" s="75" t="n">
        <x:f>$C21*'Work phasing'!AC21</x:f>
        <x:v>0</x:v>
      </x:c>
      <x:c r="AB21" s="75" t="n">
        <x:f>$C21*'Work phasing'!AD21</x:f>
        <x:v>0</x:v>
      </x:c>
      <x:c r="AC21" s="75" t="n">
        <x:f>$C21*'Work phasing'!AE21</x:f>
        <x:v>0</x:v>
      </x:c>
      <x:c r="AD21" s="75" t="n">
        <x:f>$C21*'Work phasing'!AF21</x:f>
        <x:v>0</x:v>
      </x:c>
      <x:c r="AE21" s="75" t="n">
        <x:f>$C21*'Work phasing'!AG21</x:f>
        <x:v>0</x:v>
      </x:c>
      <x:c r="AF21" s="75" t="n">
        <x:f>$C21*'Work phasing'!AH21</x:f>
        <x:v>0</x:v>
      </x:c>
      <x:c r="AG21" s="75" t="n">
        <x:f>$C21*'Work phasing'!AI21</x:f>
        <x:v>0</x:v>
      </x:c>
      <x:c r="AH21" s="75" t="n">
        <x:f>$C21*'Work phasing'!AJ21</x:f>
        <x:v>0</x:v>
      </x:c>
      <x:c r="AI21" s="75" t="n">
        <x:f>$C21*'Work phasing'!AK21</x:f>
        <x:v>0</x:v>
      </x:c>
      <x:c r="AJ21" s="76" t="n">
        <x:f>SUM(D21:AI21)</x:f>
        <x:v>1055597.4000000015</x:v>
      </x:c>
    </x:row>
    <x:row r="22" ht="23" customHeight="1">
      <x:c r="A22" s="52" t="str">
        <x:v>FW02</x:v>
      </x:c>
      <x:c r="B22" s="52" t="str">
        <x:v>Formwork</x:v>
      </x:c>
      <x:c r="C22" s="73" t="n">
        <x:f>'Budget'!F22</x:f>
        <x:v>579338.7599999991</x:v>
      </x:c>
      <x:c r="D22" s="73" t="n">
        <x:f>$C22*'Work phasing'!F22</x:f>
        <x:v>0</x:v>
      </x:c>
      <x:c r="E22" s="73" t="n">
        <x:f>$C22*'Work phasing'!G22</x:f>
        <x:v>0</x:v>
      </x:c>
      <x:c r="F22" s="73" t="n">
        <x:f>$C22*'Work phasing'!H22</x:f>
        <x:v>0</x:v>
      </x:c>
      <x:c r="G22" s="73" t="n">
        <x:f>$C22*'Work phasing'!I22</x:f>
        <x:v>0</x:v>
      </x:c>
      <x:c r="H22" s="73" t="n">
        <x:f>$C22*'Work phasing'!J22</x:f>
        <x:v>0</x:v>
      </x:c>
      <x:c r="I22" s="73" t="n">
        <x:f>$C22*'Work phasing'!K22</x:f>
        <x:v>89129.03999999986</x:v>
      </x:c>
      <x:c r="J22" s="73" t="n">
        <x:f>$C22*'Work phasing'!L22</x:f>
        <x:v>81701.61999999986</x:v>
      </x:c>
      <x:c r="K22" s="73" t="n">
        <x:f>$C22*'Work phasing'!M22</x:f>
        <x:v>74274.19999999988</x:v>
      </x:c>
      <x:c r="L22" s="73" t="n">
        <x:f>$C22*'Work phasing'!N22</x:f>
        <x:v>66846.7799999999</x:v>
      </x:c>
      <x:c r="M22" s="73" t="n">
        <x:f>$C22*'Work phasing'!O22</x:f>
        <x:v>59419.359999999906</x:v>
      </x:c>
      <x:c r="N22" s="73" t="n">
        <x:f>$C22*'Work phasing'!P22</x:f>
        <x:v>51991.939999999915</x:v>
      </x:c>
      <x:c r="O22" s="73" t="n">
        <x:f>$C22*'Work phasing'!Q22</x:f>
        <x:v>44564.51999999993</x:v>
      </x:c>
      <x:c r="P22" s="73" t="n">
        <x:f>$C22*'Work phasing'!R22</x:f>
        <x:v>37137.09999999994</x:v>
      </x:c>
      <x:c r="Q22" s="73" t="n">
        <x:f>$C22*'Work phasing'!S22</x:f>
        <x:v>29709.679999999953</x:v>
      </x:c>
      <x:c r="R22" s="73" t="n">
        <x:f>$C22*'Work phasing'!T22</x:f>
        <x:v>22282.259999999966</x:v>
      </x:c>
      <x:c r="S22" s="73" t="n">
        <x:f>$C22*'Work phasing'!U22</x:f>
        <x:v>14854.839999999976</x:v>
      </x:c>
      <x:c r="T22" s="73" t="n">
        <x:f>$C22*'Work phasing'!V22</x:f>
        <x:v>7427.419999999988</x:v>
      </x:c>
      <x:c r="U22" s="73" t="n">
        <x:f>$C22*'Work phasing'!W22</x:f>
        <x:v>0</x:v>
      </x:c>
      <x:c r="V22" s="73" t="n">
        <x:f>$C22*'Work phasing'!X22</x:f>
        <x:v>0</x:v>
      </x:c>
      <x:c r="W22" s="73" t="n">
        <x:f>$C22*'Work phasing'!Y22</x:f>
        <x:v>0</x:v>
      </x:c>
      <x:c r="X22" s="73" t="n">
        <x:f>$C22*'Work phasing'!Z22</x:f>
        <x:v>0</x:v>
      </x:c>
      <x:c r="Y22" s="73" t="n">
        <x:f>$C22*'Work phasing'!AA22</x:f>
        <x:v>0</x:v>
      </x:c>
      <x:c r="Z22" s="73" t="n">
        <x:f>$C22*'Work phasing'!AB22</x:f>
        <x:v>0</x:v>
      </x:c>
      <x:c r="AA22" s="73" t="n">
        <x:f>$C22*'Work phasing'!AC22</x:f>
        <x:v>0</x:v>
      </x:c>
      <x:c r="AB22" s="73" t="n">
        <x:f>$C22*'Work phasing'!AD22</x:f>
        <x:v>0</x:v>
      </x:c>
      <x:c r="AC22" s="73" t="n">
        <x:f>$C22*'Work phasing'!AE22</x:f>
        <x:v>0</x:v>
      </x:c>
      <x:c r="AD22" s="73" t="n">
        <x:f>$C22*'Work phasing'!AF22</x:f>
        <x:v>0</x:v>
      </x:c>
      <x:c r="AE22" s="73" t="n">
        <x:f>$C22*'Work phasing'!AG22</x:f>
        <x:v>0</x:v>
      </x:c>
      <x:c r="AF22" s="73" t="n">
        <x:f>$C22*'Work phasing'!AH22</x:f>
        <x:v>0</x:v>
      </x:c>
      <x:c r="AG22" s="73" t="n">
        <x:f>$C22*'Work phasing'!AI22</x:f>
        <x:v>0</x:v>
      </x:c>
      <x:c r="AH22" s="73" t="n">
        <x:f>$C22*'Work phasing'!AJ22</x:f>
        <x:v>0</x:v>
      </x:c>
      <x:c r="AI22" s="73" t="n">
        <x:f>$C22*'Work phasing'!AK22</x:f>
        <x:v>0</x:v>
      </x:c>
      <x:c r="AJ22" s="74" t="n">
        <x:f>SUM(D22:AI22)</x:f>
        <x:v>579338.7599999992</x:v>
      </x:c>
    </x:row>
    <x:row r="23" ht="23" customHeight="1">
      <x:c r="A23" s="54" t="str">
        <x:v>FW03</x:v>
      </x:c>
      <x:c r="B23" s="54" t="str">
        <x:v>Formwork</x:v>
      </x:c>
      <x:c r="C23" s="75" t="n">
        <x:f>'Budget'!F23</x:f>
        <x:v>376552.7999999995</x:v>
      </x:c>
      <x:c r="D23" s="75" t="n">
        <x:f>$C23*'Work phasing'!F23</x:f>
        <x:v>0</x:v>
      </x:c>
      <x:c r="E23" s="75" t="n">
        <x:f>$C23*'Work phasing'!G23</x:f>
        <x:v>0</x:v>
      </x:c>
      <x:c r="F23" s="75" t="n">
        <x:f>$C23*'Work phasing'!H23</x:f>
        <x:v>0</x:v>
      </x:c>
      <x:c r="G23" s="75" t="n">
        <x:f>$C23*'Work phasing'!I23</x:f>
        <x:v>0</x:v>
      </x:c>
      <x:c r="H23" s="75" t="n">
        <x:f>$C23*'Work phasing'!J23</x:f>
        <x:v>57931.19999999993</x:v>
      </x:c>
      <x:c r="I23" s="75" t="n">
        <x:f>$C23*'Work phasing'!K23</x:f>
        <x:v>53103.59999999993</x:v>
      </x:c>
      <x:c r="J23" s="75" t="n">
        <x:f>$C23*'Work phasing'!L23</x:f>
        <x:v>48275.999999999935</x:v>
      </x:c>
      <x:c r="K23" s="75" t="n">
        <x:f>$C23*'Work phasing'!M23</x:f>
        <x:v>43448.39999999995</x:v>
      </x:c>
      <x:c r="L23" s="75" t="n">
        <x:f>$C23*'Work phasing'!N23</x:f>
        <x:v>38620.79999999995</x:v>
      </x:c>
      <x:c r="M23" s="75" t="n">
        <x:f>$C23*'Work phasing'!O23</x:f>
        <x:v>33793.19999999996</x:v>
      </x:c>
      <x:c r="N23" s="75" t="n">
        <x:f>$C23*'Work phasing'!P23</x:f>
        <x:v>28965.599999999966</x:v>
      </x:c>
      <x:c r="O23" s="75" t="n">
        <x:f>$C23*'Work phasing'!Q23</x:f>
        <x:v>24137.999999999967</x:v>
      </x:c>
      <x:c r="P23" s="75" t="n">
        <x:f>$C23*'Work phasing'!R23</x:f>
        <x:v>19310.399999999976</x:v>
      </x:c>
      <x:c r="Q23" s="75" t="n">
        <x:f>$C23*'Work phasing'!S23</x:f>
        <x:v>14482.799999999983</x:v>
      </x:c>
      <x:c r="R23" s="75" t="n">
        <x:f>$C23*'Work phasing'!T23</x:f>
        <x:v>9655.199999999988</x:v>
      </x:c>
      <x:c r="S23" s="75" t="n">
        <x:f>$C23*'Work phasing'!U23</x:f>
        <x:v>4827.599999999994</x:v>
      </x:c>
      <x:c r="T23" s="75" t="n">
        <x:f>$C23*'Work phasing'!V23</x:f>
        <x:v>0</x:v>
      </x:c>
      <x:c r="U23" s="75" t="n">
        <x:f>$C23*'Work phasing'!W23</x:f>
        <x:v>0</x:v>
      </x:c>
      <x:c r="V23" s="75" t="n">
        <x:f>$C23*'Work phasing'!X23</x:f>
        <x:v>0</x:v>
      </x:c>
      <x:c r="W23" s="75" t="n">
        <x:f>$C23*'Work phasing'!Y23</x:f>
        <x:v>0</x:v>
      </x:c>
      <x:c r="X23" s="75" t="n">
        <x:f>$C23*'Work phasing'!Z23</x:f>
        <x:v>0</x:v>
      </x:c>
      <x:c r="Y23" s="75" t="n">
        <x:f>$C23*'Work phasing'!AA23</x:f>
        <x:v>0</x:v>
      </x:c>
      <x:c r="Z23" s="75" t="n">
        <x:f>$C23*'Work phasing'!AB23</x:f>
        <x:v>0</x:v>
      </x:c>
      <x:c r="AA23" s="75" t="n">
        <x:f>$C23*'Work phasing'!AC23</x:f>
        <x:v>0</x:v>
      </x:c>
      <x:c r="AB23" s="75" t="n">
        <x:f>$C23*'Work phasing'!AD23</x:f>
        <x:v>0</x:v>
      </x:c>
      <x:c r="AC23" s="75" t="n">
        <x:f>$C23*'Work phasing'!AE23</x:f>
        <x:v>0</x:v>
      </x:c>
      <x:c r="AD23" s="75" t="n">
        <x:f>$C23*'Work phasing'!AF23</x:f>
        <x:v>0</x:v>
      </x:c>
      <x:c r="AE23" s="75" t="n">
        <x:f>$C23*'Work phasing'!AG23</x:f>
        <x:v>0</x:v>
      </x:c>
      <x:c r="AF23" s="75" t="n">
        <x:f>$C23*'Work phasing'!AH23</x:f>
        <x:v>0</x:v>
      </x:c>
      <x:c r="AG23" s="75" t="n">
        <x:f>$C23*'Work phasing'!AI23</x:f>
        <x:v>0</x:v>
      </x:c>
      <x:c r="AH23" s="75" t="n">
        <x:f>$C23*'Work phasing'!AJ23</x:f>
        <x:v>0</x:v>
      </x:c>
      <x:c r="AI23" s="75" t="n">
        <x:f>$C23*'Work phasing'!AK23</x:f>
        <x:v>0</x:v>
      </x:c>
      <x:c r="AJ23" s="76" t="n">
        <x:f>SUM(D23:AI23)</x:f>
        <x:v>376552.7999999996</x:v>
      </x:c>
    </x:row>
    <x:row r="24" ht="23" customHeight="1">
      <x:c r="A24" s="52" t="str">
        <x:v>FW04</x:v>
      </x:c>
      <x:c r="B24" s="52" t="str">
        <x:v>Formwork</x:v>
      </x:c>
      <x:c r="C24" s="73" t="n">
        <x:f>'Budget'!F24</x:f>
        <x:v>278928.0000000004</x:v>
      </x:c>
      <x:c r="D24" s="73" t="n">
        <x:f>$C24*'Work phasing'!F24</x:f>
        <x:v>0</x:v>
      </x:c>
      <x:c r="E24" s="73" t="n">
        <x:f>$C24*'Work phasing'!G24</x:f>
        <x:v>0</x:v>
      </x:c>
      <x:c r="F24" s="73" t="n">
        <x:f>$C24*'Work phasing'!H24</x:f>
        <x:v>0</x:v>
      </x:c>
      <x:c r="G24" s="73" t="n">
        <x:f>$C24*'Work phasing'!I24</x:f>
        <x:v>0</x:v>
      </x:c>
      <x:c r="H24" s="73" t="n">
        <x:f>$C24*'Work phasing'!J24</x:f>
        <x:v>42912.000000000065</x:v>
      </x:c>
      <x:c r="I24" s="73" t="n">
        <x:f>$C24*'Work phasing'!K24</x:f>
        <x:v>39336.00000000006</x:v>
      </x:c>
      <x:c r="J24" s="73" t="n">
        <x:f>$C24*'Work phasing'!L24</x:f>
        <x:v>35760.00000000005</x:v>
      </x:c>
      <x:c r="K24" s="73" t="n">
        <x:f>$C24*'Work phasing'!M24</x:f>
        <x:v>32184.000000000047</x:v>
      </x:c>
      <x:c r="L24" s="73" t="n">
        <x:f>$C24*'Work phasing'!N24</x:f>
        <x:v>28608.00000000004</x:v>
      </x:c>
      <x:c r="M24" s="73" t="n">
        <x:f>$C24*'Work phasing'!O24</x:f>
        <x:v>25032.000000000036</x:v>
      </x:c>
      <x:c r="N24" s="73" t="n">
        <x:f>$C24*'Work phasing'!P24</x:f>
        <x:v>21456.000000000033</x:v>
      </x:c>
      <x:c r="O24" s="73" t="n">
        <x:f>$C24*'Work phasing'!Q24</x:f>
        <x:v>17880.000000000025</x:v>
      </x:c>
      <x:c r="P24" s="73" t="n">
        <x:f>$C24*'Work phasing'!R24</x:f>
        <x:v>14304.00000000002</x:v>
      </x:c>
      <x:c r="Q24" s="73" t="n">
        <x:f>$C24*'Work phasing'!S24</x:f>
        <x:v>10728.000000000016</x:v>
      </x:c>
      <x:c r="R24" s="73" t="n">
        <x:f>$C24*'Work phasing'!T24</x:f>
        <x:v>7152.00000000001</x:v>
      </x:c>
      <x:c r="S24" s="73" t="n">
        <x:f>$C24*'Work phasing'!U24</x:f>
        <x:v>3576.000000000005</x:v>
      </x:c>
      <x:c r="T24" s="73" t="n">
        <x:f>$C24*'Work phasing'!V24</x:f>
        <x:v>0</x:v>
      </x:c>
      <x:c r="U24" s="73" t="n">
        <x:f>$C24*'Work phasing'!W24</x:f>
        <x:v>0</x:v>
      </x:c>
      <x:c r="V24" s="73" t="n">
        <x:f>$C24*'Work phasing'!X24</x:f>
        <x:v>0</x:v>
      </x:c>
      <x:c r="W24" s="73" t="n">
        <x:f>$C24*'Work phasing'!Y24</x:f>
        <x:v>0</x:v>
      </x:c>
      <x:c r="X24" s="73" t="n">
        <x:f>$C24*'Work phasing'!Z24</x:f>
        <x:v>0</x:v>
      </x:c>
      <x:c r="Y24" s="73" t="n">
        <x:f>$C24*'Work phasing'!AA24</x:f>
        <x:v>0</x:v>
      </x:c>
      <x:c r="Z24" s="73" t="n">
        <x:f>$C24*'Work phasing'!AB24</x:f>
        <x:v>0</x:v>
      </x:c>
      <x:c r="AA24" s="73" t="n">
        <x:f>$C24*'Work phasing'!AC24</x:f>
        <x:v>0</x:v>
      </x:c>
      <x:c r="AB24" s="73" t="n">
        <x:f>$C24*'Work phasing'!AD24</x:f>
        <x:v>0</x:v>
      </x:c>
      <x:c r="AC24" s="73" t="n">
        <x:f>$C24*'Work phasing'!AE24</x:f>
        <x:v>0</x:v>
      </x:c>
      <x:c r="AD24" s="73" t="n">
        <x:f>$C24*'Work phasing'!AF24</x:f>
        <x:v>0</x:v>
      </x:c>
      <x:c r="AE24" s="73" t="n">
        <x:f>$C24*'Work phasing'!AG24</x:f>
        <x:v>0</x:v>
      </x:c>
      <x:c r="AF24" s="73" t="n">
        <x:f>$C24*'Work phasing'!AH24</x:f>
        <x:v>0</x:v>
      </x:c>
      <x:c r="AG24" s="73" t="n">
        <x:f>$C24*'Work phasing'!AI24</x:f>
        <x:v>0</x:v>
      </x:c>
      <x:c r="AH24" s="73" t="n">
        <x:f>$C24*'Work phasing'!AJ24</x:f>
        <x:v>0</x:v>
      </x:c>
      <x:c r="AI24" s="73" t="n">
        <x:f>$C24*'Work phasing'!AK24</x:f>
        <x:v>0</x:v>
      </x:c>
      <x:c r="AJ24" s="74" t="n">
        <x:f>SUM(D24:AI24)</x:f>
        <x:v>278928.0000000004</x:v>
      </x:c>
    </x:row>
    <x:row r="25" ht="23" customHeight="1">
      <x:c r="A25" s="54" t="str">
        <x:v>FW05</x:v>
      </x:c>
      <x:c r="B25" s="54" t="str">
        <x:v>Formwork</x:v>
      </x:c>
      <x:c r="C25" s="75" t="n">
        <x:f>'Budget'!F25</x:f>
        <x:v>77086.8</x:v>
      </x:c>
      <x:c r="D25" s="75" t="n">
        <x:f>$C25*'Work phasing'!F25</x:f>
        <x:v>0</x:v>
      </x:c>
      <x:c r="E25" s="75" t="n">
        <x:f>$C25*'Work phasing'!G25</x:f>
        <x:v>0</x:v>
      </x:c>
      <x:c r="F25" s="75" t="n">
        <x:f>$C25*'Work phasing'!H25</x:f>
        <x:v>30834.72</x:v>
      </x:c>
      <x:c r="G25" s="75" t="n">
        <x:f>$C25*'Work phasing'!I25</x:f>
        <x:v>23126.04</x:v>
      </x:c>
      <x:c r="H25" s="75" t="n">
        <x:f>$C25*'Work phasing'!J25</x:f>
        <x:v>15417.36</x:v>
      </x:c>
      <x:c r="I25" s="75" t="n">
        <x:f>$C25*'Work phasing'!K25</x:f>
        <x:v>7708.68</x:v>
      </x:c>
      <x:c r="J25" s="75" t="n">
        <x:f>$C25*'Work phasing'!L25</x:f>
        <x:v>0</x:v>
      </x:c>
      <x:c r="K25" s="75" t="n">
        <x:f>$C25*'Work phasing'!M25</x:f>
        <x:v>0</x:v>
      </x:c>
      <x:c r="L25" s="75" t="n">
        <x:f>$C25*'Work phasing'!N25</x:f>
        <x:v>0</x:v>
      </x:c>
      <x:c r="M25" s="75" t="n">
        <x:f>$C25*'Work phasing'!O25</x:f>
        <x:v>0</x:v>
      </x:c>
      <x:c r="N25" s="75" t="n">
        <x:f>$C25*'Work phasing'!P25</x:f>
        <x:v>0</x:v>
      </x:c>
      <x:c r="O25" s="75" t="n">
        <x:f>$C25*'Work phasing'!Q25</x:f>
        <x:v>0</x:v>
      </x:c>
      <x:c r="P25" s="75" t="n">
        <x:f>$C25*'Work phasing'!R25</x:f>
        <x:v>0</x:v>
      </x:c>
      <x:c r="Q25" s="75" t="n">
        <x:f>$C25*'Work phasing'!S25</x:f>
        <x:v>0</x:v>
      </x:c>
      <x:c r="R25" s="75" t="n">
        <x:f>$C25*'Work phasing'!T25</x:f>
        <x:v>0</x:v>
      </x:c>
      <x:c r="S25" s="75" t="n">
        <x:f>$C25*'Work phasing'!U25</x:f>
        <x:v>0</x:v>
      </x:c>
      <x:c r="T25" s="75" t="n">
        <x:f>$C25*'Work phasing'!V25</x:f>
        <x:v>0</x:v>
      </x:c>
      <x:c r="U25" s="75" t="n">
        <x:f>$C25*'Work phasing'!W25</x:f>
        <x:v>0</x:v>
      </x:c>
      <x:c r="V25" s="75" t="n">
        <x:f>$C25*'Work phasing'!X25</x:f>
        <x:v>0</x:v>
      </x:c>
      <x:c r="W25" s="75" t="n">
        <x:f>$C25*'Work phasing'!Y25</x:f>
        <x:v>0</x:v>
      </x:c>
      <x:c r="X25" s="75" t="n">
        <x:f>$C25*'Work phasing'!Z25</x:f>
        <x:v>0</x:v>
      </x:c>
      <x:c r="Y25" s="75" t="n">
        <x:f>$C25*'Work phasing'!AA25</x:f>
        <x:v>0</x:v>
      </x:c>
      <x:c r="Z25" s="75" t="n">
        <x:f>$C25*'Work phasing'!AB25</x:f>
        <x:v>0</x:v>
      </x:c>
      <x:c r="AA25" s="75" t="n">
        <x:f>$C25*'Work phasing'!AC25</x:f>
        <x:v>0</x:v>
      </x:c>
      <x:c r="AB25" s="75" t="n">
        <x:f>$C25*'Work phasing'!AD25</x:f>
        <x:v>0</x:v>
      </x:c>
      <x:c r="AC25" s="75" t="n">
        <x:f>$C25*'Work phasing'!AE25</x:f>
        <x:v>0</x:v>
      </x:c>
      <x:c r="AD25" s="75" t="n">
        <x:f>$C25*'Work phasing'!AF25</x:f>
        <x:v>0</x:v>
      </x:c>
      <x:c r="AE25" s="75" t="n">
        <x:f>$C25*'Work phasing'!AG25</x:f>
        <x:v>0</x:v>
      </x:c>
      <x:c r="AF25" s="75" t="n">
        <x:f>$C25*'Work phasing'!AH25</x:f>
        <x:v>0</x:v>
      </x:c>
      <x:c r="AG25" s="75" t="n">
        <x:f>$C25*'Work phasing'!AI25</x:f>
        <x:v>0</x:v>
      </x:c>
      <x:c r="AH25" s="75" t="n">
        <x:f>$C25*'Work phasing'!AJ25</x:f>
        <x:v>0</x:v>
      </x:c>
      <x:c r="AI25" s="75" t="n">
        <x:f>$C25*'Work phasing'!AK25</x:f>
        <x:v>0</x:v>
      </x:c>
      <x:c r="AJ25" s="76" t="n">
        <x:f>SUM(D25:AI25)</x:f>
        <x:v>77086.79999999999</x:v>
      </x:c>
    </x:row>
    <x:row r="26" ht="23" customHeight="1">
      <x:c r="A26" s="52" t="str">
        <x:v>FW06</x:v>
      </x:c>
      <x:c r="B26" s="52" t="str">
        <x:v>Formwork</x:v>
      </x:c>
      <x:c r="C26" s="73" t="n">
        <x:f>'Budget'!F26</x:f>
        <x:v>221760</x:v>
      </x:c>
      <x:c r="D26" s="73" t="n">
        <x:f>$C26*'Work phasing'!F26</x:f>
        <x:v>0</x:v>
      </x:c>
      <x:c r="E26" s="73" t="n">
        <x:f>$C26*'Work phasing'!G26</x:f>
        <x:v>0</x:v>
      </x:c>
      <x:c r="F26" s="73" t="n">
        <x:f>$C26*'Work phasing'!H26</x:f>
        <x:v>0</x:v>
      </x:c>
      <x:c r="G26" s="73" t="n">
        <x:f>$C26*'Work phasing'!I26</x:f>
        <x:v>0</x:v>
      </x:c>
      <x:c r="H26" s="73" t="n">
        <x:f>$C26*'Work phasing'!J26</x:f>
        <x:v>88704</x:v>
      </x:c>
      <x:c r="I26" s="73" t="n">
        <x:f>$C26*'Work phasing'!K26</x:f>
        <x:v>66528</x:v>
      </x:c>
      <x:c r="J26" s="73" t="n">
        <x:f>$C26*'Work phasing'!L26</x:f>
        <x:v>44352</x:v>
      </x:c>
      <x:c r="K26" s="73" t="n">
        <x:f>$C26*'Work phasing'!M26</x:f>
        <x:v>22176</x:v>
      </x:c>
      <x:c r="L26" s="73" t="n">
        <x:f>$C26*'Work phasing'!N26</x:f>
        <x:v>0</x:v>
      </x:c>
      <x:c r="M26" s="73" t="n">
        <x:f>$C26*'Work phasing'!O26</x:f>
        <x:v>0</x:v>
      </x:c>
      <x:c r="N26" s="73" t="n">
        <x:f>$C26*'Work phasing'!P26</x:f>
        <x:v>0</x:v>
      </x:c>
      <x:c r="O26" s="73" t="n">
        <x:f>$C26*'Work phasing'!Q26</x:f>
        <x:v>0</x:v>
      </x:c>
      <x:c r="P26" s="73" t="n">
        <x:f>$C26*'Work phasing'!R26</x:f>
        <x:v>0</x:v>
      </x:c>
      <x:c r="Q26" s="73" t="n">
        <x:f>$C26*'Work phasing'!S26</x:f>
        <x:v>0</x:v>
      </x:c>
      <x:c r="R26" s="73" t="n">
        <x:f>$C26*'Work phasing'!T26</x:f>
        <x:v>0</x:v>
      </x:c>
      <x:c r="S26" s="73" t="n">
        <x:f>$C26*'Work phasing'!U26</x:f>
        <x:v>0</x:v>
      </x:c>
      <x:c r="T26" s="73" t="n">
        <x:f>$C26*'Work phasing'!V26</x:f>
        <x:v>0</x:v>
      </x:c>
      <x:c r="U26" s="73" t="n">
        <x:f>$C26*'Work phasing'!W26</x:f>
        <x:v>0</x:v>
      </x:c>
      <x:c r="V26" s="73" t="n">
        <x:f>$C26*'Work phasing'!X26</x:f>
        <x:v>0</x:v>
      </x:c>
      <x:c r="W26" s="73" t="n">
        <x:f>$C26*'Work phasing'!Y26</x:f>
        <x:v>0</x:v>
      </x:c>
      <x:c r="X26" s="73" t="n">
        <x:f>$C26*'Work phasing'!Z26</x:f>
        <x:v>0</x:v>
      </x:c>
      <x:c r="Y26" s="73" t="n">
        <x:f>$C26*'Work phasing'!AA26</x:f>
        <x:v>0</x:v>
      </x:c>
      <x:c r="Z26" s="73" t="n">
        <x:f>$C26*'Work phasing'!AB26</x:f>
        <x:v>0</x:v>
      </x:c>
      <x:c r="AA26" s="73" t="n">
        <x:f>$C26*'Work phasing'!AC26</x:f>
        <x:v>0</x:v>
      </x:c>
      <x:c r="AB26" s="73" t="n">
        <x:f>$C26*'Work phasing'!AD26</x:f>
        <x:v>0</x:v>
      </x:c>
      <x:c r="AC26" s="73" t="n">
        <x:f>$C26*'Work phasing'!AE26</x:f>
        <x:v>0</x:v>
      </x:c>
      <x:c r="AD26" s="73" t="n">
        <x:f>$C26*'Work phasing'!AF26</x:f>
        <x:v>0</x:v>
      </x:c>
      <x:c r="AE26" s="73" t="n">
        <x:f>$C26*'Work phasing'!AG26</x:f>
        <x:v>0</x:v>
      </x:c>
      <x:c r="AF26" s="73" t="n">
        <x:f>$C26*'Work phasing'!AH26</x:f>
        <x:v>0</x:v>
      </x:c>
      <x:c r="AG26" s="73" t="n">
        <x:f>$C26*'Work phasing'!AI26</x:f>
        <x:v>0</x:v>
      </x:c>
      <x:c r="AH26" s="73" t="n">
        <x:f>$C26*'Work phasing'!AJ26</x:f>
        <x:v>0</x:v>
      </x:c>
      <x:c r="AI26" s="73" t="n">
        <x:f>$C26*'Work phasing'!AK26</x:f>
        <x:v>0</x:v>
      </x:c>
      <x:c r="AJ26" s="74" t="n">
        <x:f>SUM(D26:AI26)</x:f>
        <x:v>221760</x:v>
      </x:c>
    </x:row>
    <x:row r="27" ht="23" customHeight="1">
      <x:c r="A27" s="54" t="str">
        <x:v>EN01</x:v>
      </x:c>
      <x:c r="B27" s="54" t="str">
        <x:v>Envelope</x:v>
      </x:c>
      <x:c r="C27" s="75" t="n">
        <x:f>'Budget'!F27</x:f>
        <x:v>289440</x:v>
      </x:c>
      <x:c r="D27" s="75" t="n">
        <x:f>$C27*'Work phasing'!F27</x:f>
        <x:v>0</x:v>
      </x:c>
      <x:c r="E27" s="75" t="n">
        <x:f>$C27*'Work phasing'!G27</x:f>
        <x:v>96480</x:v>
      </x:c>
      <x:c r="F27" s="75" t="n">
        <x:f>$C27*'Work phasing'!H27</x:f>
        <x:v>77184</x:v>
      </x:c>
      <x:c r="G27" s="75" t="n">
        <x:f>$C27*'Work phasing'!I27</x:f>
        <x:v>57888</x:v>
      </x:c>
      <x:c r="H27" s="75" t="n">
        <x:f>$C27*'Work phasing'!J27</x:f>
        <x:v>38592</x:v>
      </x:c>
      <x:c r="I27" s="75" t="n">
        <x:f>$C27*'Work phasing'!K27</x:f>
        <x:v>19296</x:v>
      </x:c>
      <x:c r="J27" s="75" t="n">
        <x:f>$C27*'Work phasing'!L27</x:f>
        <x:v>0</x:v>
      </x:c>
      <x:c r="K27" s="75" t="n">
        <x:f>$C27*'Work phasing'!M27</x:f>
        <x:v>0</x:v>
      </x:c>
      <x:c r="L27" s="75" t="n">
        <x:f>$C27*'Work phasing'!N27</x:f>
        <x:v>0</x:v>
      </x:c>
      <x:c r="M27" s="75" t="n">
        <x:f>$C27*'Work phasing'!O27</x:f>
        <x:v>0</x:v>
      </x:c>
      <x:c r="N27" s="75" t="n">
        <x:f>$C27*'Work phasing'!P27</x:f>
        <x:v>0</x:v>
      </x:c>
      <x:c r="O27" s="75" t="n">
        <x:f>$C27*'Work phasing'!Q27</x:f>
        <x:v>0</x:v>
      </x:c>
      <x:c r="P27" s="75" t="n">
        <x:f>$C27*'Work phasing'!R27</x:f>
        <x:v>0</x:v>
      </x:c>
      <x:c r="Q27" s="75" t="n">
        <x:f>$C27*'Work phasing'!S27</x:f>
        <x:v>0</x:v>
      </x:c>
      <x:c r="R27" s="75" t="n">
        <x:f>$C27*'Work phasing'!T27</x:f>
        <x:v>0</x:v>
      </x:c>
      <x:c r="S27" s="75" t="n">
        <x:f>$C27*'Work phasing'!U27</x:f>
        <x:v>0</x:v>
      </x:c>
      <x:c r="T27" s="75" t="n">
        <x:f>$C27*'Work phasing'!V27</x:f>
        <x:v>0</x:v>
      </x:c>
      <x:c r="U27" s="75" t="n">
        <x:f>$C27*'Work phasing'!W27</x:f>
        <x:v>0</x:v>
      </x:c>
      <x:c r="V27" s="75" t="n">
        <x:f>$C27*'Work phasing'!X27</x:f>
        <x:v>0</x:v>
      </x:c>
      <x:c r="W27" s="75" t="n">
        <x:f>$C27*'Work phasing'!Y27</x:f>
        <x:v>0</x:v>
      </x:c>
      <x:c r="X27" s="75" t="n">
        <x:f>$C27*'Work phasing'!Z27</x:f>
        <x:v>0</x:v>
      </x:c>
      <x:c r="Y27" s="75" t="n">
        <x:f>$C27*'Work phasing'!AA27</x:f>
        <x:v>0</x:v>
      </x:c>
      <x:c r="Z27" s="75" t="n">
        <x:f>$C27*'Work phasing'!AB27</x:f>
        <x:v>0</x:v>
      </x:c>
      <x:c r="AA27" s="75" t="n">
        <x:f>$C27*'Work phasing'!AC27</x:f>
        <x:v>0</x:v>
      </x:c>
      <x:c r="AB27" s="75" t="n">
        <x:f>$C27*'Work phasing'!AD27</x:f>
        <x:v>0</x:v>
      </x:c>
      <x:c r="AC27" s="75" t="n">
        <x:f>$C27*'Work phasing'!AE27</x:f>
        <x:v>0</x:v>
      </x:c>
      <x:c r="AD27" s="75" t="n">
        <x:f>$C27*'Work phasing'!AF27</x:f>
        <x:v>0</x:v>
      </x:c>
      <x:c r="AE27" s="75" t="n">
        <x:f>$C27*'Work phasing'!AG27</x:f>
        <x:v>0</x:v>
      </x:c>
      <x:c r="AF27" s="75" t="n">
        <x:f>$C27*'Work phasing'!AH27</x:f>
        <x:v>0</x:v>
      </x:c>
      <x:c r="AG27" s="75" t="n">
        <x:f>$C27*'Work phasing'!AI27</x:f>
        <x:v>0</x:v>
      </x:c>
      <x:c r="AH27" s="75" t="n">
        <x:f>$C27*'Work phasing'!AJ27</x:f>
        <x:v>0</x:v>
      </x:c>
      <x:c r="AI27" s="75" t="n">
        <x:f>$C27*'Work phasing'!AK27</x:f>
        <x:v>0</x:v>
      </x:c>
      <x:c r="AJ27" s="76" t="n">
        <x:f>SUM(D27:AI27)</x:f>
        <x:v>289440</x:v>
      </x:c>
    </x:row>
    <x:row r="28" ht="23" customHeight="1">
      <x:c r="A28" s="52" t="str">
        <x:v>EN02</x:v>
      </x:c>
      <x:c r="B28" s="52" t="str">
        <x:v>Envelope</x:v>
      </x:c>
      <x:c r="C28" s="73" t="n">
        <x:f>'Budget'!F28</x:f>
        <x:v>288000</x:v>
      </x:c>
      <x:c r="D28" s="73" t="n">
        <x:f>$C28*'Work phasing'!F28</x:f>
        <x:v>0</x:v>
      </x:c>
      <x:c r="E28" s="73" t="n">
        <x:f>$C28*'Work phasing'!G28</x:f>
        <x:v>0</x:v>
      </x:c>
      <x:c r="F28" s="73" t="n">
        <x:f>$C28*'Work phasing'!H28</x:f>
        <x:v>0</x:v>
      </x:c>
      <x:c r="G28" s="73" t="n">
        <x:f>$C28*'Work phasing'!I28</x:f>
        <x:v>0</x:v>
      </x:c>
      <x:c r="H28" s="73" t="n">
        <x:f>$C28*'Work phasing'!J28</x:f>
        <x:v>0</x:v>
      </x:c>
      <x:c r="I28" s="73" t="n">
        <x:f>$C28*'Work phasing'!K28</x:f>
        <x:v>0</x:v>
      </x:c>
      <x:c r="J28" s="73" t="n">
        <x:f>$C28*'Work phasing'!L28</x:f>
        <x:v>0</x:v>
      </x:c>
      <x:c r="K28" s="73" t="n">
        <x:f>$C28*'Work phasing'!M28</x:f>
        <x:v>0</x:v>
      </x:c>
      <x:c r="L28" s="73" t="n">
        <x:f>$C28*'Work phasing'!N28</x:f>
        <x:v>0</x:v>
      </x:c>
      <x:c r="M28" s="73" t="n">
        <x:f>$C28*'Work phasing'!O28</x:f>
        <x:v>0</x:v>
      </x:c>
      <x:c r="N28" s="73" t="n">
        <x:f>$C28*'Work phasing'!P28</x:f>
        <x:v>0</x:v>
      </x:c>
      <x:c r="O28" s="73" t="n">
        <x:f>$C28*'Work phasing'!Q28</x:f>
        <x:v>0</x:v>
      </x:c>
      <x:c r="P28" s="73" t="n">
        <x:f>$C28*'Work phasing'!R28</x:f>
        <x:v>0</x:v>
      </x:c>
      <x:c r="Q28" s="73" t="n">
        <x:f>$C28*'Work phasing'!S28</x:f>
        <x:v>0</x:v>
      </x:c>
      <x:c r="R28" s="73" t="n">
        <x:f>$C28*'Work phasing'!T28</x:f>
        <x:v>0</x:v>
      </x:c>
      <x:c r="S28" s="73" t="n">
        <x:f>$C28*'Work phasing'!U28</x:f>
        <x:v>82285.71428571428</x:v>
      </x:c>
      <x:c r="T28" s="73" t="n">
        <x:f>$C28*'Work phasing'!V28</x:f>
        <x:v>68571.42857142857</x:v>
      </x:c>
      <x:c r="U28" s="73" t="n">
        <x:f>$C28*'Work phasing'!W28</x:f>
        <x:v>54857.142857142855</x:v>
      </x:c>
      <x:c r="V28" s="73" t="n">
        <x:f>$C28*'Work phasing'!X28</x:f>
        <x:v>41142.85714285714</x:v>
      </x:c>
      <x:c r="W28" s="73" t="n">
        <x:f>$C28*'Work phasing'!Y28</x:f>
        <x:v>27428.571428571428</x:v>
      </x:c>
      <x:c r="X28" s="73" t="n">
        <x:f>$C28*'Work phasing'!Z28</x:f>
        <x:v>13714.285714285714</x:v>
      </x:c>
      <x:c r="Y28" s="73" t="n">
        <x:f>$C28*'Work phasing'!AA28</x:f>
        <x:v>0</x:v>
      </x:c>
      <x:c r="Z28" s="73" t="n">
        <x:f>$C28*'Work phasing'!AB28</x:f>
        <x:v>0</x:v>
      </x:c>
      <x:c r="AA28" s="73" t="n">
        <x:f>$C28*'Work phasing'!AC28</x:f>
        <x:v>0</x:v>
      </x:c>
      <x:c r="AB28" s="73" t="n">
        <x:f>$C28*'Work phasing'!AD28</x:f>
        <x:v>0</x:v>
      </x:c>
      <x:c r="AC28" s="73" t="n">
        <x:f>$C28*'Work phasing'!AE28</x:f>
        <x:v>0</x:v>
      </x:c>
      <x:c r="AD28" s="73" t="n">
        <x:f>$C28*'Work phasing'!AF28</x:f>
        <x:v>0</x:v>
      </x:c>
      <x:c r="AE28" s="73" t="n">
        <x:f>$C28*'Work phasing'!AG28</x:f>
        <x:v>0</x:v>
      </x:c>
      <x:c r="AF28" s="73" t="n">
        <x:f>$C28*'Work phasing'!AH28</x:f>
        <x:v>0</x:v>
      </x:c>
      <x:c r="AG28" s="73" t="n">
        <x:f>$C28*'Work phasing'!AI28</x:f>
        <x:v>0</x:v>
      </x:c>
      <x:c r="AH28" s="73" t="n">
        <x:f>$C28*'Work phasing'!AJ28</x:f>
        <x:v>0</x:v>
      </x:c>
      <x:c r="AI28" s="73" t="n">
        <x:f>$C28*'Work phasing'!AK28</x:f>
        <x:v>0</x:v>
      </x:c>
      <x:c r="AJ28" s="74" t="n">
        <x:f>SUM(D28:AI28)</x:f>
        <x:v>288000</x:v>
      </x:c>
    </x:row>
    <x:row r="29" ht="23" customHeight="1">
      <x:c r="A29" s="54" t="str">
        <x:v>EN03</x:v>
      </x:c>
      <x:c r="B29" s="54" t="str">
        <x:v>Envelope</x:v>
      </x:c>
      <x:c r="C29" s="75" t="n">
        <x:f>'Budget'!F29</x:f>
        <x:v>1630347.2639999997</x:v>
      </x:c>
      <x:c r="D29" s="75" t="n">
        <x:f>$C29*'Work phasing'!F29</x:f>
        <x:v>0</x:v>
      </x:c>
      <x:c r="E29" s="75" t="n">
        <x:f>$C29*'Work phasing'!G29</x:f>
        <x:v>0</x:v>
      </x:c>
      <x:c r="F29" s="75" t="n">
        <x:f>$C29*'Work phasing'!H29</x:f>
        <x:v>0</x:v>
      </x:c>
      <x:c r="G29" s="75" t="n">
        <x:f>$C29*'Work phasing'!I29</x:f>
        <x:v>0</x:v>
      </x:c>
      <x:c r="H29" s="75" t="n">
        <x:f>$C29*'Work phasing'!J29</x:f>
        <x:v>0</x:v>
      </x:c>
      <x:c r="I29" s="75" t="n">
        <x:f>$C29*'Work phasing'!K29</x:f>
        <x:v>0</x:v>
      </x:c>
      <x:c r="J29" s="75" t="n">
        <x:f>$C29*'Work phasing'!L29</x:f>
        <x:v>0</x:v>
      </x:c>
      <x:c r="K29" s="75" t="n">
        <x:f>$C29*'Work phasing'!M29</x:f>
        <x:v>0</x:v>
      </x:c>
      <x:c r="L29" s="75" t="n">
        <x:f>$C29*'Work phasing'!N29</x:f>
        <x:v>0</x:v>
      </x:c>
      <x:c r="M29" s="75" t="n">
        <x:f>$C29*'Work phasing'!O29</x:f>
        <x:v>0</x:v>
      </x:c>
      <x:c r="N29" s="75" t="n">
        <x:f>$C29*'Work phasing'!P29</x:f>
        <x:v>0</x:v>
      </x:c>
      <x:c r="O29" s="75" t="n">
        <x:f>$C29*'Work phasing'!Q29</x:f>
        <x:v>271724.54399999994</x:v>
      </x:c>
      <x:c r="P29" s="75" t="n">
        <x:f>$C29*'Work phasing'!R29</x:f>
        <x:v>247022.31272727269</x:v>
      </x:c>
      <x:c r="Q29" s="75" t="n">
        <x:f>$C29*'Work phasing'!S29</x:f>
        <x:v>222320.0814545454</x:v>
      </x:c>
      <x:c r="R29" s="75" t="n">
        <x:f>$C29*'Work phasing'!T29</x:f>
        <x:v>197617.85018181815</x:v>
      </x:c>
      <x:c r="S29" s="75" t="n">
        <x:f>$C29*'Work phasing'!U29</x:f>
        <x:v>172915.61890909087</x:v>
      </x:c>
      <x:c r="T29" s="75" t="n">
        <x:f>$C29*'Work phasing'!V29</x:f>
        <x:v>148213.38763636362</x:v>
      </x:c>
      <x:c r="U29" s="75" t="n">
        <x:f>$C29*'Work phasing'!W29</x:f>
        <x:v>123511.15636363634</x:v>
      </x:c>
      <x:c r="V29" s="75" t="n">
        <x:f>$C29*'Work phasing'!X29</x:f>
        <x:v>98808.92509090908</x:v>
      </x:c>
      <x:c r="W29" s="75" t="n">
        <x:f>$C29*'Work phasing'!Y29</x:f>
        <x:v>74106.69381818181</x:v>
      </x:c>
      <x:c r="X29" s="75" t="n">
        <x:f>$C29*'Work phasing'!Z29</x:f>
        <x:v>49404.46254545454</x:v>
      </x:c>
      <x:c r="Y29" s="75" t="n">
        <x:f>$C29*'Work phasing'!AA29</x:f>
        <x:v>24702.23127272727</x:v>
      </x:c>
      <x:c r="Z29" s="75" t="n">
        <x:f>$C29*'Work phasing'!AB29</x:f>
        <x:v>0</x:v>
      </x:c>
      <x:c r="AA29" s="75" t="n">
        <x:f>$C29*'Work phasing'!AC29</x:f>
        <x:v>0</x:v>
      </x:c>
      <x:c r="AB29" s="75" t="n">
        <x:f>$C29*'Work phasing'!AD29</x:f>
        <x:v>0</x:v>
      </x:c>
      <x:c r="AC29" s="75" t="n">
        <x:f>$C29*'Work phasing'!AE29</x:f>
        <x:v>0</x:v>
      </x:c>
      <x:c r="AD29" s="75" t="n">
        <x:f>$C29*'Work phasing'!AF29</x:f>
        <x:v>0</x:v>
      </x:c>
      <x:c r="AE29" s="75" t="n">
        <x:f>$C29*'Work phasing'!AG29</x:f>
        <x:v>0</x:v>
      </x:c>
      <x:c r="AF29" s="75" t="n">
        <x:f>$C29*'Work phasing'!AH29</x:f>
        <x:v>0</x:v>
      </x:c>
      <x:c r="AG29" s="75" t="n">
        <x:f>$C29*'Work phasing'!AI29</x:f>
        <x:v>0</x:v>
      </x:c>
      <x:c r="AH29" s="75" t="n">
        <x:f>$C29*'Work phasing'!AJ29</x:f>
        <x:v>0</x:v>
      </x:c>
      <x:c r="AI29" s="75" t="n">
        <x:f>$C29*'Work phasing'!AK29</x:f>
        <x:v>0</x:v>
      </x:c>
      <x:c r="AJ29" s="76" t="n">
        <x:f>SUM(D29:AI29)</x:f>
        <x:v>1630347.2639999995</x:v>
      </x:c>
    </x:row>
    <x:row r="30" ht="23" customHeight="1">
      <x:c r="A30" s="52" t="str">
        <x:v>EN04</x:v>
      </x:c>
      <x:c r="B30" s="52" t="str">
        <x:v>Envelope</x:v>
      </x:c>
      <x:c r="C30" s="73" t="n">
        <x:f>'Budget'!F30</x:f>
        <x:v>1660538.8800000004</x:v>
      </x:c>
      <x:c r="D30" s="73" t="n">
        <x:f>$C30*'Work phasing'!F30</x:f>
        <x:v>0</x:v>
      </x:c>
      <x:c r="E30" s="73" t="n">
        <x:f>$C30*'Work phasing'!G30</x:f>
        <x:v>0</x:v>
      </x:c>
      <x:c r="F30" s="73" t="n">
        <x:f>$C30*'Work phasing'!H30</x:f>
        <x:v>0</x:v>
      </x:c>
      <x:c r="G30" s="73" t="n">
        <x:f>$C30*'Work phasing'!I30</x:f>
        <x:v>0</x:v>
      </x:c>
      <x:c r="H30" s="73" t="n">
        <x:f>$C30*'Work phasing'!J30</x:f>
        <x:v>0</x:v>
      </x:c>
      <x:c r="I30" s="73" t="n">
        <x:f>$C30*'Work phasing'!K30</x:f>
        <x:v>0</x:v>
      </x:c>
      <x:c r="J30" s="73" t="n">
        <x:f>$C30*'Work phasing'!L30</x:f>
        <x:v>0</x:v>
      </x:c>
      <x:c r="K30" s="73" t="n">
        <x:f>$C30*'Work phasing'!M30</x:f>
        <x:v>0</x:v>
      </x:c>
      <x:c r="L30" s="73" t="n">
        <x:f>$C30*'Work phasing'!N30</x:f>
        <x:v>0</x:v>
      </x:c>
      <x:c r="M30" s="73" t="n">
        <x:f>$C30*'Work phasing'!O30</x:f>
        <x:v>0</x:v>
      </x:c>
      <x:c r="N30" s="73" t="n">
        <x:f>$C30*'Work phasing'!P30</x:f>
        <x:v>0</x:v>
      </x:c>
      <x:c r="O30" s="73" t="n">
        <x:f>$C30*'Work phasing'!Q30</x:f>
        <x:v>0</x:v>
      </x:c>
      <x:c r="P30" s="73" t="n">
        <x:f>$C30*'Work phasing'!R30</x:f>
        <x:v>276756.48000000004</x:v>
      </x:c>
      <x:c r="Q30" s="73" t="n">
        <x:f>$C30*'Work phasing'!S30</x:f>
        <x:v>251596.80000000005</x:v>
      </x:c>
      <x:c r="R30" s="73" t="n">
        <x:f>$C30*'Work phasing'!T30</x:f>
        <x:v>226437.12000000002</x:v>
      </x:c>
      <x:c r="S30" s="73" t="n">
        <x:f>$C30*'Work phasing'!U30</x:f>
        <x:v>201277.44000000006</x:v>
      </x:c>
      <x:c r="T30" s="73" t="n">
        <x:f>$C30*'Work phasing'!V30</x:f>
        <x:v>176117.76000000004</x:v>
      </x:c>
      <x:c r="U30" s="73" t="n">
        <x:f>$C30*'Work phasing'!W30</x:f>
        <x:v>150958.08000000005</x:v>
      </x:c>
      <x:c r="V30" s="73" t="n">
        <x:f>$C30*'Work phasing'!X30</x:f>
        <x:v>125798.40000000002</x:v>
      </x:c>
      <x:c r="W30" s="73" t="n">
        <x:f>$C30*'Work phasing'!Y30</x:f>
        <x:v>100638.72000000003</x:v>
      </x:c>
      <x:c r="X30" s="73" t="n">
        <x:f>$C30*'Work phasing'!Z30</x:f>
        <x:v>75479.04000000002</x:v>
      </x:c>
      <x:c r="Y30" s="73" t="n">
        <x:f>$C30*'Work phasing'!AA30</x:f>
        <x:v>50319.360000000015</x:v>
      </x:c>
      <x:c r="Z30" s="73" t="n">
        <x:f>$C30*'Work phasing'!AB30</x:f>
        <x:v>25159.680000000008</x:v>
      </x:c>
      <x:c r="AA30" s="73" t="n">
        <x:f>$C30*'Work phasing'!AC30</x:f>
        <x:v>0</x:v>
      </x:c>
      <x:c r="AB30" s="73" t="n">
        <x:f>$C30*'Work phasing'!AD30</x:f>
        <x:v>0</x:v>
      </x:c>
      <x:c r="AC30" s="73" t="n">
        <x:f>$C30*'Work phasing'!AE30</x:f>
        <x:v>0</x:v>
      </x:c>
      <x:c r="AD30" s="73" t="n">
        <x:f>$C30*'Work phasing'!AF30</x:f>
        <x:v>0</x:v>
      </x:c>
      <x:c r="AE30" s="73" t="n">
        <x:f>$C30*'Work phasing'!AG30</x:f>
        <x:v>0</x:v>
      </x:c>
      <x:c r="AF30" s="73" t="n">
        <x:f>$C30*'Work phasing'!AH30</x:f>
        <x:v>0</x:v>
      </x:c>
      <x:c r="AG30" s="73" t="n">
        <x:f>$C30*'Work phasing'!AI30</x:f>
        <x:v>0</x:v>
      </x:c>
      <x:c r="AH30" s="73" t="n">
        <x:f>$C30*'Work phasing'!AJ30</x:f>
        <x:v>0</x:v>
      </x:c>
      <x:c r="AI30" s="73" t="n">
        <x:f>$C30*'Work phasing'!AK30</x:f>
        <x:v>0</x:v>
      </x:c>
      <x:c r="AJ30" s="74" t="n">
        <x:f>SUM(D30:AI30)</x:f>
        <x:v>1660538.8800000001</x:v>
      </x:c>
    </x:row>
    <x:row r="31" ht="23" customHeight="1">
      <x:c r="A31" s="54" t="str">
        <x:v>AR01</x:v>
      </x:c>
      <x:c r="B31" s="54" t="str">
        <x:v>Finishes</x:v>
      </x:c>
      <x:c r="C31" s="75" t="n">
        <x:f>'Budget'!F31</x:f>
        <x:v>951933.06</x:v>
      </x:c>
      <x:c r="D31" s="75" t="n">
        <x:f>$C31*'Work phasing'!F31</x:f>
        <x:v>0</x:v>
      </x:c>
      <x:c r="E31" s="75" t="n">
        <x:f>$C31*'Work phasing'!G31</x:f>
        <x:v>0</x:v>
      </x:c>
      <x:c r="F31" s="75" t="n">
        <x:f>$C31*'Work phasing'!H31</x:f>
        <x:v>0</x:v>
      </x:c>
      <x:c r="G31" s="75" t="n">
        <x:f>$C31*'Work phasing'!I31</x:f>
        <x:v>0</x:v>
      </x:c>
      <x:c r="H31" s="75" t="n">
        <x:f>$C31*'Work phasing'!J31</x:f>
        <x:v>0</x:v>
      </x:c>
      <x:c r="I31" s="75" t="n">
        <x:f>$C31*'Work phasing'!K31</x:f>
        <x:v>0</x:v>
      </x:c>
      <x:c r="J31" s="75" t="n">
        <x:f>$C31*'Work phasing'!L31</x:f>
        <x:v>0</x:v>
      </x:c>
      <x:c r="K31" s="75" t="n">
        <x:f>$C31*'Work phasing'!M31</x:f>
        <x:v>0</x:v>
      </x:c>
      <x:c r="L31" s="75" t="n">
        <x:f>$C31*'Work phasing'!N31</x:f>
        <x:v>146451.24000000002</x:v>
      </x:c>
      <x:c r="M31" s="75" t="n">
        <x:f>$C31*'Work phasing'!O31</x:f>
        <x:v>134246.97</x:v>
      </x:c>
      <x:c r="N31" s="75" t="n">
        <x:f>$C31*'Work phasing'!P31</x:f>
        <x:v>122042.7</x:v>
      </x:c>
      <x:c r="O31" s="75" t="n">
        <x:f>$C31*'Work phasing'!Q31</x:f>
        <x:v>109838.43000000001</x:v>
      </x:c>
      <x:c r="P31" s="75" t="n">
        <x:f>$C31*'Work phasing'!R31</x:f>
        <x:v>97634.16</x:v>
      </x:c>
      <x:c r="Q31" s="75" t="n">
        <x:f>$C31*'Work phasing'!S31</x:f>
        <x:v>85429.89</x:v>
      </x:c>
      <x:c r="R31" s="75" t="n">
        <x:f>$C31*'Work phasing'!T31</x:f>
        <x:v>73225.62000000001</x:v>
      </x:c>
      <x:c r="S31" s="75" t="n">
        <x:f>$C31*'Work phasing'!U31</x:f>
        <x:v>61021.35</x:v>
      </x:c>
      <x:c r="T31" s="75" t="n">
        <x:f>$C31*'Work phasing'!V31</x:f>
        <x:v>48817.08</x:v>
      </x:c>
      <x:c r="U31" s="75" t="n">
        <x:f>$C31*'Work phasing'!W31</x:f>
        <x:v>36612.810000000005</x:v>
      </x:c>
      <x:c r="V31" s="75" t="n">
        <x:f>$C31*'Work phasing'!X31</x:f>
        <x:v>24408.54</x:v>
      </x:c>
      <x:c r="W31" s="75" t="n">
        <x:f>$C31*'Work phasing'!Y31</x:f>
        <x:v>12204.27</x:v>
      </x:c>
      <x:c r="X31" s="75" t="n">
        <x:f>$C31*'Work phasing'!Z31</x:f>
        <x:v>0</x:v>
      </x:c>
      <x:c r="Y31" s="75" t="n">
        <x:f>$C31*'Work phasing'!AA31</x:f>
        <x:v>0</x:v>
      </x:c>
      <x:c r="Z31" s="75" t="n">
        <x:f>$C31*'Work phasing'!AB31</x:f>
        <x:v>0</x:v>
      </x:c>
      <x:c r="AA31" s="75" t="n">
        <x:f>$C31*'Work phasing'!AC31</x:f>
        <x:v>0</x:v>
      </x:c>
      <x:c r="AB31" s="75" t="n">
        <x:f>$C31*'Work phasing'!AD31</x:f>
        <x:v>0</x:v>
      </x:c>
      <x:c r="AC31" s="75" t="n">
        <x:f>$C31*'Work phasing'!AE31</x:f>
        <x:v>0</x:v>
      </x:c>
      <x:c r="AD31" s="75" t="n">
        <x:f>$C31*'Work phasing'!AF31</x:f>
        <x:v>0</x:v>
      </x:c>
      <x:c r="AE31" s="75" t="n">
        <x:f>$C31*'Work phasing'!AG31</x:f>
        <x:v>0</x:v>
      </x:c>
      <x:c r="AF31" s="75" t="n">
        <x:f>$C31*'Work phasing'!AH31</x:f>
        <x:v>0</x:v>
      </x:c>
      <x:c r="AG31" s="75" t="n">
        <x:f>$C31*'Work phasing'!AI31</x:f>
        <x:v>0</x:v>
      </x:c>
      <x:c r="AH31" s="75" t="n">
        <x:f>$C31*'Work phasing'!AJ31</x:f>
        <x:v>0</x:v>
      </x:c>
      <x:c r="AI31" s="75" t="n">
        <x:f>$C31*'Work phasing'!AK31</x:f>
        <x:v>0</x:v>
      </x:c>
      <x:c r="AJ31" s="76" t="n">
        <x:f>SUM(D31:AI31)</x:f>
        <x:v>951933.06</x:v>
      </x:c>
    </x:row>
    <x:row r="32" ht="23" customHeight="1">
      <x:c r="A32" s="52" t="str">
        <x:v>AR02</x:v>
      </x:c>
      <x:c r="B32" s="52" t="str">
        <x:v>Finishes</x:v>
      </x:c>
      <x:c r="C32" s="73" t="n">
        <x:f>'Budget'!F32</x:f>
        <x:v>1175226.0000000005</x:v>
      </x:c>
      <x:c r="D32" s="73" t="n">
        <x:f>$C32*'Work phasing'!F32</x:f>
        <x:v>0</x:v>
      </x:c>
      <x:c r="E32" s="73" t="n">
        <x:f>$C32*'Work phasing'!G32</x:f>
        <x:v>0</x:v>
      </x:c>
      <x:c r="F32" s="73" t="n">
        <x:f>$C32*'Work phasing'!H32</x:f>
        <x:v>0</x:v>
      </x:c>
      <x:c r="G32" s="73" t="n">
        <x:f>$C32*'Work phasing'!I32</x:f>
        <x:v>0</x:v>
      </x:c>
      <x:c r="H32" s="73" t="n">
        <x:f>$C32*'Work phasing'!J32</x:f>
        <x:v>0</x:v>
      </x:c>
      <x:c r="I32" s="73" t="n">
        <x:f>$C32*'Work phasing'!K32</x:f>
        <x:v>0</x:v>
      </x:c>
      <x:c r="J32" s="73" t="n">
        <x:f>$C32*'Work phasing'!L32</x:f>
        <x:v>0</x:v>
      </x:c>
      <x:c r="K32" s="73" t="n">
        <x:f>$C32*'Work phasing'!M32</x:f>
        <x:v>0</x:v>
      </x:c>
      <x:c r="L32" s="73" t="n">
        <x:f>$C32*'Work phasing'!N32</x:f>
        <x:v>0</x:v>
      </x:c>
      <x:c r="M32" s="73" t="n">
        <x:f>$C32*'Work phasing'!O32</x:f>
        <x:v>0</x:v>
      </x:c>
      <x:c r="N32" s="73" t="n">
        <x:f>$C32*'Work phasing'!P32</x:f>
        <x:v>0</x:v>
      </x:c>
      <x:c r="O32" s="73" t="n">
        <x:f>$C32*'Work phasing'!Q32</x:f>
        <x:v>195871.00000000006</x:v>
      </x:c>
      <x:c r="P32" s="73" t="n">
        <x:f>$C32*'Work phasing'!R32</x:f>
        <x:v>178064.54545454553</x:v>
      </x:c>
      <x:c r="Q32" s="73" t="n">
        <x:f>$C32*'Work phasing'!S32</x:f>
        <x:v>160258.09090909097</x:v>
      </x:c>
      <x:c r="R32" s="73" t="n">
        <x:f>$C32*'Work phasing'!T32</x:f>
        <x:v>142451.6363636364</x:v>
      </x:c>
      <x:c r="S32" s="73" t="n">
        <x:f>$C32*'Work phasing'!U32</x:f>
        <x:v>124645.18181818187</x:v>
      </x:c>
      <x:c r="T32" s="73" t="n">
        <x:f>$C32*'Work phasing'!V32</x:f>
        <x:v>106838.72727272732</x:v>
      </x:c>
      <x:c r="U32" s="73" t="n">
        <x:f>$C32*'Work phasing'!W32</x:f>
        <x:v>89032.27272727276</x:v>
      </x:c>
      <x:c r="V32" s="73" t="n">
        <x:f>$C32*'Work phasing'!X32</x:f>
        <x:v>71225.8181818182</x:v>
      </x:c>
      <x:c r="W32" s="73" t="n">
        <x:f>$C32*'Work phasing'!Y32</x:f>
        <x:v>53419.36363636366</x:v>
      </x:c>
      <x:c r="X32" s="73" t="n">
        <x:f>$C32*'Work phasing'!Z32</x:f>
        <x:v>35612.9090909091</x:v>
      </x:c>
      <x:c r="Y32" s="73" t="n">
        <x:f>$C32*'Work phasing'!AA32</x:f>
        <x:v>17806.45454545455</x:v>
      </x:c>
      <x:c r="Z32" s="73" t="n">
        <x:f>$C32*'Work phasing'!AB32</x:f>
        <x:v>0</x:v>
      </x:c>
      <x:c r="AA32" s="73" t="n">
        <x:f>$C32*'Work phasing'!AC32</x:f>
        <x:v>0</x:v>
      </x:c>
      <x:c r="AB32" s="73" t="n">
        <x:f>$C32*'Work phasing'!AD32</x:f>
        <x:v>0</x:v>
      </x:c>
      <x:c r="AC32" s="73" t="n">
        <x:f>$C32*'Work phasing'!AE32</x:f>
        <x:v>0</x:v>
      </x:c>
      <x:c r="AD32" s="73" t="n">
        <x:f>$C32*'Work phasing'!AF32</x:f>
        <x:v>0</x:v>
      </x:c>
      <x:c r="AE32" s="73" t="n">
        <x:f>$C32*'Work phasing'!AG32</x:f>
        <x:v>0</x:v>
      </x:c>
      <x:c r="AF32" s="73" t="n">
        <x:f>$C32*'Work phasing'!AH32</x:f>
        <x:v>0</x:v>
      </x:c>
      <x:c r="AG32" s="73" t="n">
        <x:f>$C32*'Work phasing'!AI32</x:f>
        <x:v>0</x:v>
      </x:c>
      <x:c r="AH32" s="73" t="n">
        <x:f>$C32*'Work phasing'!AJ32</x:f>
        <x:v>0</x:v>
      </x:c>
      <x:c r="AI32" s="73" t="n">
        <x:f>$C32*'Work phasing'!AK32</x:f>
        <x:v>0</x:v>
      </x:c>
      <x:c r="AJ32" s="74" t="n">
        <x:f>SUM(D32:AI32)</x:f>
        <x:v>1175226.0000000005</x:v>
      </x:c>
    </x:row>
    <x:row r="33" ht="23" customHeight="1">
      <x:c r="A33" s="54" t="str">
        <x:v>AR03</x:v>
      </x:c>
      <x:c r="B33" s="54" t="str">
        <x:v>Finishes</x:v>
      </x:c>
      <x:c r="C33" s="75" t="n">
        <x:f>'Budget'!F33</x:f>
        <x:v>705744</x:v>
      </x:c>
      <x:c r="D33" s="75" t="n">
        <x:f>$C33*'Work phasing'!F33</x:f>
        <x:v>0</x:v>
      </x:c>
      <x:c r="E33" s="75" t="n">
        <x:f>$C33*'Work phasing'!G33</x:f>
        <x:v>0</x:v>
      </x:c>
      <x:c r="F33" s="75" t="n">
        <x:f>$C33*'Work phasing'!H33</x:f>
        <x:v>0</x:v>
      </x:c>
      <x:c r="G33" s="75" t="n">
        <x:f>$C33*'Work phasing'!I33</x:f>
        <x:v>0</x:v>
      </x:c>
      <x:c r="H33" s="75" t="n">
        <x:f>$C33*'Work phasing'!J33</x:f>
        <x:v>0</x:v>
      </x:c>
      <x:c r="I33" s="75" t="n">
        <x:f>$C33*'Work phasing'!K33</x:f>
        <x:v>0</x:v>
      </x:c>
      <x:c r="J33" s="75" t="n">
        <x:f>$C33*'Work phasing'!L33</x:f>
        <x:v>0</x:v>
      </x:c>
      <x:c r="K33" s="75" t="n">
        <x:f>$C33*'Work phasing'!M33</x:f>
        <x:v>0</x:v>
      </x:c>
      <x:c r="L33" s="75" t="n">
        <x:f>$C33*'Work phasing'!N33</x:f>
        <x:v>0</x:v>
      </x:c>
      <x:c r="M33" s="75" t="n">
        <x:f>$C33*'Work phasing'!O33</x:f>
        <x:v>0</x:v>
      </x:c>
      <x:c r="N33" s="75" t="n">
        <x:f>$C33*'Work phasing'!P33</x:f>
        <x:v>0</x:v>
      </x:c>
      <x:c r="O33" s="75" t="n">
        <x:f>$C33*'Work phasing'!Q33</x:f>
        <x:v>0</x:v>
      </x:c>
      <x:c r="P33" s="75" t="n">
        <x:f>$C33*'Work phasing'!R33</x:f>
        <x:v>128317.09090909091</x:v>
      </x:c>
      <x:c r="Q33" s="75" t="n">
        <x:f>$C33*'Work phasing'!S33</x:f>
        <x:v>115485.38181818182</x:v>
      </x:c>
      <x:c r="R33" s="75" t="n">
        <x:f>$C33*'Work phasing'!T33</x:f>
        <x:v>102653.67272727273</x:v>
      </x:c>
      <x:c r="S33" s="75" t="n">
        <x:f>$C33*'Work phasing'!U33</x:f>
        <x:v>89821.96363636362</x:v>
      </x:c>
      <x:c r="T33" s="75" t="n">
        <x:f>$C33*'Work phasing'!V33</x:f>
        <x:v>76990.25454545455</x:v>
      </x:c>
      <x:c r="U33" s="75" t="n">
        <x:f>$C33*'Work phasing'!W33</x:f>
        <x:v>64158.545454545456</x:v>
      </x:c>
      <x:c r="V33" s="75" t="n">
        <x:f>$C33*'Work phasing'!X33</x:f>
        <x:v>51326.836363636365</x:v>
      </x:c>
      <x:c r="W33" s="75" t="n">
        <x:f>$C33*'Work phasing'!Y33</x:f>
        <x:v>38495.12727272727</x:v>
      </x:c>
      <x:c r="X33" s="75" t="n">
        <x:f>$C33*'Work phasing'!Z33</x:f>
        <x:v>25663.418181818182</x:v>
      </x:c>
      <x:c r="Y33" s="75" t="n">
        <x:f>$C33*'Work phasing'!AA33</x:f>
        <x:v>12831.709090909091</x:v>
      </x:c>
      <x:c r="Z33" s="75" t="n">
        <x:f>$C33*'Work phasing'!AB33</x:f>
        <x:v>0</x:v>
      </x:c>
      <x:c r="AA33" s="75" t="n">
        <x:f>$C33*'Work phasing'!AC33</x:f>
        <x:v>0</x:v>
      </x:c>
      <x:c r="AB33" s="75" t="n">
        <x:f>$C33*'Work phasing'!AD33</x:f>
        <x:v>0</x:v>
      </x:c>
      <x:c r="AC33" s="75" t="n">
        <x:f>$C33*'Work phasing'!AE33</x:f>
        <x:v>0</x:v>
      </x:c>
      <x:c r="AD33" s="75" t="n">
        <x:f>$C33*'Work phasing'!AF33</x:f>
        <x:v>0</x:v>
      </x:c>
      <x:c r="AE33" s="75" t="n">
        <x:f>$C33*'Work phasing'!AG33</x:f>
        <x:v>0</x:v>
      </x:c>
      <x:c r="AF33" s="75" t="n">
        <x:f>$C33*'Work phasing'!AH33</x:f>
        <x:v>0</x:v>
      </x:c>
      <x:c r="AG33" s="75" t="n">
        <x:f>$C33*'Work phasing'!AI33</x:f>
        <x:v>0</x:v>
      </x:c>
      <x:c r="AH33" s="75" t="n">
        <x:f>$C33*'Work phasing'!AJ33</x:f>
        <x:v>0</x:v>
      </x:c>
      <x:c r="AI33" s="75" t="n">
        <x:f>$C33*'Work phasing'!AK33</x:f>
        <x:v>0</x:v>
      </x:c>
      <x:c r="AJ33" s="76" t="n">
        <x:f>SUM(D33:AI33)</x:f>
        <x:v>705744</x:v>
      </x:c>
    </x:row>
    <x:row r="34" ht="23" customHeight="1">
      <x:c r="A34" s="52" t="str">
        <x:v>AR04</x:v>
      </x:c>
      <x:c r="B34" s="52" t="str">
        <x:v>Finishes</x:v>
      </x:c>
      <x:c r="C34" s="73" t="n">
        <x:f>'Budget'!F34</x:f>
        <x:v>1872936</x:v>
      </x:c>
      <x:c r="D34" s="73" t="n">
        <x:f>$C34*'Work phasing'!F34</x:f>
        <x:v>0</x:v>
      </x:c>
      <x:c r="E34" s="73" t="n">
        <x:f>$C34*'Work phasing'!G34</x:f>
        <x:v>0</x:v>
      </x:c>
      <x:c r="F34" s="73" t="n">
        <x:f>$C34*'Work phasing'!H34</x:f>
        <x:v>0</x:v>
      </x:c>
      <x:c r="G34" s="73" t="n">
        <x:f>$C34*'Work phasing'!I34</x:f>
        <x:v>0</x:v>
      </x:c>
      <x:c r="H34" s="73" t="n">
        <x:f>$C34*'Work phasing'!J34</x:f>
        <x:v>0</x:v>
      </x:c>
      <x:c r="I34" s="73" t="n">
        <x:f>$C34*'Work phasing'!K34</x:f>
        <x:v>0</x:v>
      </x:c>
      <x:c r="J34" s="73" t="n">
        <x:f>$C34*'Work phasing'!L34</x:f>
        <x:v>0</x:v>
      </x:c>
      <x:c r="K34" s="73" t="n">
        <x:f>$C34*'Work phasing'!M34</x:f>
        <x:v>0</x:v>
      </x:c>
      <x:c r="L34" s="73" t="n">
        <x:f>$C34*'Work phasing'!N34</x:f>
        <x:v>0</x:v>
      </x:c>
      <x:c r="M34" s="73" t="n">
        <x:f>$C34*'Work phasing'!O34</x:f>
        <x:v>0</x:v>
      </x:c>
      <x:c r="N34" s="73" t="n">
        <x:f>$C34*'Work phasing'!P34</x:f>
        <x:v>0</x:v>
      </x:c>
      <x:c r="O34" s="73" t="n">
        <x:f>$C34*'Work phasing'!Q34</x:f>
        <x:v>0</x:v>
      </x:c>
      <x:c r="P34" s="73" t="n">
        <x:f>$C34*'Work phasing'!R34</x:f>
        <x:v>0</x:v>
      </x:c>
      <x:c r="Q34" s="73" t="n">
        <x:f>$C34*'Work phasing'!S34</x:f>
        <x:v>0</x:v>
      </x:c>
      <x:c r="R34" s="73" t="n">
        <x:f>$C34*'Work phasing'!T34</x:f>
        <x:v>374587.2</x:v>
      </x:c>
      <x:c r="S34" s="73" t="n">
        <x:f>$C34*'Work phasing'!U34</x:f>
        <x:v>332966.4</x:v>
      </x:c>
      <x:c r="T34" s="73" t="n">
        <x:f>$C34*'Work phasing'!V34</x:f>
        <x:v>291345.6</x:v>
      </x:c>
      <x:c r="U34" s="73" t="n">
        <x:f>$C34*'Work phasing'!W34</x:f>
        <x:v>249724.8</x:v>
      </x:c>
      <x:c r="V34" s="73" t="n">
        <x:f>$C34*'Work phasing'!X34</x:f>
        <x:v>208104</x:v>
      </x:c>
      <x:c r="W34" s="73" t="n">
        <x:f>$C34*'Work phasing'!Y34</x:f>
        <x:v>166483.2</x:v>
      </x:c>
      <x:c r="X34" s="73" t="n">
        <x:f>$C34*'Work phasing'!Z34</x:f>
        <x:v>124862.4</x:v>
      </x:c>
      <x:c r="Y34" s="73" t="n">
        <x:f>$C34*'Work phasing'!AA34</x:f>
        <x:v>83241.6</x:v>
      </x:c>
      <x:c r="Z34" s="73" t="n">
        <x:f>$C34*'Work phasing'!AB34</x:f>
        <x:v>41620.8</x:v>
      </x:c>
      <x:c r="AA34" s="73" t="n">
        <x:f>$C34*'Work phasing'!AC34</x:f>
        <x:v>0</x:v>
      </x:c>
      <x:c r="AB34" s="73" t="n">
        <x:f>$C34*'Work phasing'!AD34</x:f>
        <x:v>0</x:v>
      </x:c>
      <x:c r="AC34" s="73" t="n">
        <x:f>$C34*'Work phasing'!AE34</x:f>
        <x:v>0</x:v>
      </x:c>
      <x:c r="AD34" s="73" t="n">
        <x:f>$C34*'Work phasing'!AF34</x:f>
        <x:v>0</x:v>
      </x:c>
      <x:c r="AE34" s="73" t="n">
        <x:f>$C34*'Work phasing'!AG34</x:f>
        <x:v>0</x:v>
      </x:c>
      <x:c r="AF34" s="73" t="n">
        <x:f>$C34*'Work phasing'!AH34</x:f>
        <x:v>0</x:v>
      </x:c>
      <x:c r="AG34" s="73" t="n">
        <x:f>$C34*'Work phasing'!AI34</x:f>
        <x:v>0</x:v>
      </x:c>
      <x:c r="AH34" s="73" t="n">
        <x:f>$C34*'Work phasing'!AJ34</x:f>
        <x:v>0</x:v>
      </x:c>
      <x:c r="AI34" s="73" t="n">
        <x:f>$C34*'Work phasing'!AK34</x:f>
        <x:v>0</x:v>
      </x:c>
      <x:c r="AJ34" s="74" t="n">
        <x:f>SUM(D34:AI34)</x:f>
        <x:v>1872936</x:v>
      </x:c>
    </x:row>
    <x:row r="35" ht="23" customHeight="1">
      <x:c r="A35" s="54" t="str">
        <x:v>AR05</x:v>
      </x:c>
      <x:c r="B35" s="54" t="str">
        <x:v>Finishes</x:v>
      </x:c>
      <x:c r="C35" s="75" t="n">
        <x:f>'Budget'!F35</x:f>
        <x:v>799153.6800000003</x:v>
      </x:c>
      <x:c r="D35" s="75" t="n">
        <x:f>$C35*'Work phasing'!F35</x:f>
        <x:v>0</x:v>
      </x:c>
      <x:c r="E35" s="75" t="n">
        <x:f>$C35*'Work phasing'!G35</x:f>
        <x:v>0</x:v>
      </x:c>
      <x:c r="F35" s="75" t="n">
        <x:f>$C35*'Work phasing'!H35</x:f>
        <x:v>0</x:v>
      </x:c>
      <x:c r="G35" s="75" t="n">
        <x:f>$C35*'Work phasing'!I35</x:f>
        <x:v>0</x:v>
      </x:c>
      <x:c r="H35" s="75" t="n">
        <x:f>$C35*'Work phasing'!J35</x:f>
        <x:v>0</x:v>
      </x:c>
      <x:c r="I35" s="75" t="n">
        <x:f>$C35*'Work phasing'!K35</x:f>
        <x:v>0</x:v>
      </x:c>
      <x:c r="J35" s="75" t="n">
        <x:f>$C35*'Work phasing'!L35</x:f>
        <x:v>0</x:v>
      </x:c>
      <x:c r="K35" s="75" t="n">
        <x:f>$C35*'Work phasing'!M35</x:f>
        <x:v>0</x:v>
      </x:c>
      <x:c r="L35" s="75" t="n">
        <x:f>$C35*'Work phasing'!N35</x:f>
        <x:v>0</x:v>
      </x:c>
      <x:c r="M35" s="75" t="n">
        <x:f>$C35*'Work phasing'!O35</x:f>
        <x:v>0</x:v>
      </x:c>
      <x:c r="N35" s="75" t="n">
        <x:f>$C35*'Work phasing'!P35</x:f>
        <x:v>0</x:v>
      </x:c>
      <x:c r="O35" s="75" t="n">
        <x:f>$C35*'Work phasing'!Q35</x:f>
        <x:v>0</x:v>
      </x:c>
      <x:c r="P35" s="75" t="n">
        <x:f>$C35*'Work phasing'!R35</x:f>
        <x:v>0</x:v>
      </x:c>
      <x:c r="Q35" s="75" t="n">
        <x:f>$C35*'Work phasing'!S35</x:f>
        <x:v>0</x:v>
      </x:c>
      <x:c r="R35" s="75" t="n">
        <x:f>$C35*'Work phasing'!T35</x:f>
        <x:v>0</x:v>
      </x:c>
      <x:c r="S35" s="75" t="n">
        <x:f>$C35*'Work phasing'!U35</x:f>
        <x:v>0</x:v>
      </x:c>
      <x:c r="T35" s="75" t="n">
        <x:f>$C35*'Work phasing'!V35</x:f>
        <x:v>177589.70666666672</x:v>
      </x:c>
      <x:c r="U35" s="75" t="n">
        <x:f>$C35*'Work phasing'!W35</x:f>
        <x:v>155390.9933333334</x:v>
      </x:c>
      <x:c r="V35" s="75" t="n">
        <x:f>$C35*'Work phasing'!X35</x:f>
        <x:v>133192.28000000003</x:v>
      </x:c>
      <x:c r="W35" s="75" t="n">
        <x:f>$C35*'Work phasing'!Y35</x:f>
        <x:v>110993.56666666671</x:v>
      </x:c>
      <x:c r="X35" s="75" t="n">
        <x:f>$C35*'Work phasing'!Z35</x:f>
        <x:v>88794.85333333336</x:v>
      </x:c>
      <x:c r="Y35" s="75" t="n">
        <x:f>$C35*'Work phasing'!AA35</x:f>
        <x:v>66596.14000000001</x:v>
      </x:c>
      <x:c r="Z35" s="75" t="n">
        <x:f>$C35*'Work phasing'!AB35</x:f>
        <x:v>44397.42666666668</x:v>
      </x:c>
      <x:c r="AA35" s="75" t="n">
        <x:f>$C35*'Work phasing'!AC35</x:f>
        <x:v>22198.71333333334</x:v>
      </x:c>
      <x:c r="AB35" s="75" t="n">
        <x:f>$C35*'Work phasing'!AD35</x:f>
        <x:v>0</x:v>
      </x:c>
      <x:c r="AC35" s="75" t="n">
        <x:f>$C35*'Work phasing'!AE35</x:f>
        <x:v>0</x:v>
      </x:c>
      <x:c r="AD35" s="75" t="n">
        <x:f>$C35*'Work phasing'!AF35</x:f>
        <x:v>0</x:v>
      </x:c>
      <x:c r="AE35" s="75" t="n">
        <x:f>$C35*'Work phasing'!AG35</x:f>
        <x:v>0</x:v>
      </x:c>
      <x:c r="AF35" s="75" t="n">
        <x:f>$C35*'Work phasing'!AH35</x:f>
        <x:v>0</x:v>
      </x:c>
      <x:c r="AG35" s="75" t="n">
        <x:f>$C35*'Work phasing'!AI35</x:f>
        <x:v>0</x:v>
      </x:c>
      <x:c r="AH35" s="75" t="n">
        <x:f>$C35*'Work phasing'!AJ35</x:f>
        <x:v>0</x:v>
      </x:c>
      <x:c r="AI35" s="75" t="n">
        <x:f>$C35*'Work phasing'!AK35</x:f>
        <x:v>0</x:v>
      </x:c>
      <x:c r="AJ35" s="76" t="n">
        <x:f>SUM(D35:AI35)</x:f>
        <x:v>799153.6800000003</x:v>
      </x:c>
    </x:row>
    <x:row r="36" ht="23" customHeight="1">
      <x:c r="A36" s="52" t="str">
        <x:v>AR06</x:v>
      </x:c>
      <x:c r="B36" s="52" t="str">
        <x:v>Finishes</x:v>
      </x:c>
      <x:c r="C36" s="73" t="n">
        <x:f>'Budget'!F36</x:f>
        <x:v>452088</x:v>
      </x:c>
      <x:c r="D36" s="73" t="n">
        <x:f>$C36*'Work phasing'!F36</x:f>
        <x:v>0</x:v>
      </x:c>
      <x:c r="E36" s="73" t="n">
        <x:f>$C36*'Work phasing'!G36</x:f>
        <x:v>0</x:v>
      </x:c>
      <x:c r="F36" s="73" t="n">
        <x:f>$C36*'Work phasing'!H36</x:f>
        <x:v>0</x:v>
      </x:c>
      <x:c r="G36" s="73" t="n">
        <x:f>$C36*'Work phasing'!I36</x:f>
        <x:v>0</x:v>
      </x:c>
      <x:c r="H36" s="73" t="n">
        <x:f>$C36*'Work phasing'!J36</x:f>
        <x:v>0</x:v>
      </x:c>
      <x:c r="I36" s="73" t="n">
        <x:f>$C36*'Work phasing'!K36</x:f>
        <x:v>0</x:v>
      </x:c>
      <x:c r="J36" s="73" t="n">
        <x:f>$C36*'Work phasing'!L36</x:f>
        <x:v>0</x:v>
      </x:c>
      <x:c r="K36" s="73" t="n">
        <x:f>$C36*'Work phasing'!M36</x:f>
        <x:v>0</x:v>
      </x:c>
      <x:c r="L36" s="73" t="n">
        <x:f>$C36*'Work phasing'!N36</x:f>
        <x:v>0</x:v>
      </x:c>
      <x:c r="M36" s="73" t="n">
        <x:f>$C36*'Work phasing'!O36</x:f>
        <x:v>0</x:v>
      </x:c>
      <x:c r="N36" s="73" t="n">
        <x:f>$C36*'Work phasing'!P36</x:f>
        <x:v>0</x:v>
      </x:c>
      <x:c r="O36" s="73" t="n">
        <x:f>$C36*'Work phasing'!Q36</x:f>
        <x:v>0</x:v>
      </x:c>
      <x:c r="P36" s="73" t="n">
        <x:f>$C36*'Work phasing'!R36</x:f>
        <x:v>0</x:v>
      </x:c>
      <x:c r="Q36" s="73" t="n">
        <x:f>$C36*'Work phasing'!S36</x:f>
        <x:v>0</x:v>
      </x:c>
      <x:c r="R36" s="73" t="n">
        <x:f>$C36*'Work phasing'!T36</x:f>
        <x:v>0</x:v>
      </x:c>
      <x:c r="S36" s="73" t="n">
        <x:f>$C36*'Work phasing'!U36</x:f>
        <x:v>0</x:v>
      </x:c>
      <x:c r="T36" s="73" t="n">
        <x:f>$C36*'Work phasing'!V36</x:f>
        <x:v>0</x:v>
      </x:c>
      <x:c r="U36" s="73" t="n">
        <x:f>$C36*'Work phasing'!W36</x:f>
        <x:v>113022</x:v>
      </x:c>
      <x:c r="V36" s="73" t="n">
        <x:f>$C36*'Work phasing'!X36</x:f>
        <x:v>96876</x:v>
      </x:c>
      <x:c r="W36" s="73" t="n">
        <x:f>$C36*'Work phasing'!Y36</x:f>
        <x:v>80730</x:v>
      </x:c>
      <x:c r="X36" s="73" t="n">
        <x:f>$C36*'Work phasing'!Z36</x:f>
        <x:v>64584</x:v>
      </x:c>
      <x:c r="Y36" s="73" t="n">
        <x:f>$C36*'Work phasing'!AA36</x:f>
        <x:v>48438</x:v>
      </x:c>
      <x:c r="Z36" s="73" t="n">
        <x:f>$C36*'Work phasing'!AB36</x:f>
        <x:v>32292</x:v>
      </x:c>
      <x:c r="AA36" s="73" t="n">
        <x:f>$C36*'Work phasing'!AC36</x:f>
        <x:v>16146</x:v>
      </x:c>
      <x:c r="AB36" s="73" t="n">
        <x:f>$C36*'Work phasing'!AD36</x:f>
        <x:v>0</x:v>
      </x:c>
      <x:c r="AC36" s="73" t="n">
        <x:f>$C36*'Work phasing'!AE36</x:f>
        <x:v>0</x:v>
      </x:c>
      <x:c r="AD36" s="73" t="n">
        <x:f>$C36*'Work phasing'!AF36</x:f>
        <x:v>0</x:v>
      </x:c>
      <x:c r="AE36" s="73" t="n">
        <x:f>$C36*'Work phasing'!AG36</x:f>
        <x:v>0</x:v>
      </x:c>
      <x:c r="AF36" s="73" t="n">
        <x:f>$C36*'Work phasing'!AH36</x:f>
        <x:v>0</x:v>
      </x:c>
      <x:c r="AG36" s="73" t="n">
        <x:f>$C36*'Work phasing'!AI36</x:f>
        <x:v>0</x:v>
      </x:c>
      <x:c r="AH36" s="73" t="n">
        <x:f>$C36*'Work phasing'!AJ36</x:f>
        <x:v>0</x:v>
      </x:c>
      <x:c r="AI36" s="73" t="n">
        <x:f>$C36*'Work phasing'!AK36</x:f>
        <x:v>0</x:v>
      </x:c>
      <x:c r="AJ36" s="74" t="n">
        <x:f>SUM(D36:AI36)</x:f>
        <x:v>452088</x:v>
      </x:c>
    </x:row>
    <x:row r="37" ht="23" customHeight="1">
      <x:c r="A37" s="54" t="str">
        <x:v>EX01</x:v>
      </x:c>
      <x:c r="B37" s="54" t="str">
        <x:v>External</x:v>
      </x:c>
      <x:c r="C37" s="75" t="n">
        <x:f>'Budget'!F37</x:f>
        <x:v>171000</x:v>
      </x:c>
      <x:c r="D37" s="75" t="n">
        <x:f>$C37*'Work phasing'!F37</x:f>
        <x:v>0</x:v>
      </x:c>
      <x:c r="E37" s="75" t="n">
        <x:f>$C37*'Work phasing'!G37</x:f>
        <x:v>0</x:v>
      </x:c>
      <x:c r="F37" s="75" t="n">
        <x:f>$C37*'Work phasing'!H37</x:f>
        <x:v>0</x:v>
      </x:c>
      <x:c r="G37" s="75" t="n">
        <x:f>$C37*'Work phasing'!I37</x:f>
        <x:v>0</x:v>
      </x:c>
      <x:c r="H37" s="75" t="n">
        <x:f>$C37*'Work phasing'!J37</x:f>
        <x:v>0</x:v>
      </x:c>
      <x:c r="I37" s="75" t="n">
        <x:f>$C37*'Work phasing'!K37</x:f>
        <x:v>0</x:v>
      </x:c>
      <x:c r="J37" s="75" t="n">
        <x:f>$C37*'Work phasing'!L37</x:f>
        <x:v>0</x:v>
      </x:c>
      <x:c r="K37" s="75" t="n">
        <x:f>$C37*'Work phasing'!M37</x:f>
        <x:v>0</x:v>
      </x:c>
      <x:c r="L37" s="75" t="n">
        <x:f>$C37*'Work phasing'!N37</x:f>
        <x:v>0</x:v>
      </x:c>
      <x:c r="M37" s="75" t="n">
        <x:f>$C37*'Work phasing'!O37</x:f>
        <x:v>0</x:v>
      </x:c>
      <x:c r="N37" s="75" t="n">
        <x:f>$C37*'Work phasing'!P37</x:f>
        <x:v>0</x:v>
      </x:c>
      <x:c r="O37" s="75" t="n">
        <x:f>$C37*'Work phasing'!Q37</x:f>
        <x:v>0</x:v>
      </x:c>
      <x:c r="P37" s="75" t="n">
        <x:f>$C37*'Work phasing'!R37</x:f>
        <x:v>0</x:v>
      </x:c>
      <x:c r="Q37" s="75" t="n">
        <x:f>$C37*'Work phasing'!S37</x:f>
        <x:v>0</x:v>
      </x:c>
      <x:c r="R37" s="75" t="n">
        <x:f>$C37*'Work phasing'!T37</x:f>
        <x:v>0</x:v>
      </x:c>
      <x:c r="S37" s="75" t="n">
        <x:f>$C37*'Work phasing'!U37</x:f>
        <x:v>0</x:v>
      </x:c>
      <x:c r="T37" s="75" t="n">
        <x:f>$C37*'Work phasing'!V37</x:f>
        <x:v>0</x:v>
      </x:c>
      <x:c r="U37" s="75" t="n">
        <x:f>$C37*'Work phasing'!W37</x:f>
        <x:v>0</x:v>
      </x:c>
      <x:c r="V37" s="75" t="n">
        <x:f>$C37*'Work phasing'!X37</x:f>
        <x:v>0</x:v>
      </x:c>
      <x:c r="W37" s="75" t="n">
        <x:f>$C37*'Work phasing'!Y37</x:f>
        <x:v>57000</x:v>
      </x:c>
      <x:c r="X37" s="75" t="n">
        <x:f>$C37*'Work phasing'!Z37</x:f>
        <x:v>45600</x:v>
      </x:c>
      <x:c r="Y37" s="75" t="n">
        <x:f>$C37*'Work phasing'!AA37</x:f>
        <x:v>34200</x:v>
      </x:c>
      <x:c r="Z37" s="75" t="n">
        <x:f>$C37*'Work phasing'!AB37</x:f>
        <x:v>22800</x:v>
      </x:c>
      <x:c r="AA37" s="75" t="n">
        <x:f>$C37*'Work phasing'!AC37</x:f>
        <x:v>11400</x:v>
      </x:c>
      <x:c r="AB37" s="75" t="n">
        <x:f>$C37*'Work phasing'!AD37</x:f>
        <x:v>0</x:v>
      </x:c>
      <x:c r="AC37" s="75" t="n">
        <x:f>$C37*'Work phasing'!AE37</x:f>
        <x:v>0</x:v>
      </x:c>
      <x:c r="AD37" s="75" t="n">
        <x:f>$C37*'Work phasing'!AF37</x:f>
        <x:v>0</x:v>
      </x:c>
      <x:c r="AE37" s="75" t="n">
        <x:f>$C37*'Work phasing'!AG37</x:f>
        <x:v>0</x:v>
      </x:c>
      <x:c r="AF37" s="75" t="n">
        <x:f>$C37*'Work phasing'!AH37</x:f>
        <x:v>0</x:v>
      </x:c>
      <x:c r="AG37" s="75" t="n">
        <x:f>$C37*'Work phasing'!AI37</x:f>
        <x:v>0</x:v>
      </x:c>
      <x:c r="AH37" s="75" t="n">
        <x:f>$C37*'Work phasing'!AJ37</x:f>
        <x:v>0</x:v>
      </x:c>
      <x:c r="AI37" s="75" t="n">
        <x:f>$C37*'Work phasing'!AK37</x:f>
        <x:v>0</x:v>
      </x:c>
      <x:c r="AJ37" s="76" t="n">
        <x:f>SUM(D37:AI37)</x:f>
        <x:v>171000</x:v>
      </x:c>
    </x:row>
    <x:row r="38" ht="23" customHeight="1">
      <x:c r="A38" s="52" t="str">
        <x:v>EX02</x:v>
      </x:c>
      <x:c r="B38" s="52" t="str">
        <x:v>External</x:v>
      </x:c>
      <x:c r="C38" s="73" t="n">
        <x:f>'Budget'!F38</x:f>
        <x:v>63360</x:v>
      </x:c>
      <x:c r="D38" s="73" t="n">
        <x:f>$C38*'Work phasing'!F38</x:f>
        <x:v>0</x:v>
      </x:c>
      <x:c r="E38" s="73" t="n">
        <x:f>$C38*'Work phasing'!G38</x:f>
        <x:v>0</x:v>
      </x:c>
      <x:c r="F38" s="73" t="n">
        <x:f>$C38*'Work phasing'!H38</x:f>
        <x:v>0</x:v>
      </x:c>
      <x:c r="G38" s="73" t="n">
        <x:f>$C38*'Work phasing'!I38</x:f>
        <x:v>0</x:v>
      </x:c>
      <x:c r="H38" s="73" t="n">
        <x:f>$C38*'Work phasing'!J38</x:f>
        <x:v>0</x:v>
      </x:c>
      <x:c r="I38" s="73" t="n">
        <x:f>$C38*'Work phasing'!K38</x:f>
        <x:v>0</x:v>
      </x:c>
      <x:c r="J38" s="73" t="n">
        <x:f>$C38*'Work phasing'!L38</x:f>
        <x:v>0</x:v>
      </x:c>
      <x:c r="K38" s="73" t="n">
        <x:f>$C38*'Work phasing'!M38</x:f>
        <x:v>0</x:v>
      </x:c>
      <x:c r="L38" s="73" t="n">
        <x:f>$C38*'Work phasing'!N38</x:f>
        <x:v>0</x:v>
      </x:c>
      <x:c r="M38" s="73" t="n">
        <x:f>$C38*'Work phasing'!O38</x:f>
        <x:v>0</x:v>
      </x:c>
      <x:c r="N38" s="73" t="n">
        <x:f>$C38*'Work phasing'!P38</x:f>
        <x:v>0</x:v>
      </x:c>
      <x:c r="O38" s="73" t="n">
        <x:f>$C38*'Work phasing'!Q38</x:f>
        <x:v>0</x:v>
      </x:c>
      <x:c r="P38" s="73" t="n">
        <x:f>$C38*'Work phasing'!R38</x:f>
        <x:v>0</x:v>
      </x:c>
      <x:c r="Q38" s="73" t="n">
        <x:f>$C38*'Work phasing'!S38</x:f>
        <x:v>0</x:v>
      </x:c>
      <x:c r="R38" s="73" t="n">
        <x:f>$C38*'Work phasing'!T38</x:f>
        <x:v>0</x:v>
      </x:c>
      <x:c r="S38" s="73" t="n">
        <x:f>$C38*'Work phasing'!U38</x:f>
        <x:v>0</x:v>
      </x:c>
      <x:c r="T38" s="73" t="n">
        <x:f>$C38*'Work phasing'!V38</x:f>
        <x:v>0</x:v>
      </x:c>
      <x:c r="U38" s="73" t="n">
        <x:f>$C38*'Work phasing'!W38</x:f>
        <x:v>21120</x:v>
      </x:c>
      <x:c r="V38" s="73" t="n">
        <x:f>$C38*'Work phasing'!X38</x:f>
        <x:v>16896</x:v>
      </x:c>
      <x:c r="W38" s="73" t="n">
        <x:f>$C38*'Work phasing'!Y38</x:f>
        <x:v>12672</x:v>
      </x:c>
      <x:c r="X38" s="73" t="n">
        <x:f>$C38*'Work phasing'!Z38</x:f>
        <x:v>8448</x:v>
      </x:c>
      <x:c r="Y38" s="73" t="n">
        <x:f>$C38*'Work phasing'!AA38</x:f>
        <x:v>4224</x:v>
      </x:c>
      <x:c r="Z38" s="73" t="n">
        <x:f>$C38*'Work phasing'!AB38</x:f>
        <x:v>0</x:v>
      </x:c>
      <x:c r="AA38" s="73" t="n">
        <x:f>$C38*'Work phasing'!AC38</x:f>
        <x:v>0</x:v>
      </x:c>
      <x:c r="AB38" s="73" t="n">
        <x:f>$C38*'Work phasing'!AD38</x:f>
        <x:v>0</x:v>
      </x:c>
      <x:c r="AC38" s="73" t="n">
        <x:f>$C38*'Work phasing'!AE38</x:f>
        <x:v>0</x:v>
      </x:c>
      <x:c r="AD38" s="73" t="n">
        <x:f>$C38*'Work phasing'!AF38</x:f>
        <x:v>0</x:v>
      </x:c>
      <x:c r="AE38" s="73" t="n">
        <x:f>$C38*'Work phasing'!AG38</x:f>
        <x:v>0</x:v>
      </x:c>
      <x:c r="AF38" s="73" t="n">
        <x:f>$C38*'Work phasing'!AH38</x:f>
        <x:v>0</x:v>
      </x:c>
      <x:c r="AG38" s="73" t="n">
        <x:f>$C38*'Work phasing'!AI38</x:f>
        <x:v>0</x:v>
      </x:c>
      <x:c r="AH38" s="73" t="n">
        <x:f>$C38*'Work phasing'!AJ38</x:f>
        <x:v>0</x:v>
      </x:c>
      <x:c r="AI38" s="73" t="n">
        <x:f>$C38*'Work phasing'!AK38</x:f>
        <x:v>0</x:v>
      </x:c>
      <x:c r="AJ38" s="74" t="n">
        <x:f>SUM(D38:AI38)</x:f>
        <x:v>63360</x:v>
      </x:c>
    </x:row>
    <x:row r="39" ht="23" customHeight="1">
      <x:c r="A39" s="54" t="str">
        <x:v>EX03</x:v>
      </x:c>
      <x:c r="B39" s="54" t="str">
        <x:v>External</x:v>
      </x:c>
      <x:c r="C39" s="75" t="n">
        <x:f>'Budget'!F39</x:f>
        <x:v>13440</x:v>
      </x:c>
      <x:c r="D39" s="75" t="n">
        <x:f>$C39*'Work phasing'!F39</x:f>
        <x:v>0</x:v>
      </x:c>
      <x:c r="E39" s="75" t="n">
        <x:f>$C39*'Work phasing'!G39</x:f>
        <x:v>0</x:v>
      </x:c>
      <x:c r="F39" s="75" t="n">
        <x:f>$C39*'Work phasing'!H39</x:f>
        <x:v>0</x:v>
      </x:c>
      <x:c r="G39" s="75" t="n">
        <x:f>$C39*'Work phasing'!I39</x:f>
        <x:v>0</x:v>
      </x:c>
      <x:c r="H39" s="75" t="n">
        <x:f>$C39*'Work phasing'!J39</x:f>
        <x:v>0</x:v>
      </x:c>
      <x:c r="I39" s="75" t="n">
        <x:f>$C39*'Work phasing'!K39</x:f>
        <x:v>0</x:v>
      </x:c>
      <x:c r="J39" s="75" t="n">
        <x:f>$C39*'Work phasing'!L39</x:f>
        <x:v>0</x:v>
      </x:c>
      <x:c r="K39" s="75" t="n">
        <x:f>$C39*'Work phasing'!M39</x:f>
        <x:v>0</x:v>
      </x:c>
      <x:c r="L39" s="75" t="n">
        <x:f>$C39*'Work phasing'!N39</x:f>
        <x:v>0</x:v>
      </x:c>
      <x:c r="M39" s="75" t="n">
        <x:f>$C39*'Work phasing'!O39</x:f>
        <x:v>0</x:v>
      </x:c>
      <x:c r="N39" s="75" t="n">
        <x:f>$C39*'Work phasing'!P39</x:f>
        <x:v>0</x:v>
      </x:c>
      <x:c r="O39" s="75" t="n">
        <x:f>$C39*'Work phasing'!Q39</x:f>
        <x:v>0</x:v>
      </x:c>
      <x:c r="P39" s="75" t="n">
        <x:f>$C39*'Work phasing'!R39</x:f>
        <x:v>0</x:v>
      </x:c>
      <x:c r="Q39" s="75" t="n">
        <x:f>$C39*'Work phasing'!S39</x:f>
        <x:v>0</x:v>
      </x:c>
      <x:c r="R39" s="75" t="n">
        <x:f>$C39*'Work phasing'!T39</x:f>
        <x:v>0</x:v>
      </x:c>
      <x:c r="S39" s="75" t="n">
        <x:f>$C39*'Work phasing'!U39</x:f>
        <x:v>0</x:v>
      </x:c>
      <x:c r="T39" s="75" t="n">
        <x:f>$C39*'Work phasing'!V39</x:f>
        <x:v>0</x:v>
      </x:c>
      <x:c r="U39" s="75" t="n">
        <x:f>$C39*'Work phasing'!W39</x:f>
        <x:v>0</x:v>
      </x:c>
      <x:c r="V39" s="75" t="n">
        <x:f>$C39*'Work phasing'!X39</x:f>
        <x:v>4480</x:v>
      </x:c>
      <x:c r="W39" s="75" t="n">
        <x:f>$C39*'Work phasing'!Y39</x:f>
        <x:v>3584</x:v>
      </x:c>
      <x:c r="X39" s="75" t="n">
        <x:f>$C39*'Work phasing'!Z39</x:f>
        <x:v>2688</x:v>
      </x:c>
      <x:c r="Y39" s="75" t="n">
        <x:f>$C39*'Work phasing'!AA39</x:f>
        <x:v>1792</x:v>
      </x:c>
      <x:c r="Z39" s="75" t="n">
        <x:f>$C39*'Work phasing'!AB39</x:f>
        <x:v>896</x:v>
      </x:c>
      <x:c r="AA39" s="75" t="n">
        <x:f>$C39*'Work phasing'!AC39</x:f>
        <x:v>0</x:v>
      </x:c>
      <x:c r="AB39" s="75" t="n">
        <x:f>$C39*'Work phasing'!AD39</x:f>
        <x:v>0</x:v>
      </x:c>
      <x:c r="AC39" s="75" t="n">
        <x:f>$C39*'Work phasing'!AE39</x:f>
        <x:v>0</x:v>
      </x:c>
      <x:c r="AD39" s="75" t="n">
        <x:f>$C39*'Work phasing'!AF39</x:f>
        <x:v>0</x:v>
      </x:c>
      <x:c r="AE39" s="75" t="n">
        <x:f>$C39*'Work phasing'!AG39</x:f>
        <x:v>0</x:v>
      </x:c>
      <x:c r="AF39" s="75" t="n">
        <x:f>$C39*'Work phasing'!AH39</x:f>
        <x:v>0</x:v>
      </x:c>
      <x:c r="AG39" s="75" t="n">
        <x:f>$C39*'Work phasing'!AI39</x:f>
        <x:v>0</x:v>
      </x:c>
      <x:c r="AH39" s="75" t="n">
        <x:f>$C39*'Work phasing'!AJ39</x:f>
        <x:v>0</x:v>
      </x:c>
      <x:c r="AI39" s="75" t="n">
        <x:f>$C39*'Work phasing'!AK39</x:f>
        <x:v>0</x:v>
      </x:c>
      <x:c r="AJ39" s="76" t="n">
        <x:f>SUM(D39:AI39)</x:f>
        <x:v>13440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3" hidden="0" customWidth="1"/>
    <x:col min="4" max="4" width="23" hidden="0" customWidth="1"/>
    <x:col min="5" max="5" width="24" hidden="0" customWidth="1"/>
    <x:col min="6" max="6" width="24" hidden="0" customWidth="1"/>
    <x:col min="7" max="7" width="25" hidden="0" customWidth="1"/>
    <x:col min="8" max="8" width="23" hidden="0" customWidth="1"/>
    <x:col min="9" max="9" width="24" hidden="0" customWidth="1"/>
    <x:col min="10" max="10" width="25" hidden="0" customWidth="1"/>
    <x:col min="11" max="11" width="25" hidden="0" customWidth="1"/>
  </x:cols>
  <x:sheetData>
    <x:row r="2">
      <x:c r="A2" s="48" t="str">
        <x:v>Payment certificates and collections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  <x:c r="P3" s="59"/>
      <x:c r="Q3" s="59"/>
    </x:row>
    <x:row r="4">
      <x:c r="A4" s="50" t="str">
        <x:v>Gross earned value, deductions and cash receipts are kept separate.</x:v>
      </x:c>
      <x:c r="B4" s="50"/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 s="50"/>
      <x:c r="P4" s="50"/>
      <x:c r="Q4" s="50"/>
    </x:row>
    <x:row r="5">
      <x:c r="A5" s="60"/>
      <x:c r="B5" s="60"/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  <x:c r="O6" s="59"/>
      <x:c r="P6" s="59"/>
      <x:c r="Q6" s="59"/>
    </x:row>
    <x:row r="7" ht="34" customHeight="1">
      <x:c r="A7" s="6" t="str">
        <x:v>Month</x:v>
      </x:c>
      <x:c r="B7" s="6" t="str">
        <x:v>Period</x:v>
      </x:c>
      <x:c r="C7" s="6" t="str">
        <x:v>Gross earned USD</x:v>
      </x:c>
      <x:c r="D7" s="6" t="str">
        <x:v>Retention held USD</x:v>
      </x:c>
      <x:c r="E7" s="6" t="str">
        <x:v>Advance recovery USD</x:v>
      </x:c>
      <x:c r="F7" s="6" t="str">
        <x:v>Net certified USD</x:v>
      </x:c>
      <x:c r="G7" s="6" t="str">
        <x:v>Retention release USD</x:v>
      </x:c>
      <x:c r="H7" s="6" t="str">
        <x:v>Advance paid USD</x:v>
      </x:c>
      <x:c r="I7" s="6" t="str">
        <x:v>Owner receipts USD</x:v>
      </x:c>
      <x:c r="J7" s="6" t="str">
        <x:v>Cum gross USD</x:v>
      </x:c>
      <x:c r="K7" s="6" t="str">
        <x:v>Cum receipts USD</x:v>
      </x:c>
      <x:c r="L7" s="59"/>
      <x:c r="M7" s="59"/>
      <x:c r="N7" s="59"/>
      <x:c r="O7" s="59"/>
      <x:c r="P7" s="59"/>
      <x:c r="Q7" s="59"/>
    </x:row>
    <x:row r="8" ht="23" customHeight="1">
      <x:c r="A8" s="52" t="n">
        <x:v>1</x:v>
      </x:c>
      <x:c r="B8" s="77" t="d">
        <x:v>2026-11-01T00:00:00.000Z</x:v>
      </x:c>
      <x:c r="C8" s="73" t="n">
        <x:f>SUM('Cost accrual'!D8:D39)/'Controls'!$B$9*'Controls'!$B$8</x:f>
        <x:v>615806.75952</x:v>
      </x:c>
      <x:c r="D8" s="73" t="n">
        <x:f>C8*'Controls'!$B$13</x:f>
        <x:v>30790.337976</x:v>
      </x:c>
      <x:c r="E8" s="73" t="n">
        <x:f>C8*'Controls'!$B$12</x:f>
        <x:v>61580.675952</x:v>
      </x:c>
      <x:c r="F8" s="74" t="n">
        <x:f>C8-D8-E8</x:f>
        <x:v>523435.7455919999</x:v>
      </x:c>
      <x:c r="G8" s="73" t="n">
        <x:f>IF(A8='Controls'!$B$21,'Controls'!$B$8*'Controls'!$B$13/2,0)+IF(A8='Controls'!$B$22,'Controls'!$B$8*'Controls'!$B$13/2,0)</x:f>
        <x:v>0</x:v>
      </x:c>
      <x:c r="H8" s="73" t="n">
        <x:f>IF(A8=1,'Controls'!$B$8*'Controls'!$B$12,0)</x:f>
        <x:v>2758806.4605411123</x:v>
      </x:c>
      <x:c r="I8" s="73" t="n">
        <x:f>IF(A8&gt;'Controls'!$B$14,INDEX($F$8:$F$39,A8-'Controls'!$B$14),0)+G8+H8</x:f>
        <x:v>2758806.4605411123</x:v>
      </x:c>
      <x:c r="J8" s="74" t="n">
        <x:f>SUM($C$8:C8)</x:f>
        <x:v>615806.75952</x:v>
      </x:c>
      <x:c r="K8" s="74" t="n">
        <x:f>SUM($I$8:I8)</x:f>
        <x:v>2758806.4605411123</x:v>
      </x:c>
      <x:c r="L8" s="59"/>
      <x:c r="M8" s="59"/>
      <x:c r="N8" s="59"/>
      <x:c r="O8" s="59"/>
      <x:c r="P8" s="59"/>
      <x:c r="Q8" s="59"/>
    </x:row>
    <x:row r="9" ht="23" customHeight="1">
      <x:c r="A9" s="54" t="n">
        <x:v>2</x:v>
      </x:c>
      <x:c r="B9" s="78" t="d">
        <x:v>2026-12-01T00:00:00.000Z</x:v>
      </x:c>
      <x:c r="C9" s="75" t="n">
        <x:f>SUM('Cost accrual'!E8:E39)/'Controls'!$B$9*'Controls'!$B$8</x:f>
        <x:v>638298.89568</x:v>
      </x:c>
      <x:c r="D9" s="75" t="n">
        <x:f>C9*'Controls'!$B$13</x:f>
        <x:v>31914.944784</x:v>
      </x:c>
      <x:c r="E9" s="75" t="n">
        <x:f>C9*'Controls'!$B$12</x:f>
        <x:v>63829.889568</x:v>
      </x:c>
      <x:c r="F9" s="76" t="n">
        <x:f>C9-D9-E9</x:f>
        <x:v>542554.0613279999</x:v>
      </x:c>
      <x:c r="G9" s="75" t="n">
        <x:f>IF(A9='Controls'!$B$21,'Controls'!$B$8*'Controls'!$B$13/2,0)+IF(A9='Controls'!$B$22,'Controls'!$B$8*'Controls'!$B$13/2,0)</x:f>
        <x:v>0</x:v>
      </x:c>
      <x:c r="H9" s="75" t="n">
        <x:f>IF(A9=1,'Controls'!$B$8*'Controls'!$B$12,0)</x:f>
        <x:v>0</x:v>
      </x:c>
      <x:c r="I9" s="75" t="n">
        <x:f>IF(A9&gt;'Controls'!$B$14,INDEX($F$8:$F$39,A9-'Controls'!$B$14),0)+G9+H9</x:f>
        <x:v>0</x:v>
      </x:c>
      <x:c r="J9" s="76" t="n">
        <x:f>SUM($C$8:C9)</x:f>
        <x:v>1254105.6552</x:v>
      </x:c>
      <x:c r="K9" s="76" t="n">
        <x:f>SUM($I$8:I9)</x:f>
        <x:v>2758806.4605411123</x:v>
      </x:c>
      <x:c r="L9" s="59"/>
      <x:c r="M9" s="59"/>
      <x:c r="N9" s="59"/>
      <x:c r="O9" s="59"/>
      <x:c r="P9" s="59"/>
      <x:c r="Q9" s="59"/>
    </x:row>
    <x:row r="10" ht="23" customHeight="1">
      <x:c r="A10" s="52" t="n">
        <x:v>3</x:v>
      </x:c>
      <x:c r="B10" s="77" t="d">
        <x:v>2027-01-01T00:00:00.000Z</x:v>
      </x:c>
      <x:c r="C10" s="73" t="n">
        <x:f>SUM('Cost accrual'!F8:F39)/'Controls'!$B$9*'Controls'!$B$8</x:f>
        <x:v>1819781.8182321324</x:v>
      </x:c>
      <x:c r="D10" s="73" t="n">
        <x:f>C10*'Controls'!$B$13</x:f>
        <x:v>90989.09091160662</x:v>
      </x:c>
      <x:c r="E10" s="73" t="n">
        <x:f>C10*'Controls'!$B$12</x:f>
        <x:v>181978.18182321324</x:v>
      </x:c>
      <x:c r="F10" s="74" t="n">
        <x:f>C10-D10-E10</x:f>
        <x:v>1546814.5454973127</x:v>
      </x:c>
      <x:c r="G10" s="73" t="n">
        <x:f>IF(A10='Controls'!$B$21,'Controls'!$B$8*'Controls'!$B$13/2,0)+IF(A10='Controls'!$B$22,'Controls'!$B$8*'Controls'!$B$13/2,0)</x:f>
        <x:v>0</x:v>
      </x:c>
      <x:c r="H10" s="73" t="n">
        <x:f>IF(A10=1,'Controls'!$B$8*'Controls'!$B$12,0)</x:f>
        <x:v>0</x:v>
      </x:c>
      <x:c r="I10" s="73" t="n">
        <x:f>IF(A10&gt;'Controls'!$B$14,INDEX($F$8:$F$39,A10-'Controls'!$B$14),0)+G10+H10</x:f>
        <x:v>523435.7455919999</x:v>
      </x:c>
      <x:c r="J10" s="74" t="n">
        <x:f>SUM($C$8:C10)</x:f>
        <x:v>3073887.473432132</x:v>
      </x:c>
      <x:c r="K10" s="74" t="n">
        <x:f>SUM($I$8:I10)</x:f>
        <x:v>3282242.2061331123</x:v>
      </x:c>
      <x:c r="L10" s="59"/>
      <x:c r="M10" s="59"/>
      <x:c r="N10" s="59"/>
      <x:c r="O10" s="59"/>
      <x:c r="P10" s="59"/>
      <x:c r="Q10" s="59"/>
    </x:row>
    <x:row r="11" ht="23" customHeight="1">
      <x:c r="A11" s="54" t="n">
        <x:v>4</x:v>
      </x:c>
      <x:c r="B11" s="78" t="d">
        <x:v>2027-02-01T00:00:00.000Z</x:v>
      </x:c>
      <x:c r="C11" s="75" t="n">
        <x:f>SUM('Cost accrual'!G8:G39)/'Controls'!$B$9*'Controls'!$B$8</x:f>
        <x:v>1277884.539165124</x:v>
      </x:c>
      <x:c r="D11" s="75" t="n">
        <x:f>C11*'Controls'!$B$13</x:f>
        <x:v>63894.22695825621</x:v>
      </x:c>
      <x:c r="E11" s="75" t="n">
        <x:f>C11*'Controls'!$B$12</x:f>
        <x:v>127788.45391651242</x:v>
      </x:c>
      <x:c r="F11" s="76" t="n">
        <x:f>C11-D11-E11</x:f>
        <x:v>1086201.8582903554</x:v>
      </x:c>
      <x:c r="G11" s="75" t="n">
        <x:f>IF(A11='Controls'!$B$21,'Controls'!$B$8*'Controls'!$B$13/2,0)+IF(A11='Controls'!$B$22,'Controls'!$B$8*'Controls'!$B$13/2,0)</x:f>
        <x:v>0</x:v>
      </x:c>
      <x:c r="H11" s="75" t="n">
        <x:f>IF(A11=1,'Controls'!$B$8*'Controls'!$B$12,0)</x:f>
        <x:v>0</x:v>
      </x:c>
      <x:c r="I11" s="75" t="n">
        <x:f>IF(A11&gt;'Controls'!$B$14,INDEX($F$8:$F$39,A11-'Controls'!$B$14),0)+G11+H11</x:f>
        <x:v>542554.0613279999</x:v>
      </x:c>
      <x:c r="J11" s="76" t="n">
        <x:f>SUM($C$8:C11)</x:f>
        <x:v>4351772.012597256</x:v>
      </x:c>
      <x:c r="K11" s="76" t="n">
        <x:f>SUM($I$8:I11)</x:f>
        <x:v>3824796.2674611122</x:v>
      </x:c>
      <x:c r="L11" s="59"/>
      <x:c r="M11" s="59"/>
      <x:c r="N11" s="59"/>
      <x:c r="O11" s="59"/>
      <x:c r="P11" s="59"/>
      <x:c r="Q11" s="59"/>
    </x:row>
    <x:row r="12" ht="23" customHeight="1">
      <x:c r="A12" s="52" t="n">
        <x:v>5</x:v>
      </x:c>
      <x:c r="B12" s="77" t="d">
        <x:v>2027-03-01T00:00:00.000Z</x:v>
      </x:c>
      <x:c r="C12" s="73" t="n">
        <x:f>SUM('Cost accrual'!H8:H39)/'Controls'!$B$9*'Controls'!$B$8</x:f>
        <x:v>1540103.5233461158</x:v>
      </x:c>
      <x:c r="D12" s="73" t="n">
        <x:f>C12*'Controls'!$B$13</x:f>
        <x:v>77005.17616730579</x:v>
      </x:c>
      <x:c r="E12" s="73" t="n">
        <x:f>C12*'Controls'!$B$12</x:f>
        <x:v>154010.35233461158</x:v>
      </x:c>
      <x:c r="F12" s="74" t="n">
        <x:f>C12-D12-E12</x:f>
        <x:v>1309087.9948441985</x:v>
      </x:c>
      <x:c r="G12" s="73" t="n">
        <x:f>IF(A12='Controls'!$B$21,'Controls'!$B$8*'Controls'!$B$13/2,0)+IF(A12='Controls'!$B$22,'Controls'!$B$8*'Controls'!$B$13/2,0)</x:f>
        <x:v>0</x:v>
      </x:c>
      <x:c r="H12" s="73" t="n">
        <x:f>IF(A12=1,'Controls'!$B$8*'Controls'!$B$12,0)</x:f>
        <x:v>0</x:v>
      </x:c>
      <x:c r="I12" s="73" t="n">
        <x:f>IF(A12&gt;'Controls'!$B$14,INDEX($F$8:$F$39,A12-'Controls'!$B$14),0)+G12+H12</x:f>
        <x:v>1546814.5454973127</x:v>
      </x:c>
      <x:c r="J12" s="74" t="n">
        <x:f>SUM($C$8:C12)</x:f>
        <x:v>5891875.535943372</x:v>
      </x:c>
      <x:c r="K12" s="74" t="n">
        <x:f>SUM($I$8:I12)</x:f>
        <x:v>5371610.812958425</x:v>
      </x:c>
      <x:c r="L12" s="59"/>
      <x:c r="M12" s="59"/>
      <x:c r="N12" s="59"/>
      <x:c r="O12" s="59"/>
      <x:c r="P12" s="59"/>
      <x:c r="Q12" s="59"/>
    </x:row>
    <x:row r="13" ht="23" customHeight="1">
      <x:c r="A13" s="54" t="n">
        <x:v>6</x:v>
      </x:c>
      <x:c r="B13" s="78" t="d">
        <x:v>2027-04-01T00:00:00.000Z</x:v>
      </x:c>
      <x:c r="C13" s="75" t="n">
        <x:f>SUM('Cost accrual'!I8:I39)/'Controls'!$B$9*'Controls'!$B$8</x:f>
        <x:v>1856928.3398949923</x:v>
      </x:c>
      <x:c r="D13" s="75" t="n">
        <x:f>C13*'Controls'!$B$13</x:f>
        <x:v>92846.41699474963</x:v>
      </x:c>
      <x:c r="E13" s="75" t="n">
        <x:f>C13*'Controls'!$B$12</x:f>
        <x:v>185692.83398949925</x:v>
      </x:c>
      <x:c r="F13" s="76" t="n">
        <x:f>C13-D13-E13</x:f>
        <x:v>1578389.0889107436</x:v>
      </x:c>
      <x:c r="G13" s="75" t="n">
        <x:f>IF(A13='Controls'!$B$21,'Controls'!$B$8*'Controls'!$B$13/2,0)+IF(A13='Controls'!$B$22,'Controls'!$B$8*'Controls'!$B$13/2,0)</x:f>
        <x:v>0</x:v>
      </x:c>
      <x:c r="H13" s="75" t="n">
        <x:f>IF(A13=1,'Controls'!$B$8*'Controls'!$B$12,0)</x:f>
        <x:v>0</x:v>
      </x:c>
      <x:c r="I13" s="75" t="n">
        <x:f>IF(A13&gt;'Controls'!$B$14,INDEX($F$8:$F$39,A13-'Controls'!$B$14),0)+G13+H13</x:f>
        <x:v>1086201.8582903554</x:v>
      </x:c>
      <x:c r="J13" s="76" t="n">
        <x:f>SUM($C$8:C13)</x:f>
        <x:v>7748803.8758383645</x:v>
      </x:c>
      <x:c r="K13" s="76" t="n">
        <x:f>SUM($I$8:I13)</x:f>
        <x:v>6457812.671248781</x:v>
      </x:c>
      <x:c r="L13" s="59"/>
      <x:c r="M13" s="59"/>
      <x:c r="N13" s="59"/>
      <x:c r="O13" s="59"/>
      <x:c r="P13" s="59"/>
      <x:c r="Q13" s="59"/>
    </x:row>
    <x:row r="14" ht="23" customHeight="1">
      <x:c r="A14" s="52" t="n">
        <x:v>7</x:v>
      </x:c>
      <x:c r="B14" s="77" t="d">
        <x:v>2027-05-01T00:00:00.000Z</x:v>
      </x:c>
      <x:c r="C14" s="73" t="n">
        <x:f>SUM('Cost accrual'!J8:J39)/'Controls'!$B$9*'Controls'!$B$8</x:f>
        <x:v>1414031.83500327</x:v>
      </x:c>
      <x:c r="D14" s="73" t="n">
        <x:f>C14*'Controls'!$B$13</x:f>
        <x:v>70701.59175016351</x:v>
      </x:c>
      <x:c r="E14" s="73" t="n">
        <x:f>C14*'Controls'!$B$12</x:f>
        <x:v>141403.18350032702</x:v>
      </x:c>
      <x:c r="F14" s="74" t="n">
        <x:f>C14-D14-E14</x:f>
        <x:v>1201927.0597527795</x:v>
      </x:c>
      <x:c r="G14" s="73" t="n">
        <x:f>IF(A14='Controls'!$B$21,'Controls'!$B$8*'Controls'!$B$13/2,0)+IF(A14='Controls'!$B$22,'Controls'!$B$8*'Controls'!$B$13/2,0)</x:f>
        <x:v>0</x:v>
      </x:c>
      <x:c r="H14" s="73" t="n">
        <x:f>IF(A14=1,'Controls'!$B$8*'Controls'!$B$12,0)</x:f>
        <x:v>0</x:v>
      </x:c>
      <x:c r="I14" s="73" t="n">
        <x:f>IF(A14&gt;'Controls'!$B$14,INDEX($F$8:$F$39,A14-'Controls'!$B$14),0)+G14+H14</x:f>
        <x:v>1309087.9948441985</x:v>
      </x:c>
      <x:c r="J14" s="74" t="n">
        <x:f>SUM($C$8:C14)</x:f>
        <x:v>9162835.710841635</x:v>
      </x:c>
      <x:c r="K14" s="74" t="n">
        <x:f>SUM($I$8:I14)</x:f>
        <x:v>7766900.666092979</x:v>
      </x:c>
      <x:c r="L14" s="59"/>
      <x:c r="M14" s="59"/>
      <x:c r="N14" s="59"/>
      <x:c r="O14" s="59"/>
      <x:c r="P14" s="59"/>
      <x:c r="Q14" s="59"/>
    </x:row>
    <x:row r="15" ht="23" customHeight="1">
      <x:c r="A15" s="54" t="n">
        <x:v>8</x:v>
      </x:c>
      <x:c r="B15" s="78" t="d">
        <x:v>2027-06-01T00:00:00.000Z</x:v>
      </x:c>
      <x:c r="C15" s="75" t="n">
        <x:f>SUM('Cost accrual'!K8:K39)/'Controls'!$B$9*'Controls'!$B$8</x:f>
        <x:v>1216633.6808815475</x:v>
      </x:c>
      <x:c r="D15" s="75" t="n">
        <x:f>C15*'Controls'!$B$13</x:f>
        <x:v>60831.68404407738</x:v>
      </x:c>
      <x:c r="E15" s="75" t="n">
        <x:f>C15*'Controls'!$B$12</x:f>
        <x:v>121663.36808815476</x:v>
      </x:c>
      <x:c r="F15" s="76" t="n">
        <x:f>C15-D15-E15</x:f>
        <x:v>1034138.6287493154</x:v>
      </x:c>
      <x:c r="G15" s="75" t="n">
        <x:f>IF(A15='Controls'!$B$21,'Controls'!$B$8*'Controls'!$B$13/2,0)+IF(A15='Controls'!$B$22,'Controls'!$B$8*'Controls'!$B$13/2,0)</x:f>
        <x:v>0</x:v>
      </x:c>
      <x:c r="H15" s="75" t="n">
        <x:f>IF(A15=1,'Controls'!$B$8*'Controls'!$B$12,0)</x:f>
        <x:v>0</x:v>
      </x:c>
      <x:c r="I15" s="75" t="n">
        <x:f>IF(A15&gt;'Controls'!$B$14,INDEX($F$8:$F$39,A15-'Controls'!$B$14),0)+G15+H15</x:f>
        <x:v>1578389.0889107436</x:v>
      </x:c>
      <x:c r="J15" s="76" t="n">
        <x:f>SUM($C$8:C15)</x:f>
        <x:v>10379469.391723182</x:v>
      </x:c>
      <x:c r="K15" s="76" t="n">
        <x:f>SUM($I$8:I15)</x:f>
        <x:v>9345289.755003722</x:v>
      </x:c>
      <x:c r="L15" s="59"/>
      <x:c r="M15" s="59"/>
      <x:c r="N15" s="59"/>
      <x:c r="O15" s="59"/>
      <x:c r="P15" s="59"/>
      <x:c r="Q15" s="59"/>
    </x:row>
    <x:row r="16" ht="23" customHeight="1">
      <x:c r="A16" s="52" t="n">
        <x:v>9</x:v>
      </x:c>
      <x:c r="B16" s="77" t="d">
        <x:v>2027-07-01T00:00:00.000Z</x:v>
      </x:c>
      <x:c r="C16" s="73" t="n">
        <x:f>SUM('Cost accrual'!L8:L39)/'Controls'!$B$9*'Controls'!$B$8</x:f>
        <x:v>1211538.021391825</x:v>
      </x:c>
      <x:c r="D16" s="73" t="n">
        <x:f>C16*'Controls'!$B$13</x:f>
        <x:v>60576.90106959126</x:v>
      </x:c>
      <x:c r="E16" s="73" t="n">
        <x:f>C16*'Controls'!$B$12</x:f>
        <x:v>121153.80213918252</x:v>
      </x:c>
      <x:c r="F16" s="74" t="n">
        <x:f>C16-D16-E16</x:f>
        <x:v>1029807.3181830512</x:v>
      </x:c>
      <x:c r="G16" s="73" t="n">
        <x:f>IF(A16='Controls'!$B$21,'Controls'!$B$8*'Controls'!$B$13/2,0)+IF(A16='Controls'!$B$22,'Controls'!$B$8*'Controls'!$B$13/2,0)</x:f>
        <x:v>0</x:v>
      </x:c>
      <x:c r="H16" s="73" t="n">
        <x:f>IF(A16=1,'Controls'!$B$8*'Controls'!$B$12,0)</x:f>
        <x:v>0</x:v>
      </x:c>
      <x:c r="I16" s="73" t="n">
        <x:f>IF(A16&gt;'Controls'!$B$14,INDEX($F$8:$F$39,A16-'Controls'!$B$14),0)+G16+H16</x:f>
        <x:v>1201927.0597527795</x:v>
      </x:c>
      <x:c r="J16" s="74" t="n">
        <x:f>SUM($C$8:C16)</x:f>
        <x:v>11591007.413115008</x:v>
      </x:c>
      <x:c r="K16" s="74" t="n">
        <x:f>SUM($I$8:I16)</x:f>
        <x:v>10547216.814756501</x:v>
      </x:c>
      <x:c r="L16" s="59"/>
      <x:c r="M16" s="59"/>
      <x:c r="N16" s="59"/>
      <x:c r="O16" s="59"/>
      <x:c r="P16" s="59"/>
      <x:c r="Q16" s="59"/>
    </x:row>
    <x:row r="17" ht="23" customHeight="1">
      <x:c r="A17" s="54" t="n">
        <x:v>10</x:v>
      </x:c>
      <x:c r="B17" s="78" t="d">
        <x:v>2027-08-01T00:00:00.000Z</x:v>
      </x:c>
      <x:c r="C17" s="75" t="n">
        <x:f>SUM('Cost accrual'!M8:M39)/'Controls'!$B$9*'Controls'!$B$8</x:f>
        <x:v>1083921.3684041025</x:v>
      </x:c>
      <x:c r="D17" s="75" t="n">
        <x:f>C17*'Controls'!$B$13</x:f>
        <x:v>54196.06842020513</x:v>
      </x:c>
      <x:c r="E17" s="75" t="n">
        <x:f>C17*'Controls'!$B$12</x:f>
        <x:v>108392.13684041025</x:v>
      </x:c>
      <x:c r="F17" s="76" t="n">
        <x:f>C17-D17-E17</x:f>
        <x:v>921333.1631434871</x:v>
      </x:c>
      <x:c r="G17" s="75" t="n">
        <x:f>IF(A17='Controls'!$B$21,'Controls'!$B$8*'Controls'!$B$13/2,0)+IF(A17='Controls'!$B$22,'Controls'!$B$8*'Controls'!$B$13/2,0)</x:f>
        <x:v>0</x:v>
      </x:c>
      <x:c r="H17" s="75" t="n">
        <x:f>IF(A17=1,'Controls'!$B$8*'Controls'!$B$12,0)</x:f>
        <x:v>0</x:v>
      </x:c>
      <x:c r="I17" s="75" t="n">
        <x:f>IF(A17&gt;'Controls'!$B$14,INDEX($F$8:$F$39,A17-'Controls'!$B$14),0)+G17+H17</x:f>
        <x:v>1034138.6287493154</x:v>
      </x:c>
      <x:c r="J17" s="76" t="n">
        <x:f>SUM($C$8:C17)</x:f>
        <x:v>12674928.781519111</x:v>
      </x:c>
      <x:c r="K17" s="76" t="n">
        <x:f>SUM($I$8:I17)</x:f>
        <x:v>11581355.443505816</x:v>
      </x:c>
      <x:c r="L17" s="59"/>
      <x:c r="M17" s="59"/>
      <x:c r="N17" s="59"/>
      <x:c r="O17" s="59"/>
      <x:c r="P17" s="59"/>
      <x:c r="Q17" s="59"/>
    </x:row>
    <x:row r="18" ht="23" customHeight="1">
      <x:c r="A18" s="52" t="n">
        <x:v>11</x:v>
      </x:c>
      <x:c r="B18" s="77" t="d">
        <x:v>2027-09-01T00:00:00.000Z</x:v>
      </x:c>
      <x:c r="C18" s="73" t="n">
        <x:f>SUM('Cost accrual'!N8:N39)/'Controls'!$B$9*'Controls'!$B$8</x:f>
        <x:v>956304.7154163797</x:v>
      </x:c>
      <x:c r="D18" s="73" t="n">
        <x:f>C18*'Controls'!$B$13</x:f>
        <x:v>47815.23577081899</x:v>
      </x:c>
      <x:c r="E18" s="73" t="n">
        <x:f>C18*'Controls'!$B$12</x:f>
        <x:v>95630.47154163798</x:v>
      </x:c>
      <x:c r="F18" s="74" t="n">
        <x:f>C18-D18-E18</x:f>
        <x:v>812859.0081039227</x:v>
      </x:c>
      <x:c r="G18" s="73" t="n">
        <x:f>IF(A18='Controls'!$B$21,'Controls'!$B$8*'Controls'!$B$13/2,0)+IF(A18='Controls'!$B$22,'Controls'!$B$8*'Controls'!$B$13/2,0)</x:f>
        <x:v>0</x:v>
      </x:c>
      <x:c r="H18" s="73" t="n">
        <x:f>IF(A18=1,'Controls'!$B$8*'Controls'!$B$12,0)</x:f>
        <x:v>0</x:v>
      </x:c>
      <x:c r="I18" s="73" t="n">
        <x:f>IF(A18&gt;'Controls'!$B$14,INDEX($F$8:$F$39,A18-'Controls'!$B$14),0)+G18+H18</x:f>
        <x:v>1029807.3181830512</x:v>
      </x:c>
      <x:c r="J18" s="74" t="n">
        <x:f>SUM($C$8:C18)</x:f>
        <x:v>13631233.49693549</x:v>
      </x:c>
      <x:c r="K18" s="74" t="n">
        <x:f>SUM($I$8:I18)</x:f>
        <x:v>12611162.761688868</x:v>
      </x:c>
      <x:c r="L18" s="59"/>
      <x:c r="M18" s="59"/>
      <x:c r="N18" s="59"/>
      <x:c r="O18" s="59"/>
      <x:c r="P18" s="59"/>
      <x:c r="Q18" s="59"/>
    </x:row>
    <x:row r="19" ht="23" customHeight="1">
      <x:c r="A19" s="54" t="n">
        <x:v>12</x:v>
      </x:c>
      <x:c r="B19" s="78" t="d">
        <x:v>2027-10-01T00:00:00.000Z</x:v>
      </x:c>
      <x:c r="C19" s="75" t="n">
        <x:f>SUM('Cost accrual'!O8:O39)/'Controls'!$B$9*'Controls'!$B$8</x:f>
        <x:v>1399061.1069998576</x:v>
      </x:c>
      <x:c r="D19" s="75" t="n">
        <x:f>C19*'Controls'!$B$13</x:f>
        <x:v>69953.05534999288</x:v>
      </x:c>
      <x:c r="E19" s="75" t="n">
        <x:f>C19*'Controls'!$B$12</x:f>
        <x:v>139906.11069998576</x:v>
      </x:c>
      <x:c r="F19" s="76" t="n">
        <x:f>C19-D19-E19</x:f>
        <x:v>1189201.9409498791</x:v>
      </x:c>
      <x:c r="G19" s="75" t="n">
        <x:f>IF(A19='Controls'!$B$21,'Controls'!$B$8*'Controls'!$B$13/2,0)+IF(A19='Controls'!$B$22,'Controls'!$B$8*'Controls'!$B$13/2,0)</x:f>
        <x:v>0</x:v>
      </x:c>
      <x:c r="H19" s="75" t="n">
        <x:f>IF(A19=1,'Controls'!$B$8*'Controls'!$B$12,0)</x:f>
        <x:v>0</x:v>
      </x:c>
      <x:c r="I19" s="75" t="n">
        <x:f>IF(A19&gt;'Controls'!$B$14,INDEX($F$8:$F$39,A19-'Controls'!$B$14),0)+G19+H19</x:f>
        <x:v>921333.1631434871</x:v>
      </x:c>
      <x:c r="J19" s="76" t="n">
        <x:f>SUM($C$8:C19)</x:f>
        <x:v>15030294.603935348</x:v>
      </x:c>
      <x:c r="K19" s="76" t="n">
        <x:f>SUM($I$8:I19)</x:f>
        <x:v>13532495.924832355</x:v>
      </x:c>
      <x:c r="L19" s="59"/>
      <x:c r="M19" s="59"/>
      <x:c r="N19" s="59"/>
      <x:c r="O19" s="59"/>
      <x:c r="P19" s="59"/>
      <x:c r="Q19" s="59"/>
    </x:row>
    <x:row r="20" ht="23" customHeight="1">
      <x:c r="A20" s="52" t="n">
        <x:v>13</x:v>
      </x:c>
      <x:c r="B20" s="77" t="d">
        <x:v>2027-11-01T00:00:00.000Z</x:v>
      </x:c>
      <x:c r="C20" s="73" t="n">
        <x:f>SUM('Cost accrual'!P8:P39)/'Controls'!$B$9*'Controls'!$B$8</x:f>
        <x:v>1713701.1008460254</x:v>
      </x:c>
      <x:c r="D20" s="73" t="n">
        <x:f>C20*'Controls'!$B$13</x:f>
        <x:v>85685.05504230128</x:v>
      </x:c>
      <x:c r="E20" s="73" t="n">
        <x:f>C20*'Controls'!$B$12</x:f>
        <x:v>171370.11008460255</x:v>
      </x:c>
      <x:c r="F20" s="74" t="n">
        <x:f>C20-D20-E20</x:f>
        <x:v>1456645.9357191215</x:v>
      </x:c>
      <x:c r="G20" s="73" t="n">
        <x:f>IF(A20='Controls'!$B$21,'Controls'!$B$8*'Controls'!$B$13/2,0)+IF(A20='Controls'!$B$22,'Controls'!$B$8*'Controls'!$B$13/2,0)</x:f>
        <x:v>0</x:v>
      </x:c>
      <x:c r="H20" s="73" t="n">
        <x:f>IF(A20=1,'Controls'!$B$8*'Controls'!$B$12,0)</x:f>
        <x:v>0</x:v>
      </x:c>
      <x:c r="I20" s="73" t="n">
        <x:f>IF(A20&gt;'Controls'!$B$14,INDEX($F$8:$F$39,A20-'Controls'!$B$14),0)+G20+H20</x:f>
        <x:v>812859.0081039227</x:v>
      </x:c>
      <x:c r="J20" s="74" t="n">
        <x:f>SUM($C$8:C20)</x:f>
        <x:v>16743995.704781374</x:v>
      </x:c>
      <x:c r="K20" s="74" t="n">
        <x:f>SUM($I$8:I20)</x:f>
        <x:v>14345354.932936277</x:v>
      </x:c>
      <x:c r="L20" s="59"/>
      <x:c r="M20" s="59"/>
      <x:c r="N20" s="59"/>
      <x:c r="O20" s="59"/>
      <x:c r="P20" s="59"/>
      <x:c r="Q20" s="59"/>
    </x:row>
    <x:row r="21" ht="23" customHeight="1">
      <x:c r="A21" s="54" t="n">
        <x:v>14</x:v>
      </x:c>
      <x:c r="B21" s="78" t="d">
        <x:v>2027-12-01T00:00:00.000Z</x:v>
      </x:c>
      <x:c r="C21" s="75" t="n">
        <x:f>SUM('Cost accrual'!Q8:Q39)/'Controls'!$B$9*'Controls'!$B$8</x:f>
        <x:v>1487890.4564841944</x:v>
      </x:c>
      <x:c r="D21" s="75" t="n">
        <x:f>C21*'Controls'!$B$13</x:f>
        <x:v>74394.52282420972</x:v>
      </x:c>
      <x:c r="E21" s="75" t="n">
        <x:f>C21*'Controls'!$B$12</x:f>
        <x:v>148789.04564841944</x:v>
      </x:c>
      <x:c r="F21" s="76" t="n">
        <x:f>C21-D21-E21</x:f>
        <x:v>1264706.8880115652</x:v>
      </x:c>
      <x:c r="G21" s="75" t="n">
        <x:f>IF(A21='Controls'!$B$21,'Controls'!$B$8*'Controls'!$B$13/2,0)+IF(A21='Controls'!$B$22,'Controls'!$B$8*'Controls'!$B$13/2,0)</x:f>
        <x:v>0</x:v>
      </x:c>
      <x:c r="H21" s="75" t="n">
        <x:f>IF(A21=1,'Controls'!$B$8*'Controls'!$B$12,0)</x:f>
        <x:v>0</x:v>
      </x:c>
      <x:c r="I21" s="75" t="n">
        <x:f>IF(A21&gt;'Controls'!$B$14,INDEX($F$8:$F$39,A21-'Controls'!$B$14),0)+G21+H21</x:f>
        <x:v>1189201.9409498791</x:v>
      </x:c>
      <x:c r="J21" s="76" t="n">
        <x:f>SUM($C$8:C21)</x:f>
        <x:v>18231886.161265567</x:v>
      </x:c>
      <x:c r="K21" s="76" t="n">
        <x:f>SUM($I$8:I21)</x:f>
        <x:v>15534556.873886157</x:v>
      </x:c>
      <x:c r="L21" s="59"/>
      <x:c r="M21" s="59"/>
      <x:c r="N21" s="59"/>
      <x:c r="O21" s="59"/>
      <x:c r="P21" s="59"/>
      <x:c r="Q21" s="59"/>
    </x:row>
    <x:row r="22" ht="23" customHeight="1">
      <x:c r="A22" s="52" t="n">
        <x:v>15</x:v>
      </x:c>
      <x:c r="B22" s="77" t="d">
        <x:v>2028-01-01T00:00:00.000Z</x:v>
      </x:c>
      <x:c r="C22" s="73" t="n">
        <x:f>SUM('Cost accrual'!R8:R39)/'Controls'!$B$9*'Controls'!$B$8</x:f>
        <x:v>1719001.278682363</x:v>
      </x:c>
      <x:c r="D22" s="73" t="n">
        <x:f>C22*'Controls'!$B$13</x:f>
        <x:v>85950.06393411815</x:v>
      </x:c>
      <x:c r="E22" s="73" t="n">
        <x:f>C22*'Controls'!$B$12</x:f>
        <x:v>171900.1278682363</x:v>
      </x:c>
      <x:c r="F22" s="74" t="n">
        <x:f>C22-D22-E22</x:f>
        <x:v>1461151.0868800085</x:v>
      </x:c>
      <x:c r="G22" s="73" t="n">
        <x:f>IF(A22='Controls'!$B$21,'Controls'!$B$8*'Controls'!$B$13/2,0)+IF(A22='Controls'!$B$22,'Controls'!$B$8*'Controls'!$B$13/2,0)</x:f>
        <x:v>0</x:v>
      </x:c>
      <x:c r="H22" s="73" t="n">
        <x:f>IF(A22=1,'Controls'!$B$8*'Controls'!$B$12,0)</x:f>
        <x:v>0</x:v>
      </x:c>
      <x:c r="I22" s="73" t="n">
        <x:f>IF(A22&gt;'Controls'!$B$14,INDEX($F$8:$F$39,A22-'Controls'!$B$14),0)+G22+H22</x:f>
        <x:v>1456645.9357191215</x:v>
      </x:c>
      <x:c r="J22" s="74" t="n">
        <x:f>SUM($C$8:C22)</x:f>
        <x:v>19950887.43994793</x:v>
      </x:c>
      <x:c r="K22" s="74" t="n">
        <x:f>SUM($I$8:I22)</x:f>
        <x:v>16991202.809605278</x:v>
      </x:c>
      <x:c r="L22" s="59"/>
      <x:c r="M22" s="59"/>
      <x:c r="N22" s="59"/>
      <x:c r="O22" s="59"/>
      <x:c r="P22" s="59"/>
      <x:c r="Q22" s="59"/>
    </x:row>
    <x:row r="23" ht="23" customHeight="1">
      <x:c r="A23" s="54" t="n">
        <x:v>16</x:v>
      </x:c>
      <x:c r="B23" s="78" t="d">
        <x:v>2028-02-01T00:00:00.000Z</x:v>
      </x:c>
      <x:c r="C23" s="75" t="n">
        <x:f>SUM('Cost accrual'!S8:S39)/'Controls'!$B$9*'Controls'!$B$8</x:f>
        <x:v>1542793.6967662456</x:v>
      </x:c>
      <x:c r="D23" s="75" t="n">
        <x:f>C23*'Controls'!$B$13</x:f>
        <x:v>77139.68483831229</x:v>
      </x:c>
      <x:c r="E23" s="75" t="n">
        <x:f>C23*'Controls'!$B$12</x:f>
        <x:v>154279.36967662457</x:v>
      </x:c>
      <x:c r="F23" s="76" t="n">
        <x:f>C23-D23-E23</x:f>
        <x:v>1311374.6422513088</x:v>
      </x:c>
      <x:c r="G23" s="75" t="n">
        <x:f>IF(A23='Controls'!$B$21,'Controls'!$B$8*'Controls'!$B$13/2,0)+IF(A23='Controls'!$B$22,'Controls'!$B$8*'Controls'!$B$13/2,0)</x:f>
        <x:v>0</x:v>
      </x:c>
      <x:c r="H23" s="75" t="n">
        <x:f>IF(A23=1,'Controls'!$B$8*'Controls'!$B$12,0)</x:f>
        <x:v>0</x:v>
      </x:c>
      <x:c r="I23" s="75" t="n">
        <x:f>IF(A23&gt;'Controls'!$B$14,INDEX($F$8:$F$39,A23-'Controls'!$B$14),0)+G23+H23</x:f>
        <x:v>1264706.8880115652</x:v>
      </x:c>
      <x:c r="J23" s="76" t="n">
        <x:f>SUM($C$8:C23)</x:f>
        <x:v>21493681.136714175</x:v>
      </x:c>
      <x:c r="K23" s="76" t="n">
        <x:f>SUM($I$8:I23)</x:f>
        <x:v>18255909.69761684</x:v>
      </x:c>
      <x:c r="L23" s="59"/>
      <x:c r="M23" s="59"/>
      <x:c r="N23" s="59"/>
      <x:c r="O23" s="59"/>
      <x:c r="P23" s="59"/>
      <x:c r="Q23" s="59"/>
    </x:row>
    <x:row r="24" ht="23" customHeight="1">
      <x:c r="A24" s="52" t="n">
        <x:v>17</x:v>
      </x:c>
      <x:c r="B24" s="77" t="d">
        <x:v>2028-03-01T00:00:00.000Z</x:v>
      </x:c>
      <x:c r="C24" s="73" t="n">
        <x:f>SUM('Cost accrual'!T8:T39)/'Controls'!$B$9*'Controls'!$B$8</x:f>
        <x:v>1466109.2390421282</x:v>
      </x:c>
      <x:c r="D24" s="73" t="n">
        <x:f>C24*'Controls'!$B$13</x:f>
        <x:v>73305.46195210642</x:v>
      </x:c>
      <x:c r="E24" s="73" t="n">
        <x:f>C24*'Controls'!$B$12</x:f>
        <x:v>146610.92390421283</x:v>
      </x:c>
      <x:c r="F24" s="74" t="n">
        <x:f>C24-D24-E24</x:f>
        <x:v>1246192.853185809</x:v>
      </x:c>
      <x:c r="G24" s="73" t="n">
        <x:f>IF(A24='Controls'!$B$21,'Controls'!$B$8*'Controls'!$B$13/2,0)+IF(A24='Controls'!$B$22,'Controls'!$B$8*'Controls'!$B$13/2,0)</x:f>
        <x:v>0</x:v>
      </x:c>
      <x:c r="H24" s="73" t="n">
        <x:f>IF(A24=1,'Controls'!$B$8*'Controls'!$B$12,0)</x:f>
        <x:v>0</x:v>
      </x:c>
      <x:c r="I24" s="73" t="n">
        <x:f>IF(A24&gt;'Controls'!$B$14,INDEX($F$8:$F$39,A24-'Controls'!$B$14),0)+G24+H24</x:f>
        <x:v>1461151.0868800085</x:v>
      </x:c>
      <x:c r="J24" s="74" t="n">
        <x:f>SUM($C$8:C24)</x:f>
        <x:v>22959790.375756305</x:v>
      </x:c>
      <x:c r="K24" s="74" t="n">
        <x:f>SUM($I$8:I24)</x:f>
        <x:v>19717060.78449685</x:v>
      </x:c>
      <x:c r="L24" s="59"/>
      <x:c r="M24" s="59"/>
      <x:c r="N24" s="59"/>
      <x:c r="O24" s="59"/>
      <x:c r="P24" s="59"/>
      <x:c r="Q24" s="59"/>
    </x:row>
    <x:row r="25" ht="23" customHeight="1">
      <x:c r="A25" s="54" t="n">
        <x:v>18</x:v>
      </x:c>
      <x:c r="B25" s="78" t="d">
        <x:v>2028-04-01T00:00:00.000Z</x:v>
      </x:c>
      <x:c r="C25" s="75" t="n">
        <x:f>SUM('Cost accrual'!U8:U39)/'Controls'!$B$9*'Controls'!$B$8</x:f>
        <x:v>1327582.4582660107</x:v>
      </x:c>
      <x:c r="D25" s="75" t="n">
        <x:f>C25*'Controls'!$B$13</x:f>
        <x:v>66379.12291330054</x:v>
      </x:c>
      <x:c r="E25" s="75" t="n">
        <x:f>C25*'Controls'!$B$12</x:f>
        <x:v>132758.24582660108</x:v>
      </x:c>
      <x:c r="F25" s="76" t="n">
        <x:f>C25-D25-E25</x:f>
        <x:v>1128445.0895261092</x:v>
      </x:c>
      <x:c r="G25" s="75" t="n">
        <x:f>IF(A25='Controls'!$B$21,'Controls'!$B$8*'Controls'!$B$13/2,0)+IF(A25='Controls'!$B$22,'Controls'!$B$8*'Controls'!$B$13/2,0)</x:f>
        <x:v>0</x:v>
      </x:c>
      <x:c r="H25" s="75" t="n">
        <x:f>IF(A25=1,'Controls'!$B$8*'Controls'!$B$12,0)</x:f>
        <x:v>0</x:v>
      </x:c>
      <x:c r="I25" s="75" t="n">
        <x:f>IF(A25&gt;'Controls'!$B$14,INDEX($F$8:$F$39,A25-'Controls'!$B$14),0)+G25+H25</x:f>
        <x:v>1311374.6422513088</x:v>
      </x:c>
      <x:c r="J25" s="76" t="n">
        <x:f>SUM($C$8:C25)</x:f>
        <x:v>24287372.834022317</x:v>
      </x:c>
      <x:c r="K25" s="76" t="n">
        <x:f>SUM($I$8:I25)</x:f>
        <x:v>21028435.42674816</x:v>
      </x:c>
      <x:c r="L25" s="59"/>
      <x:c r="M25" s="59"/>
      <x:c r="N25" s="59"/>
      <x:c r="O25" s="59"/>
      <x:c r="P25" s="59"/>
      <x:c r="Q25" s="59"/>
    </x:row>
    <x:row r="26" ht="23" customHeight="1">
      <x:c r="A26" s="52" t="n">
        <x:v>19</x:v>
      </x:c>
      <x:c r="B26" s="77" t="d">
        <x:v>2028-05-01T00:00:00.000Z</x:v>
      </x:c>
      <x:c r="C26" s="73" t="n">
        <x:f>SUM('Cost accrual'!V8:V39)/'Controls'!$B$9*'Controls'!$B$8</x:f>
        <x:v>1063982.3293392935</x:v>
      </x:c>
      <x:c r="D26" s="73" t="n">
        <x:f>C26*'Controls'!$B$13</x:f>
        <x:v>53199.11646696468</x:v>
      </x:c>
      <x:c r="E26" s="73" t="n">
        <x:f>C26*'Controls'!$B$12</x:f>
        <x:v>106398.23293392936</x:v>
      </x:c>
      <x:c r="F26" s="74" t="n">
        <x:f>C26-D26-E26</x:f>
        <x:v>904384.9799383995</x:v>
      </x:c>
      <x:c r="G26" s="73" t="n">
        <x:f>IF(A26='Controls'!$B$21,'Controls'!$B$8*'Controls'!$B$13/2,0)+IF(A26='Controls'!$B$22,'Controls'!$B$8*'Controls'!$B$13/2,0)</x:f>
        <x:v>0</x:v>
      </x:c>
      <x:c r="H26" s="73" t="n">
        <x:f>IF(A26=1,'Controls'!$B$8*'Controls'!$B$12,0)</x:f>
        <x:v>0</x:v>
      </x:c>
      <x:c r="I26" s="73" t="n">
        <x:f>IF(A26&gt;'Controls'!$B$14,INDEX($F$8:$F$39,A26-'Controls'!$B$14),0)+G26+H26</x:f>
        <x:v>1246192.853185809</x:v>
      </x:c>
      <x:c r="J26" s="74" t="n">
        <x:f>SUM($C$8:C26)</x:f>
        <x:v>25351355.16336161</x:v>
      </x:c>
      <x:c r="K26" s="74" t="n">
        <x:f>SUM($I$8:I26)</x:f>
        <x:v>22274628.27993397</x:v>
      </x:c>
      <x:c r="L26" s="59"/>
      <x:c r="M26" s="59"/>
      <x:c r="N26" s="59"/>
      <x:c r="O26" s="59"/>
      <x:c r="P26" s="59"/>
      <x:c r="Q26" s="59"/>
    </x:row>
    <x:row r="27" ht="23" customHeight="1">
      <x:c r="A27" s="54" t="n">
        <x:v>20</x:v>
      </x:c>
      <x:c r="B27" s="78" t="d">
        <x:v>2028-06-01T00:00:00.000Z</x:v>
      </x:c>
      <x:c r="C27" s="75" t="n">
        <x:f>SUM('Cost accrual'!W8:W39)/'Controls'!$B$9*'Controls'!$B$8</x:f>
        <x:v>899914.1745408986</x:v>
      </x:c>
      <x:c r="D27" s="75" t="n">
        <x:f>C27*'Controls'!$B$13</x:f>
        <x:v>44995.708727044934</x:v>
      </x:c>
      <x:c r="E27" s="75" t="n">
        <x:f>C27*'Controls'!$B$12</x:f>
        <x:v>89991.41745408987</x:v>
      </x:c>
      <x:c r="F27" s="76" t="n">
        <x:f>C27-D27-E27</x:f>
        <x:v>764927.0483597638</x:v>
      </x:c>
      <x:c r="G27" s="75" t="n">
        <x:f>IF(A27='Controls'!$B$21,'Controls'!$B$8*'Controls'!$B$13/2,0)+IF(A27='Controls'!$B$22,'Controls'!$B$8*'Controls'!$B$13/2,0)</x:f>
        <x:v>0</x:v>
      </x:c>
      <x:c r="H27" s="75" t="n">
        <x:f>IF(A27=1,'Controls'!$B$8*'Controls'!$B$12,0)</x:f>
        <x:v>0</x:v>
      </x:c>
      <x:c r="I27" s="75" t="n">
        <x:f>IF(A27&gt;'Controls'!$B$14,INDEX($F$8:$F$39,A27-'Controls'!$B$14),0)+G27+H27</x:f>
        <x:v>1128445.0895261092</x:v>
      </x:c>
      <x:c r="J27" s="76" t="n">
        <x:f>SUM($C$8:C27)</x:f>
        <x:v>26251269.33790251</x:v>
      </x:c>
      <x:c r="K27" s="76" t="n">
        <x:f>SUM($I$8:I27)</x:f>
        <x:v>23403073.36946008</x:v>
      </x:c>
      <x:c r="L27" s="59"/>
      <x:c r="M27" s="59"/>
      <x:c r="N27" s="59"/>
      <x:c r="O27" s="59"/>
      <x:c r="P27" s="59"/>
      <x:c r="Q27" s="59"/>
    </x:row>
    <x:row r="28" ht="23" customHeight="1">
      <x:c r="A28" s="52" t="n">
        <x:v>21</x:v>
      </x:c>
      <x:c r="B28" s="77" t="d">
        <x:v>2028-07-01T00:00:00.000Z</x:v>
      </x:c>
      <x:c r="C28" s="73" t="n">
        <x:f>SUM('Cost accrual'!X8:X39)/'Controls'!$B$9*'Controls'!$B$8</x:f>
        <x:v>652411.6997425039</x:v>
      </x:c>
      <x:c r="D28" s="73" t="n">
        <x:f>C28*'Controls'!$B$13</x:f>
        <x:v>32620.5849871252</x:v>
      </x:c>
      <x:c r="E28" s="73" t="n">
        <x:f>C28*'Controls'!$B$12</x:f>
        <x:v>65241.1699742504</x:v>
      </x:c>
      <x:c r="F28" s="74" t="n">
        <x:f>C28-D28-E28</x:f>
        <x:v>554549.9447811283</x:v>
      </x:c>
      <x:c r="G28" s="73" t="n">
        <x:f>IF(A28='Controls'!$B$21,'Controls'!$B$8*'Controls'!$B$13/2,0)+IF(A28='Controls'!$B$22,'Controls'!$B$8*'Controls'!$B$13/2,0)</x:f>
        <x:v>0</x:v>
      </x:c>
      <x:c r="H28" s="73" t="n">
        <x:f>IF(A28=1,'Controls'!$B$8*'Controls'!$B$12,0)</x:f>
        <x:v>0</x:v>
      </x:c>
      <x:c r="I28" s="73" t="n">
        <x:f>IF(A28&gt;'Controls'!$B$14,INDEX($F$8:$F$39,A28-'Controls'!$B$14),0)+G28+H28</x:f>
        <x:v>904384.9799383995</x:v>
      </x:c>
      <x:c r="J28" s="74" t="n">
        <x:f>SUM($C$8:C28)</x:f>
        <x:v>26903681.037645012</x:v>
      </x:c>
      <x:c r="K28" s="74" t="n">
        <x:f>SUM($I$8:I28)</x:f>
        <x:v>24307458.34939848</x:v>
      </x:c>
      <x:c r="L28" s="59"/>
      <x:c r="M28" s="59"/>
      <x:c r="N28" s="59"/>
      <x:c r="O28" s="59"/>
      <x:c r="P28" s="59"/>
      <x:c r="Q28" s="59"/>
    </x:row>
    <x:row r="29" ht="23" customHeight="1">
      <x:c r="A29" s="54" t="n">
        <x:v>22</x:v>
      </x:c>
      <x:c r="B29" s="78" t="d">
        <x:v>2028-08-01T00:00:00.000Z</x:v>
      </x:c>
      <x:c r="C29" s="75" t="n">
        <x:f>SUM('Cost accrual'!Y8:Y39)/'Controls'!$B$9*'Controls'!$B$8</x:f>
        <x:v>419795.9934901091</x:v>
      </x:c>
      <x:c r="D29" s="75" t="n">
        <x:f>C29*'Controls'!$B$13</x:f>
        <x:v>20989.799674505455</x:v>
      </x:c>
      <x:c r="E29" s="75" t="n">
        <x:f>C29*'Controls'!$B$12</x:f>
        <x:v>41979.59934901091</x:v>
      </x:c>
      <x:c r="F29" s="76" t="n">
        <x:f>C29-D29-E29</x:f>
        <x:v>356826.5944665927</x:v>
      </x:c>
      <x:c r="G29" s="75" t="n">
        <x:f>IF(A29='Controls'!$B$21,'Controls'!$B$8*'Controls'!$B$13/2,0)+IF(A29='Controls'!$B$22,'Controls'!$B$8*'Controls'!$B$13/2,0)</x:f>
        <x:v>0</x:v>
      </x:c>
      <x:c r="H29" s="75" t="n">
        <x:f>IF(A29=1,'Controls'!$B$8*'Controls'!$B$12,0)</x:f>
        <x:v>0</x:v>
      </x:c>
      <x:c r="I29" s="75" t="n">
        <x:f>IF(A29&gt;'Controls'!$B$14,INDEX($F$8:$F$39,A29-'Controls'!$B$14),0)+G29+H29</x:f>
        <x:v>764927.0483597638</x:v>
      </x:c>
      <x:c r="J29" s="76" t="n">
        <x:f>SUM($C$8:C29)</x:f>
        <x:v>27323477.03113512</x:v>
      </x:c>
      <x:c r="K29" s="76" t="n">
        <x:f>SUM($I$8:I29)</x:f>
        <x:v>25072385.39775824</x:v>
      </x:c>
      <x:c r="L29" s="59"/>
      <x:c r="M29" s="59"/>
      <x:c r="N29" s="59"/>
      <x:c r="O29" s="59"/>
      <x:c r="P29" s="59"/>
      <x:c r="Q29" s="59"/>
    </x:row>
    <x:row r="30" ht="23" customHeight="1">
      <x:c r="A30" s="52" t="n">
        <x:v>23</x:v>
      </x:c>
      <x:c r="B30" s="77" t="d">
        <x:v>2028-09-01T00:00:00.000Z</x:v>
      </x:c>
      <x:c r="C30" s="73" t="n">
        <x:f>SUM('Cost accrual'!Z8:Z39)/'Controls'!$B$9*'Controls'!$B$8</x:f>
        <x:v>203908.972952</x:v>
      </x:c>
      <x:c r="D30" s="73" t="n">
        <x:f>C30*'Controls'!$B$13</x:f>
        <x:v>10195.448647600002</x:v>
      </x:c>
      <x:c r="E30" s="73" t="n">
        <x:f>C30*'Controls'!$B$12</x:f>
        <x:v>20390.897295200004</x:v>
      </x:c>
      <x:c r="F30" s="74" t="n">
        <x:f>C30-D30-E30</x:f>
        <x:v>173322.62700920002</x:v>
      </x:c>
      <x:c r="G30" s="73" t="n">
        <x:f>IF(A30='Controls'!$B$21,'Controls'!$B$8*'Controls'!$B$13/2,0)+IF(A30='Controls'!$B$22,'Controls'!$B$8*'Controls'!$B$13/2,0)</x:f>
        <x:v>0</x:v>
      </x:c>
      <x:c r="H30" s="73" t="n">
        <x:f>IF(A30=1,'Controls'!$B$8*'Controls'!$B$12,0)</x:f>
        <x:v>0</x:v>
      </x:c>
      <x:c r="I30" s="73" t="n">
        <x:f>IF(A30&gt;'Controls'!$B$14,INDEX($F$8:$F$39,A30-'Controls'!$B$14),0)+G30+H30</x:f>
        <x:v>554549.9447811283</x:v>
      </x:c>
      <x:c r="J30" s="74" t="n">
        <x:f>SUM($C$8:C30)</x:f>
        <x:v>27527386.00408712</x:v>
      </x:c>
      <x:c r="K30" s="74" t="n">
        <x:f>SUM($I$8:I30)</x:f>
        <x:v>25626935.34253937</x:v>
      </x:c>
      <x:c r="L30" s="59"/>
      <x:c r="M30" s="59"/>
      <x:c r="N30" s="59"/>
      <x:c r="O30" s="59"/>
      <x:c r="P30" s="59"/>
      <x:c r="Q30" s="59"/>
    </x:row>
    <x:row r="31" ht="23" customHeight="1">
      <x:c r="A31" s="54" t="n">
        <x:v>24</x:v>
      </x:c>
      <x:c r="B31" s="78" t="d">
        <x:v>2028-10-01T00:00:00.000Z</x:v>
      </x:c>
      <x:c r="C31" s="75" t="n">
        <x:f>SUM('Cost accrual'!AA8:AA39)/'Controls'!$B$9*'Controls'!$B$8</x:f>
        <x:v>60678.60132400001</x:v>
      </x:c>
      <x:c r="D31" s="75" t="n">
        <x:f>C31*'Controls'!$B$13</x:f>
        <x:v>3033.9300662000005</x:v>
      </x:c>
      <x:c r="E31" s="75" t="n">
        <x:f>C31*'Controls'!$B$12</x:f>
        <x:v>6067.860132400001</x:v>
      </x:c>
      <x:c r="F31" s="76" t="n">
        <x:f>C31-D31-E31</x:f>
        <x:v>51576.81112540001</x:v>
      </x:c>
      <x:c r="G31" s="75" t="n">
        <x:f>IF(A31='Controls'!$B$21,'Controls'!$B$8*'Controls'!$B$13/2,0)+IF(A31='Controls'!$B$22,'Controls'!$B$8*'Controls'!$B$13/2,0)</x:f>
        <x:v>0</x:v>
      </x:c>
      <x:c r="H31" s="75" t="n">
        <x:f>IF(A31=1,'Controls'!$B$8*'Controls'!$B$12,0)</x:f>
        <x:v>0</x:v>
      </x:c>
      <x:c r="I31" s="75" t="n">
        <x:f>IF(A31&gt;'Controls'!$B$14,INDEX($F$8:$F$39,A31-'Controls'!$B$14),0)+G31+H31</x:f>
        <x:v>356826.5944665927</x:v>
      </x:c>
      <x:c r="J31" s="76" t="n">
        <x:f>SUM($C$8:C31)</x:f>
        <x:v>27588064.60541112</x:v>
      </x:c>
      <x:c r="K31" s="76" t="n">
        <x:f>SUM($I$8:I31)</x:f>
        <x:v>25983761.937005963</x:v>
      </x:c>
      <x:c r="L31" s="59"/>
      <x:c r="M31" s="59"/>
      <x:c r="N31" s="59"/>
      <x:c r="O31" s="59"/>
      <x:c r="P31" s="59"/>
      <x:c r="Q31" s="59"/>
    </x:row>
    <x:row r="32" ht="23" customHeight="1">
      <x:c r="A32" s="52" t="n">
        <x:v>25</x:v>
      </x:c>
      <x:c r="B32" s="77" t="d">
        <x:v>2028-11-01T00:00:00.000Z</x:v>
      </x:c>
      <x:c r="C32" s="73" t="n">
        <x:f>SUM('Cost accrual'!AB8:AB39)/'Controls'!$B$9*'Controls'!$B$8</x:f>
        <x:v>0</x:v>
      </x:c>
      <x:c r="D32" s="73" t="n">
        <x:f>C32*'Controls'!$B$13</x:f>
        <x:v>0</x:v>
      </x:c>
      <x:c r="E32" s="73" t="n">
        <x:f>C32*'Controls'!$B$12</x:f>
        <x:v>0</x:v>
      </x:c>
      <x:c r="F32" s="74" t="n">
        <x:f>C32-D32-E32</x:f>
        <x:v>0</x:v>
      </x:c>
      <x:c r="G32" s="73" t="n">
        <x:f>IF(A32='Controls'!$B$21,'Controls'!$B$8*'Controls'!$B$13/2,0)+IF(A32='Controls'!$B$22,'Controls'!$B$8*'Controls'!$B$13/2,0)</x:f>
        <x:v>689701.6151352781</x:v>
      </x:c>
      <x:c r="H32" s="73" t="n">
        <x:f>IF(A32=1,'Controls'!$B$8*'Controls'!$B$12,0)</x:f>
        <x:v>0</x:v>
      </x:c>
      <x:c r="I32" s="73" t="n">
        <x:f>IF(A32&gt;'Controls'!$B$14,INDEX($F$8:$F$39,A32-'Controls'!$B$14),0)+G32+H32</x:f>
        <x:v>863024.2421444781</x:v>
      </x:c>
      <x:c r="J32" s="74" t="n">
        <x:f>SUM($C$8:C32)</x:f>
        <x:v>27588064.60541112</x:v>
      </x:c>
      <x:c r="K32" s="74" t="n">
        <x:f>SUM($I$8:I32)</x:f>
        <x:v>26846786.17915044</x:v>
      </x:c>
      <x:c r="L32" s="59"/>
      <x:c r="M32" s="59"/>
      <x:c r="N32" s="59"/>
      <x:c r="O32" s="59"/>
      <x:c r="P32" s="59"/>
      <x:c r="Q32" s="59"/>
    </x:row>
    <x:row r="33" ht="23" customHeight="1">
      <x:c r="A33" s="54" t="n">
        <x:v>26</x:v>
      </x:c>
      <x:c r="B33" s="78" t="d">
        <x:v>2028-12-01T00:00:00.000Z</x:v>
      </x:c>
      <x:c r="C33" s="75" t="n">
        <x:f>SUM('Cost accrual'!AC8:AC39)/'Controls'!$B$9*'Controls'!$B$8</x:f>
        <x:v>0</x:v>
      </x:c>
      <x:c r="D33" s="75" t="n">
        <x:f>C33*'Controls'!$B$13</x:f>
        <x:v>0</x:v>
      </x:c>
      <x:c r="E33" s="75" t="n">
        <x:f>C33*'Controls'!$B$12</x:f>
        <x:v>0</x:v>
      </x:c>
      <x:c r="F33" s="76" t="n">
        <x:f>C33-D33-E33</x:f>
        <x:v>0</x:v>
      </x:c>
      <x:c r="G33" s="75" t="n">
        <x:f>IF(A33='Controls'!$B$21,'Controls'!$B$8*'Controls'!$B$13/2,0)+IF(A33='Controls'!$B$22,'Controls'!$B$8*'Controls'!$B$13/2,0)</x:f>
        <x:v>0</x:v>
      </x:c>
      <x:c r="H33" s="75" t="n">
        <x:f>IF(A33=1,'Controls'!$B$8*'Controls'!$B$12,0)</x:f>
        <x:v>0</x:v>
      </x:c>
      <x:c r="I33" s="75" t="n">
        <x:f>IF(A33&gt;'Controls'!$B$14,INDEX($F$8:$F$39,A33-'Controls'!$B$14),0)+G33+H33</x:f>
        <x:v>51576.81112540001</x:v>
      </x:c>
      <x:c r="J33" s="76" t="n">
        <x:f>SUM($C$8:C33)</x:f>
        <x:v>27588064.60541112</x:v>
      </x:c>
      <x:c r="K33" s="76" t="n">
        <x:f>SUM($I$8:I33)</x:f>
        <x:v>26898362.99027584</x:v>
      </x:c>
      <x:c r="L33" s="59"/>
      <x:c r="M33" s="59"/>
      <x:c r="N33" s="59"/>
      <x:c r="O33" s="59"/>
      <x:c r="P33" s="59"/>
      <x:c r="Q33" s="59"/>
    </x:row>
    <x:row r="34" ht="23" customHeight="1">
      <x:c r="A34" s="52" t="n">
        <x:v>27</x:v>
      </x:c>
      <x:c r="B34" s="77" t="d">
        <x:v>2029-01-01T00:00:00.000Z</x:v>
      </x:c>
      <x:c r="C34" s="73" t="n">
        <x:f>SUM('Cost accrual'!AD8:AD39)/'Controls'!$B$9*'Controls'!$B$8</x:f>
        <x:v>0</x:v>
      </x:c>
      <x:c r="D34" s="73" t="n">
        <x:f>C34*'Controls'!$B$13</x:f>
        <x:v>0</x:v>
      </x:c>
      <x:c r="E34" s="73" t="n">
        <x:f>C34*'Controls'!$B$12</x:f>
        <x:v>0</x:v>
      </x:c>
      <x:c r="F34" s="74" t="n">
        <x:f>C34-D34-E34</x:f>
        <x:v>0</x:v>
      </x:c>
      <x:c r="G34" s="73" t="n">
        <x:f>IF(A34='Controls'!$B$21,'Controls'!$B$8*'Controls'!$B$13/2,0)+IF(A34='Controls'!$B$22,'Controls'!$B$8*'Controls'!$B$13/2,0)</x:f>
        <x:v>0</x:v>
      </x:c>
      <x:c r="H34" s="73" t="n">
        <x:f>IF(A34=1,'Controls'!$B$8*'Controls'!$B$12,0)</x:f>
        <x:v>0</x:v>
      </x:c>
      <x:c r="I34" s="73" t="n">
        <x:f>IF(A34&gt;'Controls'!$B$14,INDEX($F$8:$F$39,A34-'Controls'!$B$14),0)+G34+H34</x:f>
        <x:v>0</x:v>
      </x:c>
      <x:c r="J34" s="74" t="n">
        <x:f>SUM($C$8:C34)</x:f>
        <x:v>27588064.60541112</x:v>
      </x:c>
      <x:c r="K34" s="74" t="n">
        <x:f>SUM($I$8:I34)</x:f>
        <x:v>26898362.99027584</x:v>
      </x:c>
      <x:c r="L34" s="59"/>
      <x:c r="M34" s="59"/>
      <x:c r="N34" s="59"/>
      <x:c r="O34" s="59"/>
      <x:c r="P34" s="59"/>
      <x:c r="Q34" s="59"/>
    </x:row>
    <x:row r="35" ht="23" customHeight="1">
      <x:c r="A35" s="54" t="n">
        <x:v>28</x:v>
      </x:c>
      <x:c r="B35" s="78" t="d">
        <x:v>2029-02-01T00:00:00.000Z</x:v>
      </x:c>
      <x:c r="C35" s="75" t="n">
        <x:f>SUM('Cost accrual'!AE8:AE39)/'Controls'!$B$9*'Controls'!$B$8</x:f>
        <x:v>0</x:v>
      </x:c>
      <x:c r="D35" s="75" t="n">
        <x:f>C35*'Controls'!$B$13</x:f>
        <x:v>0</x:v>
      </x:c>
      <x:c r="E35" s="75" t="n">
        <x:f>C35*'Controls'!$B$12</x:f>
        <x:v>0</x:v>
      </x:c>
      <x:c r="F35" s="76" t="n">
        <x:f>C35-D35-E35</x:f>
        <x:v>0</x:v>
      </x:c>
      <x:c r="G35" s="75" t="n">
        <x:f>IF(A35='Controls'!$B$21,'Controls'!$B$8*'Controls'!$B$13/2,0)+IF(A35='Controls'!$B$22,'Controls'!$B$8*'Controls'!$B$13/2,0)</x:f>
        <x:v>0</x:v>
      </x:c>
      <x:c r="H35" s="75" t="n">
        <x:f>IF(A35=1,'Controls'!$B$8*'Controls'!$B$12,0)</x:f>
        <x:v>0</x:v>
      </x:c>
      <x:c r="I35" s="75" t="n">
        <x:f>IF(A35&gt;'Controls'!$B$14,INDEX($F$8:$F$39,A35-'Controls'!$B$14),0)+G35+H35</x:f>
        <x:v>0</x:v>
      </x:c>
      <x:c r="J35" s="76" t="n">
        <x:f>SUM($C$8:C35)</x:f>
        <x:v>27588064.60541112</x:v>
      </x:c>
      <x:c r="K35" s="76" t="n">
        <x:f>SUM($I$8:I35)</x:f>
        <x:v>26898362.99027584</x:v>
      </x:c>
      <x:c r="L35" s="59"/>
      <x:c r="M35" s="59"/>
      <x:c r="N35" s="59"/>
      <x:c r="O35" s="59"/>
      <x:c r="P35" s="59"/>
      <x:c r="Q35" s="59"/>
    </x:row>
    <x:row r="36" ht="23" customHeight="1">
      <x:c r="A36" s="52" t="n">
        <x:v>29</x:v>
      </x:c>
      <x:c r="B36" s="77" t="d">
        <x:v>2029-03-01T00:00:00.000Z</x:v>
      </x:c>
      <x:c r="C36" s="73" t="n">
        <x:f>SUM('Cost accrual'!AF8:AF39)/'Controls'!$B$9*'Controls'!$B$8</x:f>
        <x:v>0</x:v>
      </x:c>
      <x:c r="D36" s="73" t="n">
        <x:f>C36*'Controls'!$B$13</x:f>
        <x:v>0</x:v>
      </x:c>
      <x:c r="E36" s="73" t="n">
        <x:f>C36*'Controls'!$B$12</x:f>
        <x:v>0</x:v>
      </x:c>
      <x:c r="F36" s="74" t="n">
        <x:f>C36-D36-E36</x:f>
        <x:v>0</x:v>
      </x:c>
      <x:c r="G36" s="73" t="n">
        <x:f>IF(A36='Controls'!$B$21,'Controls'!$B$8*'Controls'!$B$13/2,0)+IF(A36='Controls'!$B$22,'Controls'!$B$8*'Controls'!$B$13/2,0)</x:f>
        <x:v>0</x:v>
      </x:c>
      <x:c r="H36" s="73" t="n">
        <x:f>IF(A36=1,'Controls'!$B$8*'Controls'!$B$12,0)</x:f>
        <x:v>0</x:v>
      </x:c>
      <x:c r="I36" s="73" t="n">
        <x:f>IF(A36&gt;'Controls'!$B$14,INDEX($F$8:$F$39,A36-'Controls'!$B$14),0)+G36+H36</x:f>
        <x:v>0</x:v>
      </x:c>
      <x:c r="J36" s="74" t="n">
        <x:f>SUM($C$8:C36)</x:f>
        <x:v>27588064.60541112</x:v>
      </x:c>
      <x:c r="K36" s="74" t="n">
        <x:f>SUM($I$8:I36)</x:f>
        <x:v>26898362.99027584</x:v>
      </x:c>
      <x:c r="L36" s="59"/>
      <x:c r="M36" s="59"/>
      <x:c r="N36" s="59"/>
      <x:c r="O36" s="59"/>
      <x:c r="P36" s="59"/>
      <x:c r="Q36" s="59"/>
    </x:row>
    <x:row r="37" ht="23" customHeight="1">
      <x:c r="A37" s="54" t="n">
        <x:v>30</x:v>
      </x:c>
      <x:c r="B37" s="78" t="d">
        <x:v>2029-04-01T00:00:00.000Z</x:v>
      </x:c>
      <x:c r="C37" s="75" t="n">
        <x:f>SUM('Cost accrual'!AG8:AG39)/'Controls'!$B$9*'Controls'!$B$8</x:f>
        <x:v>0</x:v>
      </x:c>
      <x:c r="D37" s="75" t="n">
        <x:f>C37*'Controls'!$B$13</x:f>
        <x:v>0</x:v>
      </x:c>
      <x:c r="E37" s="75" t="n">
        <x:f>C37*'Controls'!$B$12</x:f>
        <x:v>0</x:v>
      </x:c>
      <x:c r="F37" s="76" t="n">
        <x:f>C37-D37-E37</x:f>
        <x:v>0</x:v>
      </x:c>
      <x:c r="G37" s="75" t="n">
        <x:f>IF(A37='Controls'!$B$21,'Controls'!$B$8*'Controls'!$B$13/2,0)+IF(A37='Controls'!$B$22,'Controls'!$B$8*'Controls'!$B$13/2,0)</x:f>
        <x:v>0</x:v>
      </x:c>
      <x:c r="H37" s="75" t="n">
        <x:f>IF(A37=1,'Controls'!$B$8*'Controls'!$B$12,0)</x:f>
        <x:v>0</x:v>
      </x:c>
      <x:c r="I37" s="75" t="n">
        <x:f>IF(A37&gt;'Controls'!$B$14,INDEX($F$8:$F$39,A37-'Controls'!$B$14),0)+G37+H37</x:f>
        <x:v>0</x:v>
      </x:c>
      <x:c r="J37" s="76" t="n">
        <x:f>SUM($C$8:C37)</x:f>
        <x:v>27588064.60541112</x:v>
      </x:c>
      <x:c r="K37" s="76" t="n">
        <x:f>SUM($I$8:I37)</x:f>
        <x:v>26898362.99027584</x:v>
      </x:c>
      <x:c r="L37" s="59"/>
      <x:c r="M37" s="59"/>
      <x:c r="N37" s="59"/>
      <x:c r="O37" s="59"/>
      <x:c r="P37" s="59"/>
      <x:c r="Q37" s="59"/>
    </x:row>
    <x:row r="38" ht="23" customHeight="1">
      <x:c r="A38" s="52" t="n">
        <x:v>31</x:v>
      </x:c>
      <x:c r="B38" s="77" t="d">
        <x:v>2029-05-01T00:00:00.000Z</x:v>
      </x:c>
      <x:c r="C38" s="73" t="n">
        <x:f>SUM('Cost accrual'!AH8:AH39)/'Controls'!$B$9*'Controls'!$B$8</x:f>
        <x:v>0</x:v>
      </x:c>
      <x:c r="D38" s="73" t="n">
        <x:f>C38*'Controls'!$B$13</x:f>
        <x:v>0</x:v>
      </x:c>
      <x:c r="E38" s="73" t="n">
        <x:f>C38*'Controls'!$B$12</x:f>
        <x:v>0</x:v>
      </x:c>
      <x:c r="F38" s="74" t="n">
        <x:f>C38-D38-E38</x:f>
        <x:v>0</x:v>
      </x:c>
      <x:c r="G38" s="73" t="n">
        <x:f>IF(A38='Controls'!$B$21,'Controls'!$B$8*'Controls'!$B$13/2,0)+IF(A38='Controls'!$B$22,'Controls'!$B$8*'Controls'!$B$13/2,0)</x:f>
        <x:v>0</x:v>
      </x:c>
      <x:c r="H38" s="73" t="n">
        <x:f>IF(A38=1,'Controls'!$B$8*'Controls'!$B$12,0)</x:f>
        <x:v>0</x:v>
      </x:c>
      <x:c r="I38" s="73" t="n">
        <x:f>IF(A38&gt;'Controls'!$B$14,INDEX($F$8:$F$39,A38-'Controls'!$B$14),0)+G38+H38</x:f>
        <x:v>0</x:v>
      </x:c>
      <x:c r="J38" s="74" t="n">
        <x:f>SUM($C$8:C38)</x:f>
        <x:v>27588064.60541112</x:v>
      </x:c>
      <x:c r="K38" s="74" t="n">
        <x:f>SUM($I$8:I38)</x:f>
        <x:v>26898362.99027584</x:v>
      </x:c>
      <x:c r="L38" s="59"/>
      <x:c r="M38" s="59"/>
      <x:c r="N38" s="59"/>
      <x:c r="O38" s="59"/>
      <x:c r="P38" s="59"/>
      <x:c r="Q38" s="59"/>
    </x:row>
    <x:row r="39" ht="23" customHeight="1">
      <x:c r="A39" s="54" t="n">
        <x:v>32</x:v>
      </x:c>
      <x:c r="B39" s="78" t="d">
        <x:v>2029-06-01T00:00:00.000Z</x:v>
      </x:c>
      <x:c r="C39" s="75" t="n">
        <x:f>SUM('Cost accrual'!AI8:AI39)/'Controls'!$B$9*'Controls'!$B$8</x:f>
        <x:v>0</x:v>
      </x:c>
      <x:c r="D39" s="75" t="n">
        <x:f>C39*'Controls'!$B$13</x:f>
        <x:v>0</x:v>
      </x:c>
      <x:c r="E39" s="75" t="n">
        <x:f>C39*'Controls'!$B$12</x:f>
        <x:v>0</x:v>
      </x:c>
      <x:c r="F39" s="76" t="n">
        <x:f>C39-D39-E39</x:f>
        <x:v>0</x:v>
      </x:c>
      <x:c r="G39" s="75" t="n">
        <x:f>IF(A39='Controls'!$B$21,'Controls'!$B$8*'Controls'!$B$13/2,0)+IF(A39='Controls'!$B$22,'Controls'!$B$8*'Controls'!$B$13/2,0)</x:f>
        <x:v>689701.6151352781</x:v>
      </x:c>
      <x:c r="H39" s="75" t="n">
        <x:f>IF(A39=1,'Controls'!$B$8*'Controls'!$B$12,0)</x:f>
        <x:v>0</x:v>
      </x:c>
      <x:c r="I39" s="75" t="n">
        <x:f>IF(A39&gt;'Controls'!$B$14,INDEX($F$8:$F$39,A39-'Controls'!$B$14),0)+G39+H39</x:f>
        <x:v>689701.6151352781</x:v>
      </x:c>
      <x:c r="J39" s="76" t="n">
        <x:f>SUM($C$8:C39)</x:f>
        <x:v>27588064.60541112</x:v>
      </x:c>
      <x:c r="K39" s="76" t="n">
        <x:f>SUM($I$8:I39)</x:f>
        <x:v>27588064.60541112</x:v>
      </x:c>
      <x:c r="L39" s="59"/>
      <x:c r="M39" s="59"/>
      <x:c r="N39" s="59"/>
      <x:c r="O39" s="59"/>
      <x:c r="P39" s="59"/>
      <x:c r="Q39" s="5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2">
      <x:c r="A2" s="48" t="str">
        <x:v>Monthly cost payments and operating cash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  <x:c r="P3" s="59"/>
      <x:c r="Q3" s="59"/>
    </x:row>
    <x:row r="4">
      <x:c r="A4" s="50" t="str">
        <x:v>Materials paid after contractual lag. Labor, plant and preliminaries paid in-month.</x:v>
      </x:c>
      <x:c r="B4" s="50"/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 s="50"/>
      <x:c r="P4" s="50"/>
      <x:c r="Q4" s="50"/>
    </x:row>
    <x:row r="5">
      <x:c r="A5" s="60"/>
      <x:c r="B5" s="60"/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  <x:c r="O6" s="59"/>
      <x:c r="P6" s="59"/>
      <x:c r="Q6" s="59"/>
    </x:row>
    <x:row r="7" ht="34" customHeight="1">
      <x:c r="A7" s="6" t="str">
        <x:v>Month</x:v>
      </x:c>
      <x:c r="B7" s="6" t="str">
        <x:v>Period</x:v>
      </x:c>
      <x:c r="C7" s="6" t="str">
        <x:v>Direct accrued</x:v>
      </x:c>
      <x:c r="D7" s="6" t="str">
        <x:v>Prelim accrued</x:v>
      </x:c>
      <x:c r="E7" s="6" t="str">
        <x:v>Allowance accrued</x:v>
      </x:c>
      <x:c r="F7" s="6" t="str">
        <x:v>Total accrued</x:v>
      </x:c>
      <x:c r="G7" s="6" t="str">
        <x:v>Labor/plant paid</x:v>
      </x:c>
      <x:c r="H7" s="6" t="str">
        <x:v>Materials paid</x:v>
      </x:c>
      <x:c r="I7" s="6" t="str">
        <x:v>Total paid</x:v>
      </x:c>
      <x:c r="J7" s="6" t="str">
        <x:v>Owner receipts</x:v>
      </x:c>
      <x:c r="K7" s="6" t="str">
        <x:v>Net operating cash</x:v>
      </x:c>
      <x:c r="L7" s="6" t="str">
        <x:v>Cum op cash</x:v>
      </x:c>
      <x:c r="M7" s="6" t="str">
        <x:v>Cum paid</x:v>
      </x:c>
      <x:c r="N7" s="59"/>
      <x:c r="O7" s="59"/>
      <x:c r="P7" s="59"/>
      <x:c r="Q7" s="59"/>
    </x:row>
    <x:row r="8" ht="23" customHeight="1">
      <x:c r="A8" s="52" t="n">
        <x:v>1</x:v>
      </x:c>
      <x:c r="B8" s="77" t="d">
        <x:v>2026-11-01T00:00:00.000Z</x:v>
      </x:c>
      <x:c r="C8" s="73" t="n">
        <x:f>SUM('Cost accrual'!D8:D39)</x:f>
        <x:v>504842.4</x:v>
      </x:c>
      <x:c r="D8" s="73" t="n">
        <x:f>IF(A8&lt;='Controls'!$B$23,'Controls'!$B$9*'Controls'!$B$10/'Controls'!$B$23,0)</x:f>
        <x:v>75389.58464614724</x:v>
      </x:c>
      <x:c r="E8" s="73" t="n">
        <x:f>C8*'Controls'!$B$11</x:f>
        <x:v>30290.544</x:v>
      </x:c>
      <x:c r="F8" s="74" t="n">
        <x:f>SUM(C8:E8)</x:f>
        <x:v>610522.5286461472</x:v>
      </x:c>
      <x:c r="G8" s="73" t="n">
        <x:f>(C8+E8)*'Controls'!$B$16+D8</x:f>
        <x:v>262686.11504614726</x:v>
      </x:c>
      <x:c r="H8" s="73" t="n">
        <x:f>IF(A8&gt;'Controls'!$B$15,(INDEX($C$8:$C$39,A8-'Controls'!$B$15)+INDEX($E$8:$E$39,A8-'Controls'!$B$15))*'Controls'!$B$17,0)</x:f>
        <x:v>0</x:v>
      </x:c>
      <x:c r="I8" s="74" t="n">
        <x:f>G8+H8</x:f>
        <x:v>262686.11504614726</x:v>
      </x:c>
      <x:c r="J8" s="73" t="n">
        <x:f>'Valuations'!I8</x:f>
        <x:v>2758806.4605411123</x:v>
      </x:c>
      <x:c r="K8" s="74" t="n">
        <x:f>J8-I8</x:f>
        <x:v>2496120.345494965</x:v>
      </x:c>
      <x:c r="L8" s="74" t="n">
        <x:f>SUM($K$8:K8)</x:f>
        <x:v>2496120.345494965</x:v>
      </x:c>
      <x:c r="M8" s="74" t="n">
        <x:f>SUM($I$8:I8)</x:f>
        <x:v>262686.11504614726</x:v>
      </x:c>
      <x:c r="N8" s="59"/>
      <x:c r="O8" s="59"/>
      <x:c r="P8" s="59"/>
      <x:c r="Q8" s="59"/>
    </x:row>
    <x:row r="9" ht="23" customHeight="1">
      <x:c r="A9" s="54" t="n">
        <x:v>2</x:v>
      </x:c>
      <x:c r="B9" s="78" t="d">
        <x:v>2026-12-01T00:00:00.000Z</x:v>
      </x:c>
      <x:c r="C9" s="75" t="n">
        <x:f>SUM('Cost accrual'!E8:E39)</x:f>
        <x:v>523281.6</x:v>
      </x:c>
      <x:c r="D9" s="75" t="n">
        <x:f>IF(A9&lt;='Controls'!$B$23,'Controls'!$B$9*'Controls'!$B$10/'Controls'!$B$23,0)</x:f>
        <x:v>75389.58464614724</x:v>
      </x:c>
      <x:c r="E9" s="75" t="n">
        <x:f>C9*'Controls'!$B$11</x:f>
        <x:v>31396.895999999997</x:v>
      </x:c>
      <x:c r="F9" s="76" t="n">
        <x:f>SUM(C9:E9)</x:f>
        <x:v>630068.0806461471</x:v>
      </x:c>
      <x:c r="G9" s="75" t="n">
        <x:f>(C9+E9)*'Controls'!$B$16+D9</x:f>
        <x:v>269527.05824614724</x:v>
      </x:c>
      <x:c r="H9" s="75" t="n">
        <x:f>IF(A9&gt;'Controls'!$B$15,(INDEX($C$8:$C$39,A9-'Controls'!$B$15)+INDEX($E$8:$E$39,A9-'Controls'!$B$15))*'Controls'!$B$17,0)</x:f>
        <x:v>347836.4136</x:v>
      </x:c>
      <x:c r="I9" s="76" t="n">
        <x:f>G9+H9</x:f>
        <x:v>617363.4718461472</x:v>
      </x:c>
      <x:c r="J9" s="75" t="n">
        <x:f>'Valuations'!I9</x:f>
        <x:v>0</x:v>
      </x:c>
      <x:c r="K9" s="76" t="n">
        <x:f>J9-I9</x:f>
        <x:v>-617363.4718461472</x:v>
      </x:c>
      <x:c r="L9" s="76" t="n">
        <x:f>SUM($K$8:K9)</x:f>
        <x:v>1878756.873648818</x:v>
      </x:c>
      <x:c r="M9" s="76" t="n">
        <x:f>SUM($I$8:I9)</x:f>
        <x:v>880049.5868922945</x:v>
      </x:c>
      <x:c r="N9" s="59"/>
      <x:c r="O9" s="59"/>
      <x:c r="P9" s="59"/>
      <x:c r="Q9" s="59"/>
    </x:row>
    <x:row r="10" ht="23" customHeight="1">
      <x:c r="A10" s="52" t="n">
        <x:v>3</x:v>
      </x:c>
      <x:c r="B10" s="77" t="d">
        <x:v>2027-01-01T00:00:00.000Z</x:v>
      </x:c>
      <x:c r="C10" s="73" t="n">
        <x:f>SUM('Cost accrual'!F8:F39)</x:f>
        <x:v>1491869.0098640206</x:v>
      </x:c>
      <x:c r="D10" s="73" t="n">
        <x:f>IF(A10&lt;='Controls'!$B$23,'Controls'!$B$9*'Controls'!$B$10/'Controls'!$B$23,0)</x:f>
        <x:v>75389.58464614724</x:v>
      </x:c>
      <x:c r="E10" s="73" t="n">
        <x:f>C10*'Controls'!$B$11</x:f>
        <x:v>89512.14059184123</x:v>
      </x:c>
      <x:c r="F10" s="74" t="n">
        <x:f>SUM(C10:E10)</x:f>
        <x:v>1656770.735102009</x:v>
      </x:c>
      <x:c r="G10" s="73" t="n">
        <x:f>(C10+E10)*'Controls'!$B$16+D10</x:f>
        <x:v>628872.9873056988</x:v>
      </x:c>
      <x:c r="H10" s="73" t="n">
        <x:f>IF(A10&gt;'Controls'!$B$15,(INDEX($C$8:$C$39,A10-'Controls'!$B$15)+INDEX($E$8:$E$39,A10-'Controls'!$B$15))*'Controls'!$B$17,0)</x:f>
        <x:v>360541.02239999996</x:v>
      </x:c>
      <x:c r="I10" s="74" t="n">
        <x:f>G10+H10</x:f>
        <x:v>989414.0097056988</x:v>
      </x:c>
      <x:c r="J10" s="73" t="n">
        <x:f>'Valuations'!I10</x:f>
        <x:v>523435.7455919999</x:v>
      </x:c>
      <x:c r="K10" s="74" t="n">
        <x:f>J10-I10</x:f>
        <x:v>-465978.2641136989</x:v>
      </x:c>
      <x:c r="L10" s="74" t="n">
        <x:f>SUM($K$8:K10)</x:f>
        <x:v>1412778.609535119</x:v>
      </x:c>
      <x:c r="M10" s="74" t="n">
        <x:f>SUM($I$8:I10)</x:f>
        <x:v>1869463.5965979933</x:v>
      </x:c>
      <x:c r="N10" s="59"/>
      <x:c r="O10" s="59"/>
      <x:c r="P10" s="59"/>
      <x:c r="Q10" s="59"/>
    </x:row>
    <x:row r="11" ht="23" customHeight="1">
      <x:c r="A11" s="54" t="n">
        <x:v>4</x:v>
      </x:c>
      <x:c r="B11" s="78" t="d">
        <x:v>2027-02-01T00:00:00.000Z</x:v>
      </x:c>
      <x:c r="C11" s="75" t="n">
        <x:f>SUM('Cost accrual'!G8:G39)</x:f>
        <x:v>1047618.0842475194</x:v>
      </x:c>
      <x:c r="D11" s="75" t="n">
        <x:f>IF(A11&lt;='Controls'!$B$23,'Controls'!$B$9*'Controls'!$B$10/'Controls'!$B$23,0)</x:f>
        <x:v>75389.58464614724</x:v>
      </x:c>
      <x:c r="E11" s="75" t="n">
        <x:f>C11*'Controls'!$B$11</x:f>
        <x:v>62857.08505485116</x:v>
      </x:c>
      <x:c r="F11" s="76" t="n">
        <x:f>SUM(C11:E11)</x:f>
        <x:v>1185864.7539485178</x:v>
      </x:c>
      <x:c r="G11" s="75" t="n">
        <x:f>(C11+E11)*'Controls'!$B$16+D11</x:f>
        <x:v>464055.893901977</x:v>
      </x:c>
      <x:c r="H11" s="75" t="n">
        <x:f>IF(A11&gt;'Controls'!$B$15,(INDEX($C$8:$C$39,A11-'Controls'!$B$15)+INDEX($E$8:$E$39,A11-'Controls'!$B$15))*'Controls'!$B$17,0)</x:f>
        <x:v>1027897.7477963102</x:v>
      </x:c>
      <x:c r="I11" s="76" t="n">
        <x:f>G11+H11</x:f>
        <x:v>1491953.6416982873</x:v>
      </x:c>
      <x:c r="J11" s="75" t="n">
        <x:f>'Valuations'!I11</x:f>
        <x:v>542554.0613279999</x:v>
      </x:c>
      <x:c r="K11" s="76" t="n">
        <x:f>J11-I11</x:f>
        <x:v>-949399.5803702874</x:v>
      </x:c>
      <x:c r="L11" s="76" t="n">
        <x:f>SUM($K$8:K11)</x:f>
        <x:v>463379.0291648316</x:v>
      </x:c>
      <x:c r="M11" s="76" t="n">
        <x:f>SUM($I$8:I11)</x:f>
        <x:v>3361417.2382962806</x:v>
      </x:c>
      <x:c r="N11" s="59"/>
      <x:c r="O11" s="59"/>
      <x:c r="P11" s="59"/>
      <x:c r="Q11" s="59"/>
    </x:row>
    <x:row r="12" ht="23" customHeight="1">
      <x:c r="A12" s="52" t="n">
        <x:v>5</x:v>
      </x:c>
      <x:c r="B12" s="77" t="d">
        <x:v>2027-03-01T00:00:00.000Z</x:v>
      </x:c>
      <x:c r="C12" s="73" t="n">
        <x:f>SUM('Cost accrual'!H8:H39)</x:f>
        <x:v>1262586.9186310181</x:v>
      </x:c>
      <x:c r="D12" s="73" t="n">
        <x:f>IF(A12&lt;='Controls'!$B$23,'Controls'!$B$9*'Controls'!$B$10/'Controls'!$B$23,0)</x:f>
        <x:v>75389.58464614724</x:v>
      </x:c>
      <x:c r="E12" s="73" t="n">
        <x:f>C12*'Controls'!$B$11</x:f>
        <x:v>75755.21511786108</x:v>
      </x:c>
      <x:c r="F12" s="74" t="n">
        <x:f>SUM(C12:E12)</x:f>
        <x:v>1413731.7183950264</x:v>
      </x:c>
      <x:c r="G12" s="73" t="n">
        <x:f>(C12+E12)*'Controls'!$B$16+D12</x:f>
        <x:v>543809.331458255</x:v>
      </x:c>
      <x:c r="H12" s="73" t="n">
        <x:f>IF(A12&gt;'Controls'!$B$15,(INDEX($C$8:$C$39,A12-'Controls'!$B$15)+INDEX($E$8:$E$39,A12-'Controls'!$B$15))*'Controls'!$B$17,0)</x:f>
        <x:v>721808.860046541</x:v>
      </x:c>
      <x:c r="I12" s="74" t="n">
        <x:f>G12+H12</x:f>
        <x:v>1265618.191504796</x:v>
      </x:c>
      <x:c r="J12" s="73" t="n">
        <x:f>'Valuations'!I12</x:f>
        <x:v>1546814.5454973127</x:v>
      </x:c>
      <x:c r="K12" s="74" t="n">
        <x:f>J12-I12</x:f>
        <x:v>281196.35399251664</x:v>
      </x:c>
      <x:c r="L12" s="74" t="n">
        <x:f>SUM($K$8:K12)</x:f>
        <x:v>744575.3831573483</x:v>
      </x:c>
      <x:c r="M12" s="74" t="n">
        <x:f>SUM($I$8:I12)</x:f>
        <x:v>4627035.429801077</x:v>
      </x:c>
      <x:c r="N12" s="59"/>
      <x:c r="O12" s="59"/>
      <x:c r="P12" s="59"/>
      <x:c r="Q12" s="59"/>
    </x:row>
    <x:row r="13" ht="23" customHeight="1">
      <x:c r="A13" s="54" t="n">
        <x:v>6</x:v>
      </x:c>
      <x:c r="B13" s="78" t="d">
        <x:v>2027-04-01T00:00:00.000Z</x:v>
      </x:c>
      <x:c r="C13" s="75" t="n">
        <x:f>SUM('Cost accrual'!I8:I39)</x:f>
        <x:v>1522321.9707288018</x:v>
      </x:c>
      <x:c r="D13" s="75" t="n">
        <x:f>IF(A13&lt;='Controls'!$B$23,'Controls'!$B$9*'Controls'!$B$10/'Controls'!$B$23,0)</x:f>
        <x:v>75389.58464614724</x:v>
      </x:c>
      <x:c r="E13" s="75" t="n">
        <x:f>C13*'Controls'!$B$11</x:f>
        <x:v>91339.3182437281</x:v>
      </x:c>
      <x:c r="F13" s="76" t="n">
        <x:f>SUM(C13:E13)</x:f>
        <x:v>1689050.873618677</x:v>
      </x:c>
      <x:c r="G13" s="75" t="n">
        <x:f>(C13+E13)*'Controls'!$B$16+D13</x:f>
        <x:v>640171.0357865326</x:v>
      </x:c>
      <x:c r="H13" s="75" t="n">
        <x:f>IF(A13&gt;'Controls'!$B$15,(INDEX($C$8:$C$39,A13-'Controls'!$B$15)+INDEX($E$8:$E$39,A13-'Controls'!$B$15))*'Controls'!$B$17,0)</x:f>
        <x:v>869922.3869367715</x:v>
      </x:c>
      <x:c r="I13" s="76" t="n">
        <x:f>G13+H13</x:f>
        <x:v>1510093.422723304</x:v>
      </x:c>
      <x:c r="J13" s="75" t="n">
        <x:f>'Valuations'!I13</x:f>
        <x:v>1086201.8582903554</x:v>
      </x:c>
      <x:c r="K13" s="76" t="n">
        <x:f>J13-I13</x:f>
        <x:v>-423891.5644329486</x:v>
      </x:c>
      <x:c r="L13" s="76" t="n">
        <x:f>SUM($K$8:K13)</x:f>
        <x:v>320683.81872439967</x:v>
      </x:c>
      <x:c r="M13" s="76" t="n">
        <x:f>SUM($I$8:I13)</x:f>
        <x:v>6137128.852524381</x:v>
      </x:c>
      <x:c r="N13" s="59"/>
      <x:c r="O13" s="59"/>
      <x:c r="P13" s="59"/>
      <x:c r="Q13" s="59"/>
    </x:row>
    <x:row r="14" ht="23" customHeight="1">
      <x:c r="A14" s="52" t="n">
        <x:v>7</x:v>
      </x:c>
      <x:c r="B14" s="77" t="d">
        <x:v>2027-05-01T00:00:00.000Z</x:v>
      </x:c>
      <x:c r="C14" s="73" t="n">
        <x:f>SUM('Cost accrual'!J8:J39)</x:f>
        <x:v>1159232.5258265864</x:v>
      </x:c>
      <x:c r="D14" s="73" t="n">
        <x:f>IF(A14&lt;='Controls'!$B$23,'Controls'!$B$9*'Controls'!$B$10/'Controls'!$B$23,0)</x:f>
        <x:v>75389.58464614724</x:v>
      </x:c>
      <x:c r="E14" s="73" t="n">
        <x:f>C14*'Controls'!$B$11</x:f>
        <x:v>69553.95154959518</x:v>
      </x:c>
      <x:c r="F14" s="74" t="n">
        <x:f>SUM(C14:E14)</x:f>
        <x:v>1304176.0620223288</x:v>
      </x:c>
      <x:c r="G14" s="73" t="n">
        <x:f>(C14+E14)*'Controls'!$B$16+D14</x:f>
        <x:v>505464.8517278108</x:v>
      </x:c>
      <x:c r="H14" s="73" t="n">
        <x:f>IF(A14&gt;'Controls'!$B$15,(INDEX($C$8:$C$39,A14-'Controls'!$B$15)+INDEX($E$8:$E$39,A14-'Controls'!$B$15))*'Controls'!$B$17,0)</x:f>
        <x:v>1048879.8378321445</x:v>
      </x:c>
      <x:c r="I14" s="74" t="n">
        <x:f>G14+H14</x:f>
        <x:v>1554344.6895599551</x:v>
      </x:c>
      <x:c r="J14" s="73" t="n">
        <x:f>'Valuations'!I14</x:f>
        <x:v>1309087.9948441985</x:v>
      </x:c>
      <x:c r="K14" s="74" t="n">
        <x:f>J14-I14</x:f>
        <x:v>-245256.6947157567</x:v>
      </x:c>
      <x:c r="L14" s="74" t="n">
        <x:f>SUM($K$8:K14)</x:f>
        <x:v>75427.12400864298</x:v>
      </x:c>
      <x:c r="M14" s="74" t="n">
        <x:f>SUM($I$8:I14)</x:f>
        <x:v>7691473.542084336</x:v>
      </x:c>
      <x:c r="N14" s="59"/>
      <x:c r="O14" s="59"/>
      <x:c r="P14" s="59"/>
      <x:c r="Q14" s="59"/>
    </x:row>
    <x:row r="15" ht="23" customHeight="1">
      <x:c r="A15" s="54" t="n">
        <x:v>8</x:v>
      </x:c>
      <x:c r="B15" s="78" t="d">
        <x:v>2027-06-01T00:00:00.000Z</x:v>
      </x:c>
      <x:c r="C15" s="75" t="n">
        <x:f>SUM('Cost accrual'!K8:K39)</x:f>
        <x:v>997404.2309243708</x:v>
      </x:c>
      <x:c r="D15" s="75" t="n">
        <x:f>IF(A15&lt;='Controls'!$B$23,'Controls'!$B$9*'Controls'!$B$10/'Controls'!$B$23,0)</x:f>
        <x:v>75389.58464614724</x:v>
      </x:c>
      <x:c r="E15" s="75" t="n">
        <x:f>C15*'Controls'!$B$11</x:f>
        <x:v>59844.253855462244</x:v>
      </x:c>
      <x:c r="F15" s="76" t="n">
        <x:f>SUM(C15:E15)</x:f>
        <x:v>1132638.0694259803</x:v>
      </x:c>
      <x:c r="G15" s="75" t="n">
        <x:f>(C15+E15)*'Controls'!$B$16+D15</x:f>
        <x:v>445426.5543190888</x:v>
      </x:c>
      <x:c r="H15" s="75" t="n">
        <x:f>IF(A15&gt;'Controls'!$B$15,(INDEX($C$8:$C$39,A15-'Controls'!$B$15)+INDEX($E$8:$E$39,A15-'Controls'!$B$15))*'Controls'!$B$17,0)</x:f>
        <x:v>798711.210294518</x:v>
      </x:c>
      <x:c r="I15" s="76" t="n">
        <x:f>G15+H15</x:f>
        <x:v>1244137.764613607</x:v>
      </x:c>
      <x:c r="J15" s="75" t="n">
        <x:f>'Valuations'!I15</x:f>
        <x:v>1578389.0889107436</x:v>
      </x:c>
      <x:c r="K15" s="76" t="n">
        <x:f>J15-I15</x:f>
        <x:v>334251.3242971366</x:v>
      </x:c>
      <x:c r="L15" s="76" t="n">
        <x:f>SUM($K$8:K15)</x:f>
        <x:v>409678.4483057796</x:v>
      </x:c>
      <x:c r="M15" s="76" t="n">
        <x:f>SUM($I$8:I15)</x:f>
        <x:v>8935611.306697942</x:v>
      </x:c>
      <x:c r="N15" s="59"/>
      <x:c r="O15" s="59"/>
      <x:c r="P15" s="59"/>
      <x:c r="Q15" s="59"/>
    </x:row>
    <x:row r="16" ht="23" customHeight="1">
      <x:c r="A16" s="52" t="n">
        <x:v>9</x:v>
      </x:c>
      <x:c r="B16" s="77" t="d">
        <x:v>2027-07-01T00:00:00.000Z</x:v>
      </x:c>
      <x:c r="C16" s="73" t="n">
        <x:f>SUM('Cost accrual'!L8:L39)</x:f>
        <x:v>993226.7760221553</x:v>
      </x:c>
      <x:c r="D16" s="73" t="n">
        <x:f>IF(A16&lt;='Controls'!$B$23,'Controls'!$B$9*'Controls'!$B$10/'Controls'!$B$23,0)</x:f>
        <x:v>75389.58464614724</x:v>
      </x:c>
      <x:c r="E16" s="73" t="n">
        <x:f>C16*'Controls'!$B$11</x:f>
        <x:v>59593.60656132932</x:v>
      </x:c>
      <x:c r="F16" s="74" t="n">
        <x:f>SUM(C16:E16)</x:f>
        <x:v>1128209.9672296317</x:v>
      </x:c>
      <x:c r="G16" s="73" t="n">
        <x:f>(C16+E16)*'Controls'!$B$16+D16</x:f>
        <x:v>443876.7185503668</x:v>
      </x:c>
      <x:c r="H16" s="73" t="n">
        <x:f>IF(A16&gt;'Controls'!$B$15,(INDEX($C$8:$C$39,A16-'Controls'!$B$15)+INDEX($E$8:$E$39,A16-'Controls'!$B$15))*'Controls'!$B$17,0)</x:f>
        <x:v>687211.5151068915</x:v>
      </x:c>
      <x:c r="I16" s="74" t="n">
        <x:f>G16+H16</x:f>
        <x:v>1131088.2336572583</x:v>
      </x:c>
      <x:c r="J16" s="73" t="n">
        <x:f>'Valuations'!I16</x:f>
        <x:v>1201927.0597527795</x:v>
      </x:c>
      <x:c r="K16" s="74" t="n">
        <x:f>J16-I16</x:f>
        <x:v>70838.82609552122</x:v>
      </x:c>
      <x:c r="L16" s="74" t="n">
        <x:f>SUM($K$8:K16)</x:f>
        <x:v>480517.2744013008</x:v>
      </x:c>
      <x:c r="M16" s="74" t="n">
        <x:f>SUM($I$8:I16)</x:f>
        <x:v>10066699.5403552</x:v>
      </x:c>
      <x:c r="N16" s="59"/>
      <x:c r="O16" s="59"/>
      <x:c r="P16" s="59"/>
      <x:c r="Q16" s="59"/>
    </x:row>
    <x:row r="17" ht="23" customHeight="1">
      <x:c r="A17" s="54" t="n">
        <x:v>10</x:v>
      </x:c>
      <x:c r="B17" s="78" t="d">
        <x:v>2027-08-01T00:00:00.000Z</x:v>
      </x:c>
      <x:c r="C17" s="75" t="n">
        <x:f>SUM('Cost accrual'!M8:M39)</x:f>
        <x:v>888605.8111199397</x:v>
      </x:c>
      <x:c r="D17" s="75" t="n">
        <x:f>IF(A17&lt;='Controls'!$B$23,'Controls'!$B$9*'Controls'!$B$10/'Controls'!$B$23,0)</x:f>
        <x:v>75389.58464614724</x:v>
      </x:c>
      <x:c r="E17" s="75" t="n">
        <x:f>C17*'Controls'!$B$11</x:f>
        <x:v>53316.34866719638</x:v>
      </x:c>
      <x:c r="F17" s="76" t="n">
        <x:f>SUM(C17:E17)</x:f>
        <x:v>1017311.7444332832</x:v>
      </x:c>
      <x:c r="G17" s="75" t="n">
        <x:f>(C17+E17)*'Controls'!$B$16+D17</x:f>
        <x:v>405062.34057164483</x:v>
      </x:c>
      <x:c r="H17" s="75" t="n">
        <x:f>IF(A17&gt;'Controls'!$B$15,(INDEX($C$8:$C$39,A17-'Controls'!$B$15)+INDEX($E$8:$E$39,A17-'Controls'!$B$15))*'Controls'!$B$17,0)</x:f>
        <x:v>684333.2486792649</x:v>
      </x:c>
      <x:c r="I17" s="76" t="n">
        <x:f>G17+H17</x:f>
        <x:v>1089395.5892509096</x:v>
      </x:c>
      <x:c r="J17" s="75" t="n">
        <x:f>'Valuations'!I17</x:f>
        <x:v>1034138.6287493154</x:v>
      </x:c>
      <x:c r="K17" s="76" t="n">
        <x:f>J17-I17</x:f>
        <x:v>-55256.960501594236</x:v>
      </x:c>
      <x:c r="L17" s="76" t="n">
        <x:f>SUM($K$8:K17)</x:f>
        <x:v>425260.3138997066</x:v>
      </x:c>
      <x:c r="M17" s="76" t="n">
        <x:f>SUM($I$8:I17)</x:f>
        <x:v>11156095.12960611</x:v>
      </x:c>
      <x:c r="N17" s="59"/>
      <x:c r="O17" s="59"/>
      <x:c r="P17" s="59"/>
      <x:c r="Q17" s="59"/>
    </x:row>
    <x:row r="18" ht="23" customHeight="1">
      <x:c r="A18" s="52" t="n">
        <x:v>11</x:v>
      </x:c>
      <x:c r="B18" s="77" t="d">
        <x:v>2027-09-01T00:00:00.000Z</x:v>
      </x:c>
      <x:c r="C18" s="73" t="n">
        <x:f>SUM('Cost accrual'!N8:N39)</x:f>
        <x:v>783984.8462177241</x:v>
      </x:c>
      <x:c r="D18" s="73" t="n">
        <x:f>IF(A18&lt;='Controls'!$B$23,'Controls'!$B$9*'Controls'!$B$10/'Controls'!$B$23,0)</x:f>
        <x:v>75389.58464614724</x:v>
      </x:c>
      <x:c r="E18" s="73" t="n">
        <x:f>C18*'Controls'!$B$11</x:f>
        <x:v>47039.09077306345</x:v>
      </x:c>
      <x:c r="F18" s="74" t="n">
        <x:f>SUM(C18:E18)</x:f>
        <x:v>906413.5216369348</x:v>
      </x:c>
      <x:c r="G18" s="73" t="n">
        <x:f>(C18+E18)*'Controls'!$B$16+D18</x:f>
        <x:v>366247.96259292285</x:v>
      </x:c>
      <x:c r="H18" s="73" t="n">
        <x:f>IF(A18&gt;'Controls'!$B$15,(INDEX($C$8:$C$39,A18-'Controls'!$B$15)+INDEX($E$8:$E$39,A18-'Controls'!$B$15))*'Controls'!$B$17,0)</x:f>
        <x:v>612249.4038616384</x:v>
      </x:c>
      <x:c r="I18" s="74" t="n">
        <x:f>G18+H18</x:f>
        <x:v>978497.3664545612</x:v>
      </x:c>
      <x:c r="J18" s="73" t="n">
        <x:f>'Valuations'!I18</x:f>
        <x:v>1029807.3181830512</x:v>
      </x:c>
      <x:c r="K18" s="74" t="n">
        <x:f>J18-I18</x:f>
        <x:v>51309.95172848995</x:v>
      </x:c>
      <x:c r="L18" s="74" t="n">
        <x:f>SUM($K$8:K18)</x:f>
        <x:v>476570.26562819653</x:v>
      </x:c>
      <x:c r="M18" s="74" t="n">
        <x:f>SUM($I$8:I18)</x:f>
        <x:v>12134592.49606067</x:v>
      </x:c>
      <x:c r="N18" s="59"/>
      <x:c r="O18" s="59"/>
      <x:c r="P18" s="59"/>
      <x:c r="Q18" s="59"/>
    </x:row>
    <x:row r="19" ht="23" customHeight="1">
      <x:c r="A19" s="54" t="n">
        <x:v>12</x:v>
      </x:c>
      <x:c r="B19" s="78" t="d">
        <x:v>2027-10-01T00:00:00.000Z</x:v>
      </x:c>
      <x:c r="C19" s="75" t="n">
        <x:f>SUM('Cost accrual'!O8:O39)</x:f>
        <x:v>1146959.4253155089</x:v>
      </x:c>
      <x:c r="D19" s="75" t="n">
        <x:f>IF(A19&lt;='Controls'!$B$23,'Controls'!$B$9*'Controls'!$B$10/'Controls'!$B$23,0)</x:f>
        <x:v>75389.58464614724</x:v>
      </x:c>
      <x:c r="E19" s="75" t="n">
        <x:f>C19*'Controls'!$B$11</x:f>
        <x:v>68817.56551893053</x:v>
      </x:c>
      <x:c r="F19" s="76" t="n">
        <x:f>SUM(C19:E19)</x:f>
        <x:v>1291166.5754805866</x:v>
      </x:c>
      <x:c r="G19" s="75" t="n">
        <x:f>(C19+E19)*'Controls'!$B$16+D19</x:f>
        <x:v>500911.53143820097</x:v>
      </x:c>
      <x:c r="H19" s="75" t="n">
        <x:f>IF(A19&gt;'Controls'!$B$15,(INDEX($C$8:$C$39,A19-'Controls'!$B$15)+INDEX($E$8:$E$39,A19-'Controls'!$B$15))*'Controls'!$B$17,0)</x:f>
        <x:v>540165.559044012</x:v>
      </x:c>
      <x:c r="I19" s="76" t="n">
        <x:f>G19+H19</x:f>
        <x:v>1041077.090482213</x:v>
      </x:c>
      <x:c r="J19" s="75" t="n">
        <x:f>'Valuations'!I19</x:f>
        <x:v>921333.1631434871</x:v>
      </x:c>
      <x:c r="K19" s="76" t="n">
        <x:f>J19-I19</x:f>
        <x:v>-119743.92733872589</x:v>
      </x:c>
      <x:c r="L19" s="76" t="n">
        <x:f>SUM($K$8:K19)</x:f>
        <x:v>356826.33828947064</x:v>
      </x:c>
      <x:c r="M19" s="76" t="n">
        <x:f>SUM($I$8:I19)</x:f>
        <x:v>13175669.586542882</x:v>
      </x:c>
      <x:c r="N19" s="59"/>
      <x:c r="O19" s="59"/>
      <x:c r="P19" s="59"/>
      <x:c r="Q19" s="59"/>
    </x:row>
    <x:row r="20" ht="23" customHeight="1">
      <x:c r="A20" s="52" t="n">
        <x:v>13</x:v>
      </x:c>
      <x:c r="B20" s="77" t="d">
        <x:v>2027-11-01T00:00:00.000Z</x:v>
      </x:c>
      <x:c r="C20" s="73" t="n">
        <x:f>SUM('Cost accrual'!P8:P39)</x:f>
        <x:v>1404903.345504202</x:v>
      </x:c>
      <x:c r="D20" s="73" t="n">
        <x:f>IF(A20&lt;='Controls'!$B$23,'Controls'!$B$9*'Controls'!$B$10/'Controls'!$B$23,0)</x:f>
        <x:v>75389.58464614724</x:v>
      </x:c>
      <x:c r="E20" s="73" t="n">
        <x:f>C20*'Controls'!$B$11</x:f>
        <x:v>84294.20073025211</x:v>
      </x:c>
      <x:c r="F20" s="74" t="n">
        <x:f>SUM(C20:E20)</x:f>
        <x:v>1564587.1308806012</x:v>
      </x:c>
      <x:c r="G20" s="73" t="n">
        <x:f>(C20+E20)*'Controls'!$B$16+D20</x:f>
        <x:v>596608.7258282062</x:v>
      </x:c>
      <x:c r="H20" s="73" t="n">
        <x:f>IF(A20&gt;'Controls'!$B$15,(INDEX($C$8:$C$39,A20-'Controls'!$B$15)+INDEX($E$8:$E$39,A20-'Controls'!$B$15))*'Controls'!$B$17,0)</x:f>
        <x:v>790255.0440423856</x:v>
      </x:c>
      <x:c r="I20" s="74" t="n">
        <x:f>G20+H20</x:f>
        <x:v>1386863.7698705918</x:v>
      </x:c>
      <x:c r="J20" s="73" t="n">
        <x:f>'Valuations'!I20</x:f>
        <x:v>812859.0081039227</x:v>
      </x:c>
      <x:c r="K20" s="74" t="n">
        <x:f>J20-I20</x:f>
        <x:v>-574004.7617666691</x:v>
      </x:c>
      <x:c r="L20" s="74" t="n">
        <x:f>SUM($K$8:K20)</x:f>
        <x:v>-217178.42347719846</x:v>
      </x:c>
      <x:c r="M20" s="74" t="n">
        <x:f>SUM($I$8:I20)</x:f>
        <x:v>14562533.356413474</x:v>
      </x:c>
      <x:c r="N20" s="59"/>
      <x:c r="O20" s="59"/>
      <x:c r="P20" s="59"/>
      <x:c r="Q20" s="59"/>
    </x:row>
    <x:row r="21" ht="23" customHeight="1">
      <x:c r="A21" s="54" t="n">
        <x:v>14</x:v>
      </x:c>
      <x:c r="B21" s="78" t="d">
        <x:v>2027-12-01T00:00:00.000Z</x:v>
      </x:c>
      <x:c r="C21" s="75" t="n">
        <x:f>SUM('Cost accrual'!Q8:Q39)</x:f>
        <x:v>1219782.305692896</x:v>
      </x:c>
      <x:c r="D21" s="75" t="n">
        <x:f>IF(A21&lt;='Controls'!$B$23,'Controls'!$B$9*'Controls'!$B$10/'Controls'!$B$23,0)</x:f>
        <x:v>75389.58464614724</x:v>
      </x:c>
      <x:c r="E21" s="75" t="n">
        <x:f>C21*'Controls'!$B$11</x:f>
        <x:v>73186.93834157375</x:v>
      </x:c>
      <x:c r="F21" s="76" t="n">
        <x:f>SUM(C21:E21)</x:f>
        <x:v>1368358.828680617</x:v>
      </x:c>
      <x:c r="G21" s="75" t="n">
        <x:f>(C21+E21)*'Controls'!$B$16+D21</x:f>
        <x:v>527928.8200582117</x:v>
      </x:c>
      <x:c r="H21" s="75" t="n">
        <x:f>IF(A21&gt;'Controls'!$B$15,(INDEX($C$8:$C$39,A21-'Controls'!$B$15)+INDEX($E$8:$E$39,A21-'Controls'!$B$15))*'Controls'!$B$17,0)</x:f>
        <x:v>967978.4050523952</x:v>
      </x:c>
      <x:c r="I21" s="76" t="n">
        <x:f>G21+H21</x:f>
        <x:v>1495907.2251106068</x:v>
      </x:c>
      <x:c r="J21" s="75" t="n">
        <x:f>'Valuations'!I21</x:f>
        <x:v>1189201.9409498791</x:v>
      </x:c>
      <x:c r="K21" s="76" t="n">
        <x:f>J21-I21</x:f>
        <x:v>-306705.28416072764</x:v>
      </x:c>
      <x:c r="L21" s="76" t="n">
        <x:f>SUM($K$8:K21)</x:f>
        <x:v>-523883.7076379261</x:v>
      </x:c>
      <x:c r="M21" s="76" t="n">
        <x:f>SUM($I$8:I21)</x:f>
        <x:v>16058440.581524082</x:v>
      </x:c>
      <x:c r="N21" s="59"/>
      <x:c r="O21" s="59"/>
      <x:c r="P21" s="59"/>
      <x:c r="Q21" s="59"/>
    </x:row>
    <x:row r="22" ht="23" customHeight="1">
      <x:c r="A22" s="52" t="n">
        <x:v>15</x:v>
      </x:c>
      <x:c r="B22" s="77" t="d">
        <x:v>2028-01-01T00:00:00.000Z</x:v>
      </x:c>
      <x:c r="C22" s="73" t="n">
        <x:f>SUM('Cost accrual'!R8:R39)</x:f>
        <x:v>1409248.4658815896</x:v>
      </x:c>
      <x:c r="D22" s="73" t="n">
        <x:f>IF(A22&lt;='Controls'!$B$23,'Controls'!$B$9*'Controls'!$B$10/'Controls'!$B$23,0)</x:f>
        <x:v>75389.58464614724</x:v>
      </x:c>
      <x:c r="E22" s="73" t="n">
        <x:f>C22*'Controls'!$B$11</x:f>
        <x:v>84554.90795289537</x:v>
      </x:c>
      <x:c r="F22" s="74" t="n">
        <x:f>SUM(C22:E22)</x:f>
        <x:v>1569192.9584806322</x:v>
      </x:c>
      <x:c r="G22" s="73" t="n">
        <x:f>(C22+E22)*'Controls'!$B$16+D22</x:f>
        <x:v>598220.7654882169</x:v>
      </x:c>
      <x:c r="H22" s="73" t="n">
        <x:f>IF(A22&gt;'Controls'!$B$15,(INDEX($C$8:$C$39,A22-'Controls'!$B$15)+INDEX($E$8:$E$39,A22-'Controls'!$B$15))*'Controls'!$B$17,0)</x:f>
        <x:v>840430.0086224055</x:v>
      </x:c>
      <x:c r="I22" s="74" t="n">
        <x:f>G22+H22</x:f>
        <x:v>1438650.7741106222</x:v>
      </x:c>
      <x:c r="J22" s="73" t="n">
        <x:f>'Valuations'!I22</x:f>
        <x:v>1456645.9357191215</x:v>
      </x:c>
      <x:c r="K22" s="74" t="n">
        <x:f>J22-I22</x:f>
        <x:v>17995.161608499242</x:v>
      </x:c>
      <x:c r="L22" s="74" t="n">
        <x:f>SUM($K$8:K22)</x:f>
        <x:v>-505888.54602942686</x:v>
      </x:c>
      <x:c r="M22" s="74" t="n">
        <x:f>SUM($I$8:I22)</x:f>
        <x:v>17497091.355634704</x:v>
      </x:c>
      <x:c r="N22" s="59"/>
      <x:c r="O22" s="59"/>
      <x:c r="P22" s="59"/>
      <x:c r="Q22" s="59"/>
    </x:row>
    <x:row r="23" ht="23" customHeight="1">
      <x:c r="A23" s="54" t="n">
        <x:v>16</x:v>
      </x:c>
      <x:c r="B23" s="78" t="d">
        <x:v>2028-02-01T00:00:00.000Z</x:v>
      </x:c>
      <x:c r="C23" s="75" t="n">
        <x:f>SUM('Cost accrual'!S8:S39)</x:f>
        <x:v>1264792.3403559974</x:v>
      </x:c>
      <x:c r="D23" s="75" t="n">
        <x:f>IF(A23&lt;='Controls'!$B$23,'Controls'!$B$9*'Controls'!$B$10/'Controls'!$B$23,0)</x:f>
        <x:v>75389.58464614724</x:v>
      </x:c>
      <x:c r="E23" s="75" t="n">
        <x:f>C23*'Controls'!$B$11</x:f>
        <x:v>75887.54042135984</x:v>
      </x:c>
      <x:c r="F23" s="76" t="n">
        <x:f>SUM(C23:E23)</x:f>
        <x:v>1416069.4654235046</x:v>
      </x:c>
      <x:c r="G23" s="75" t="n">
        <x:f>(C23+E23)*'Controls'!$B$16+D23</x:f>
        <x:v>544627.5429182223</x:v>
      </x:c>
      <x:c r="H23" s="75" t="n">
        <x:f>IF(A23&gt;'Controls'!$B$15,(INDEX($C$8:$C$39,A23-'Controls'!$B$15)+INDEX($E$8:$E$39,A23-'Controls'!$B$15))*'Controls'!$B$17,0)</x:f>
        <x:v>970972.1929924153</x:v>
      </x:c>
      <x:c r="I23" s="76" t="n">
        <x:f>G23+H23</x:f>
        <x:v>1515599.7359106375</x:v>
      </x:c>
      <x:c r="J23" s="75" t="n">
        <x:f>'Valuations'!I23</x:f>
        <x:v>1264706.8880115652</x:v>
      </x:c>
      <x:c r="K23" s="76" t="n">
        <x:f>J23-I23</x:f>
        <x:v>-250892.84789907234</x:v>
      </x:c>
      <x:c r="L23" s="76" t="n">
        <x:f>SUM($K$8:K23)</x:f>
        <x:v>-756781.3939284992</x:v>
      </x:c>
      <x:c r="M23" s="76" t="n">
        <x:f>SUM($I$8:I23)</x:f>
        <x:v>19012691.091545343</x:v>
      </x:c>
      <x:c r="N23" s="59"/>
      <x:c r="O23" s="59"/>
      <x:c r="P23" s="59"/>
      <x:c r="Q23" s="59"/>
    </x:row>
    <x:row r="24" ht="23" customHeight="1">
      <x:c r="A24" s="52" t="n">
        <x:v>17</x:v>
      </x:c>
      <x:c r="B24" s="77" t="d">
        <x:v>2028-03-01T00:00:00.000Z</x:v>
      </x:c>
      <x:c r="C24" s="73" t="n">
        <x:f>SUM('Cost accrual'!T8:T39)</x:f>
        <x:v>1201925.9214970719</x:v>
      </x:c>
      <x:c r="D24" s="73" t="n">
        <x:f>IF(A24&lt;='Controls'!$B$23,'Controls'!$B$9*'Controls'!$B$10/'Controls'!$B$23,0)</x:f>
        <x:v>75389.58464614724</x:v>
      </x:c>
      <x:c r="E24" s="73" t="n">
        <x:f>C24*'Controls'!$B$11</x:f>
        <x:v>72115.5552898243</x:v>
      </x:c>
      <x:c r="F24" s="74" t="n">
        <x:f>SUM(C24:E24)</x:f>
        <x:v>1349431.0614330433</x:v>
      </x:c>
      <x:c r="G24" s="73" t="n">
        <x:f>(C24+E24)*'Controls'!$B$16+D24</x:f>
        <x:v>521304.1015215608</x:v>
      </x:c>
      <x:c r="H24" s="73" t="n">
        <x:f>IF(A24&gt;'Controls'!$B$15,(INDEX($C$8:$C$39,A24-'Controls'!$B$15)+INDEX($E$8:$E$39,A24-'Controls'!$B$15))*'Controls'!$B$17,0)</x:f>
        <x:v>871441.9225052823</x:v>
      </x:c>
      <x:c r="I24" s="74" t="n">
        <x:f>G24+H24</x:f>
        <x:v>1392746.0240268433</x:v>
      </x:c>
      <x:c r="J24" s="73" t="n">
        <x:f>'Valuations'!I24</x:f>
        <x:v>1461151.0868800085</x:v>
      </x:c>
      <x:c r="K24" s="74" t="n">
        <x:f>J24-I24</x:f>
        <x:v>68405.0628531652</x:v>
      </x:c>
      <x:c r="L24" s="74" t="n">
        <x:f>SUM($K$8:K24)</x:f>
        <x:v>-688376.331075334</x:v>
      </x:c>
      <x:c r="M24" s="74" t="n">
        <x:f>SUM($I$8:I24)</x:f>
        <x:v>20405437.115572188</x:v>
      </x:c>
      <x:c r="N24" s="59"/>
      <x:c r="O24" s="59"/>
      <x:c r="P24" s="59"/>
      <x:c r="Q24" s="59"/>
    </x:row>
    <x:row r="25" ht="23" customHeight="1">
      <x:c r="A25" s="54" t="n">
        <x:v>18</x:v>
      </x:c>
      <x:c r="B25" s="78" t="d">
        <x:v>2028-04-01T00:00:00.000Z</x:v>
      </x:c>
      <x:c r="C25" s="75" t="n">
        <x:f>SUM('Cost accrual'!U8:U39)</x:f>
        <x:v>1088360.7626381463</x:v>
      </x:c>
      <x:c r="D25" s="75" t="n">
        <x:f>IF(A25&lt;='Controls'!$B$23,'Controls'!$B$9*'Controls'!$B$10/'Controls'!$B$23,0)</x:f>
        <x:v>75389.58464614724</x:v>
      </x:c>
      <x:c r="E25" s="75" t="n">
        <x:f>C25*'Controls'!$B$11</x:f>
        <x:v>65301.645758288774</x:v>
      </x:c>
      <x:c r="F25" s="76" t="n">
        <x:f>SUM(C25:E25)</x:f>
        <x:v>1229051.9930425822</x:v>
      </x:c>
      <x:c r="G25" s="75" t="n">
        <x:f>(C25+E25)*'Controls'!$B$16+D25</x:f>
        <x:v>479171.4275848995</x:v>
      </x:c>
      <x:c r="H25" s="75" t="n">
        <x:f>IF(A25&gt;'Controls'!$B$15,(INDEX($C$8:$C$39,A25-'Controls'!$B$15)+INDEX($E$8:$E$39,A25-'Controls'!$B$15))*'Controls'!$B$17,0)</x:f>
        <x:v>828126.9599114825</x:v>
      </x:c>
      <x:c r="I25" s="76" t="n">
        <x:f>G25+H25</x:f>
        <x:v>1307298.387496382</x:v>
      </x:c>
      <x:c r="J25" s="75" t="n">
        <x:f>'Valuations'!I25</x:f>
        <x:v>1311374.6422513088</x:v>
      </x:c>
      <x:c r="K25" s="76" t="n">
        <x:f>J25-I25</x:f>
        <x:v>4076.2547549267765</x:v>
      </x:c>
      <x:c r="L25" s="76" t="n">
        <x:f>SUM($K$8:K25)</x:f>
        <x:v>-684300.0763204072</x:v>
      </x:c>
      <x:c r="M25" s="76" t="n">
        <x:f>SUM($I$8:I25)</x:f>
        <x:v>21712735.50306857</x:v>
      </x:c>
      <x:c r="N25" s="59"/>
      <x:c r="O25" s="59"/>
      <x:c r="P25" s="59"/>
      <x:c r="Q25" s="59"/>
    </x:row>
    <x:row r="26" ht="23" customHeight="1">
      <x:c r="A26" s="52" t="n">
        <x:v>19</x:v>
      </x:c>
      <x:c r="B26" s="77" t="d">
        <x:v>2028-05-01T00:00:00.000Z</x:v>
      </x:c>
      <x:c r="C26" s="73" t="n">
        <x:f>SUM('Cost accrual'!V8:V39)</x:f>
        <x:v>872259.6567792208</x:v>
      </x:c>
      <x:c r="D26" s="73" t="n">
        <x:f>IF(A26&lt;='Controls'!$B$23,'Controls'!$B$9*'Controls'!$B$10/'Controls'!$B$23,0)</x:f>
        <x:v>75389.58464614724</x:v>
      </x:c>
      <x:c r="E26" s="73" t="n">
        <x:f>C26*'Controls'!$B$11</x:f>
        <x:v>52335.57940675325</x:v>
      </x:c>
      <x:c r="F26" s="74" t="n">
        <x:f>SUM(C26:E26)</x:f>
        <x:v>999984.8208321213</x:v>
      </x:c>
      <x:c r="G26" s="73" t="n">
        <x:f>(C26+E26)*'Controls'!$B$16+D26</x:f>
        <x:v>398997.9173112381</x:v>
      </x:c>
      <x:c r="H26" s="73" t="n">
        <x:f>IF(A26&gt;'Controls'!$B$15,(INDEX($C$8:$C$39,A26-'Controls'!$B$15)+INDEX($E$8:$E$39,A26-'Controls'!$B$15))*'Controls'!$B$17,0)</x:f>
        <x:v>749880.5654576827</x:v>
      </x:c>
      <x:c r="I26" s="74" t="n">
        <x:f>G26+H26</x:f>
        <x:v>1148878.4827689207</x:v>
      </x:c>
      <x:c r="J26" s="73" t="n">
        <x:f>'Valuations'!I26</x:f>
        <x:v>1246192.853185809</x:v>
      </x:c>
      <x:c r="K26" s="74" t="n">
        <x:f>J26-I26</x:f>
        <x:v>97314.37041688827</x:v>
      </x:c>
      <x:c r="L26" s="74" t="n">
        <x:f>SUM($K$8:K26)</x:f>
        <x:v>-586985.705903519</x:v>
      </x:c>
      <x:c r="M26" s="74" t="n">
        <x:f>SUM($I$8:I26)</x:f>
        <x:v>22861613.98583749</x:v>
      </x:c>
      <x:c r="N26" s="59"/>
      <x:c r="O26" s="59"/>
      <x:c r="P26" s="59"/>
      <x:c r="Q26" s="59"/>
    </x:row>
    <x:row r="27" ht="23" customHeight="1">
      <x:c r="A27" s="54" t="n">
        <x:v>20</x:v>
      </x:c>
      <x:c r="B27" s="78" t="d">
        <x:v>2028-06-01T00:00:00.000Z</x:v>
      </x:c>
      <x:c r="C27" s="75" t="n">
        <x:f>SUM('Cost accrual'!W8:W39)</x:f>
        <x:v>737755.5128225109</x:v>
      </x:c>
      <x:c r="D27" s="75" t="n">
        <x:f>IF(A27&lt;='Controls'!$B$23,'Controls'!$B$9*'Controls'!$B$10/'Controls'!$B$23,0)</x:f>
        <x:v>75389.58464614724</x:v>
      </x:c>
      <x:c r="E27" s="75" t="n">
        <x:f>C27*'Controls'!$B$11</x:f>
        <x:v>44265.33076935065</x:v>
      </x:c>
      <x:c r="F27" s="76" t="n">
        <x:f>SUM(C27:E27)</x:f>
        <x:v>857410.4282380088</x:v>
      </x:c>
      <x:c r="G27" s="75" t="n">
        <x:f>(C27+E27)*'Controls'!$B$16+D27</x:f>
        <x:v>349096.8799032988</x:v>
      </x:c>
      <x:c r="H27" s="75" t="n">
        <x:f>IF(A27&gt;'Controls'!$B$15,(INDEX($C$8:$C$39,A27-'Controls'!$B$15)+INDEX($E$8:$E$39,A27-'Controls'!$B$15))*'Controls'!$B$17,0)</x:f>
        <x:v>600986.9035208832</x:v>
      </x:c>
      <x:c r="I27" s="76" t="n">
        <x:f>G27+H27</x:f>
        <x:v>950083.783424182</x:v>
      </x:c>
      <x:c r="J27" s="75" t="n">
        <x:f>'Valuations'!I27</x:f>
        <x:v>1128445.0895261092</x:v>
      </x:c>
      <x:c r="K27" s="76" t="n">
        <x:f>J27-I27</x:f>
        <x:v>178361.30610192718</x:v>
      </x:c>
      <x:c r="L27" s="76" t="n">
        <x:f>SUM($K$8:K27)</x:f>
        <x:v>-408624.39980159176</x:v>
      </x:c>
      <x:c r="M27" s="76" t="n">
        <x:f>SUM($I$8:I27)</x:f>
        <x:v>23811697.769261673</x:v>
      </x:c>
      <x:c r="N27" s="59"/>
      <x:c r="O27" s="59"/>
      <x:c r="P27" s="59"/>
      <x:c r="Q27" s="59"/>
    </x:row>
    <x:row r="28" ht="23" customHeight="1">
      <x:c r="A28" s="52" t="n">
        <x:v>21</x:v>
      </x:c>
      <x:c r="B28" s="77" t="d">
        <x:v>2028-07-01T00:00:00.000Z</x:v>
      </x:c>
      <x:c r="C28" s="73" t="n">
        <x:f>SUM('Cost accrual'!X8:X39)</x:f>
        <x:v>534851.3688658009</x:v>
      </x:c>
      <x:c r="D28" s="73" t="n">
        <x:f>IF(A28&lt;='Controls'!$B$23,'Controls'!$B$9*'Controls'!$B$10/'Controls'!$B$23,0)</x:f>
        <x:v>75389.58464614724</x:v>
      </x:c>
      <x:c r="E28" s="73" t="n">
        <x:f>C28*'Controls'!$B$11</x:f>
        <x:v>32091.082131948053</x:v>
      </x:c>
      <x:c r="F28" s="74" t="n">
        <x:f>SUM(C28:E28)</x:f>
        <x:v>642332.0356438962</x:v>
      </x:c>
      <x:c r="G28" s="73" t="n">
        <x:f>(C28+E28)*'Controls'!$B$16+D28</x:f>
        <x:v>273819.44249535934</x:v>
      </x:c>
      <x:c r="H28" s="73" t="n">
        <x:f>IF(A28&gt;'Controls'!$B$15,(INDEX($C$8:$C$39,A28-'Controls'!$B$15)+INDEX($E$8:$E$39,A28-'Controls'!$B$15))*'Controls'!$B$17,0)</x:f>
        <x:v>508313.54833471</x:v>
      </x:c>
      <x:c r="I28" s="74" t="n">
        <x:f>G28+H28</x:f>
        <x:v>782132.9908300694</x:v>
      </x:c>
      <x:c r="J28" s="73" t="n">
        <x:f>'Valuations'!I28</x:f>
        <x:v>904384.9799383995</x:v>
      </x:c>
      <x:c r="K28" s="74" t="n">
        <x:f>J28-I28</x:f>
        <x:v>122251.9891083301</x:v>
      </x:c>
      <x:c r="L28" s="74" t="n">
        <x:f>SUM($K$8:K28)</x:f>
        <x:v>-286372.41069326166</x:v>
      </x:c>
      <x:c r="M28" s="74" t="n">
        <x:f>SUM($I$8:I28)</x:f>
        <x:v>24593830.760091744</x:v>
      </x:c>
      <x:c r="N28" s="59"/>
      <x:c r="O28" s="59"/>
      <x:c r="P28" s="59"/>
      <x:c r="Q28" s="59"/>
    </x:row>
    <x:row r="29" ht="23" customHeight="1">
      <x:c r="A29" s="54" t="n">
        <x:v>22</x:v>
      </x:c>
      <x:c r="B29" s="78" t="d">
        <x:v>2028-08-01T00:00:00.000Z</x:v>
      </x:c>
      <x:c r="C29" s="75" t="n">
        <x:f>SUM('Cost accrual'!Y8:Y39)</x:f>
        <x:v>344151.4949090909</x:v>
      </x:c>
      <x:c r="D29" s="75" t="n">
        <x:f>IF(A29&lt;='Controls'!$B$23,'Controls'!$B$9*'Controls'!$B$10/'Controls'!$B$23,0)</x:f>
        <x:v>75389.58464614724</x:v>
      </x:c>
      <x:c r="E29" s="75" t="n">
        <x:f>C29*'Controls'!$B$11</x:f>
        <x:v>20649.089694545455</x:v>
      </x:c>
      <x:c r="F29" s="76" t="n">
        <x:f>SUM(C29:E29)</x:f>
        <x:v>440190.16924978356</x:v>
      </x:c>
      <x:c r="G29" s="75" t="n">
        <x:f>(C29+E29)*'Controls'!$B$16+D29</x:f>
        <x:v>203069.78925741994</x:v>
      </x:c>
      <x:c r="H29" s="75" t="n">
        <x:f>IF(A29&gt;'Controls'!$B$15,(INDEX($C$8:$C$39,A29-'Controls'!$B$15)+INDEX($E$8:$E$39,A29-'Controls'!$B$15))*'Controls'!$B$17,0)</x:f>
        <x:v>368512.59314853686</x:v>
      </x:c>
      <x:c r="I29" s="76" t="n">
        <x:f>G29+H29</x:f>
        <x:v>571582.3824059567</x:v>
      </x:c>
      <x:c r="J29" s="75" t="n">
        <x:f>'Valuations'!I29</x:f>
        <x:v>764927.0483597638</x:v>
      </x:c>
      <x:c r="K29" s="76" t="n">
        <x:f>J29-I29</x:f>
        <x:v>193344.66595380707</x:v>
      </x:c>
      <x:c r="L29" s="76" t="n">
        <x:f>SUM($K$8:K29)</x:f>
        <x:v>-93027.74473945459</x:v>
      </x:c>
      <x:c r="M29" s="76" t="n">
        <x:f>SUM($I$8:I29)</x:f>
        <x:v>25165413.1424977</x:v>
      </x:c>
      <x:c r="N29" s="59"/>
      <x:c r="O29" s="59"/>
      <x:c r="P29" s="59"/>
      <x:c r="Q29" s="59"/>
    </x:row>
    <x:row r="30" ht="23" customHeight="1">
      <x:c r="A30" s="52" t="n">
        <x:v>23</x:v>
      </x:c>
      <x:c r="B30" s="77" t="d">
        <x:v>2028-09-01T00:00:00.000Z</x:v>
      </x:c>
      <x:c r="C30" s="73" t="n">
        <x:f>SUM('Cost accrual'!Z8:Z39)</x:f>
        <x:v>167165.90666666668</x:v>
      </x:c>
      <x:c r="D30" s="73" t="n">
        <x:f>IF(A30&lt;='Controls'!$B$23,'Controls'!$B$9*'Controls'!$B$10/'Controls'!$B$23,0)</x:f>
        <x:v>75389.58464614724</x:v>
      </x:c>
      <x:c r="E30" s="73" t="n">
        <x:f>C30*'Controls'!$B$11</x:f>
        <x:v>10029.9544</x:v>
      </x:c>
      <x:c r="F30" s="74" t="n">
        <x:f>SUM(C30:E30)</x:f>
        <x:v>252585.4457128139</x:v>
      </x:c>
      <x:c r="G30" s="73" t="n">
        <x:f>(C30+E30)*'Controls'!$B$16+D30</x:f>
        <x:v>137408.13601948056</x:v>
      </x:c>
      <x:c r="H30" s="73" t="n">
        <x:f>IF(A30&gt;'Controls'!$B$15,(INDEX($C$8:$C$39,A30-'Controls'!$B$15)+INDEX($E$8:$E$39,A30-'Controls'!$B$15))*'Controls'!$B$17,0)</x:f>
        <x:v>237120.37999236363</x:v>
      </x:c>
      <x:c r="I30" s="74" t="n">
        <x:f>G30+H30</x:f>
        <x:v>374528.51601184416</x:v>
      </x:c>
      <x:c r="J30" s="73" t="n">
        <x:f>'Valuations'!I30</x:f>
        <x:v>554549.9447811283</x:v>
      </x:c>
      <x:c r="K30" s="74" t="n">
        <x:f>J30-I30</x:f>
        <x:v>180021.42876928416</x:v>
      </x:c>
      <x:c r="L30" s="74" t="n">
        <x:f>SUM($K$8:K30)</x:f>
        <x:v>86993.68402982957</x:v>
      </x:c>
      <x:c r="M30" s="74" t="n">
        <x:f>SUM($I$8:I30)</x:f>
        <x:v>25539941.658509545</x:v>
      </x:c>
      <x:c r="N30" s="59"/>
      <x:c r="O30" s="59"/>
      <x:c r="P30" s="59"/>
      <x:c r="Q30" s="59"/>
    </x:row>
    <x:row r="31" ht="23" customHeight="1">
      <x:c r="A31" s="54" t="n">
        <x:v>24</x:v>
      </x:c>
      <x:c r="B31" s="78" t="d">
        <x:v>2028-10-01T00:00:00.000Z</x:v>
      </x:c>
      <x:c r="C31" s="75" t="n">
        <x:f>SUM('Cost accrual'!AA8:AA39)</x:f>
        <x:v>49744.71333333334</x:v>
      </x:c>
      <x:c r="D31" s="75" t="n">
        <x:f>IF(A31&lt;='Controls'!$B$23,'Controls'!$B$9*'Controls'!$B$10/'Controls'!$B$23,0)</x:f>
        <x:v>75389.58464614724</x:v>
      </x:c>
      <x:c r="E31" s="75" t="n">
        <x:f>C31*'Controls'!$B$11</x:f>
        <x:v>2984.6828000000005</x:v>
      </x:c>
      <x:c r="F31" s="76" t="n">
        <x:f>SUM(C31:E31)</x:f>
        <x:v>128118.98077948058</x:v>
      </x:c>
      <x:c r="G31" s="75" t="n">
        <x:f>(C31+E31)*'Controls'!$B$16+D31</x:f>
        <x:v>93844.8732928139</x:v>
      </x:c>
      <x:c r="H31" s="75" t="n">
        <x:f>IF(A31&gt;'Controls'!$B$15,(INDEX($C$8:$C$39,A31-'Controls'!$B$15)+INDEX($E$8:$E$39,A31-'Controls'!$B$15))*'Controls'!$B$17,0)</x:f>
        <x:v>115177.30969333333</x:v>
      </x:c>
      <x:c r="I31" s="76" t="n">
        <x:f>G31+H31</x:f>
        <x:v>209022.18298614724</x:v>
      </x:c>
      <x:c r="J31" s="75" t="n">
        <x:f>'Valuations'!I31</x:f>
        <x:v>356826.5944665927</x:v>
      </x:c>
      <x:c r="K31" s="76" t="n">
        <x:f>J31-I31</x:f>
        <x:v>147804.41148044547</x:v>
      </x:c>
      <x:c r="L31" s="76" t="n">
        <x:f>SUM($K$8:K31)</x:f>
        <x:v>234798.09551027504</x:v>
      </x:c>
      <x:c r="M31" s="76" t="n">
        <x:f>SUM($I$8:I31)</x:f>
        <x:v>25748963.841495693</x:v>
      </x:c>
      <x:c r="N31" s="59"/>
      <x:c r="O31" s="59"/>
      <x:c r="P31" s="59"/>
      <x:c r="Q31" s="59"/>
    </x:row>
    <x:row r="32" ht="23" customHeight="1">
      <x:c r="A32" s="52" t="n">
        <x:v>25</x:v>
      </x:c>
      <x:c r="B32" s="77" t="d">
        <x:v>2028-11-01T00:00:00.000Z</x:v>
      </x:c>
      <x:c r="C32" s="73" t="n">
        <x:f>SUM('Cost accrual'!AB8:AB39)</x:f>
        <x:v>0</x:v>
      </x:c>
      <x:c r="D32" s="73" t="n">
        <x:f>IF(A32&lt;='Controls'!$B$23,'Controls'!$B$9*'Controls'!$B$10/'Controls'!$B$23,0)</x:f>
        <x:v>0</x:v>
      </x:c>
      <x:c r="E32" s="73" t="n">
        <x:f>C32*'Controls'!$B$11</x:f>
        <x:v>0</x:v>
      </x:c>
      <x:c r="F32" s="74" t="n">
        <x:f>SUM(C32:E32)</x:f>
        <x:v>0</x:v>
      </x:c>
      <x:c r="G32" s="73" t="n">
        <x:f>(C32+E32)*'Controls'!$B$16+D32</x:f>
        <x:v>0</x:v>
      </x:c>
      <x:c r="H32" s="73" t="n">
        <x:f>IF(A32&gt;'Controls'!$B$15,(INDEX($C$8:$C$39,A32-'Controls'!$B$15)+INDEX($E$8:$E$39,A32-'Controls'!$B$15))*'Controls'!$B$17,0)</x:f>
        <x:v>34274.107486666675</x:v>
      </x:c>
      <x:c r="I32" s="74" t="n">
        <x:f>G32+H32</x:f>
        <x:v>34274.107486666675</x:v>
      </x:c>
      <x:c r="J32" s="73" t="n">
        <x:f>'Valuations'!I32</x:f>
        <x:v>863024.2421444781</x:v>
      </x:c>
      <x:c r="K32" s="74" t="n">
        <x:f>J32-I32</x:f>
        <x:v>828750.1346578115</x:v>
      </x:c>
      <x:c r="L32" s="74" t="n">
        <x:f>SUM($K$8:K32)</x:f>
        <x:v>1063548.2301680865</x:v>
      </x:c>
      <x:c r="M32" s="74" t="n">
        <x:f>SUM($I$8:I32)</x:f>
        <x:v>25783237.948982358</x:v>
      </x:c>
      <x:c r="N32" s="59"/>
      <x:c r="O32" s="59"/>
      <x:c r="P32" s="59"/>
      <x:c r="Q32" s="59"/>
    </x:row>
    <x:row r="33" ht="23" customHeight="1">
      <x:c r="A33" s="54" t="n">
        <x:v>26</x:v>
      </x:c>
      <x:c r="B33" s="78" t="d">
        <x:v>2028-12-01T00:00:00.000Z</x:v>
      </x:c>
      <x:c r="C33" s="75" t="n">
        <x:f>SUM('Cost accrual'!AC8:AC39)</x:f>
        <x:v>0</x:v>
      </x:c>
      <x:c r="D33" s="75" t="n">
        <x:f>IF(A33&lt;='Controls'!$B$23,'Controls'!$B$9*'Controls'!$B$10/'Controls'!$B$23,0)</x:f>
        <x:v>0</x:v>
      </x:c>
      <x:c r="E33" s="75" t="n">
        <x:f>C33*'Controls'!$B$11</x:f>
        <x:v>0</x:v>
      </x:c>
      <x:c r="F33" s="76" t="n">
        <x:f>SUM(C33:E33)</x:f>
        <x:v>0</x:v>
      </x:c>
      <x:c r="G33" s="75" t="n">
        <x:f>(C33+E33)*'Controls'!$B$16+D33</x:f>
        <x:v>0</x:v>
      </x:c>
      <x:c r="H33" s="75" t="n">
        <x:f>IF(A33&gt;'Controls'!$B$15,(INDEX($C$8:$C$39,A33-'Controls'!$B$15)+INDEX($E$8:$E$39,A33-'Controls'!$B$15))*'Controls'!$B$17,0)</x:f>
        <x:v>0</x:v>
      </x:c>
      <x:c r="I33" s="76" t="n">
        <x:f>G33+H33</x:f>
        <x:v>0</x:v>
      </x:c>
      <x:c r="J33" s="75" t="n">
        <x:f>'Valuations'!I33</x:f>
        <x:v>51576.81112540001</x:v>
      </x:c>
      <x:c r="K33" s="76" t="n">
        <x:f>J33-I33</x:f>
        <x:v>51576.81112540001</x:v>
      </x:c>
      <x:c r="L33" s="76" t="n">
        <x:f>SUM($K$8:K33)</x:f>
        <x:v>1115125.0412934865</x:v>
      </x:c>
      <x:c r="M33" s="76" t="n">
        <x:f>SUM($I$8:I33)</x:f>
        <x:v>25783237.948982358</x:v>
      </x:c>
      <x:c r="N33" s="59"/>
      <x:c r="O33" s="59"/>
      <x:c r="P33" s="59"/>
      <x:c r="Q33" s="59"/>
    </x:row>
    <x:row r="34" ht="23" customHeight="1">
      <x:c r="A34" s="52" t="n">
        <x:v>27</x:v>
      </x:c>
      <x:c r="B34" s="77" t="d">
        <x:v>2029-01-01T00:00:00.000Z</x:v>
      </x:c>
      <x:c r="C34" s="73" t="n">
        <x:f>SUM('Cost accrual'!AD8:AD39)</x:f>
        <x:v>0</x:v>
      </x:c>
      <x:c r="D34" s="73" t="n">
        <x:f>IF(A34&lt;='Controls'!$B$23,'Controls'!$B$9*'Controls'!$B$10/'Controls'!$B$23,0)</x:f>
        <x:v>0</x:v>
      </x:c>
      <x:c r="E34" s="73" t="n">
        <x:f>C34*'Controls'!$B$11</x:f>
        <x:v>0</x:v>
      </x:c>
      <x:c r="F34" s="74" t="n">
        <x:f>SUM(C34:E34)</x:f>
        <x:v>0</x:v>
      </x:c>
      <x:c r="G34" s="73" t="n">
        <x:f>(C34+E34)*'Controls'!$B$16+D34</x:f>
        <x:v>0</x:v>
      </x:c>
      <x:c r="H34" s="73" t="n">
        <x:f>IF(A34&gt;'Controls'!$B$15,(INDEX($C$8:$C$39,A34-'Controls'!$B$15)+INDEX($E$8:$E$39,A34-'Controls'!$B$15))*'Controls'!$B$17,0)</x:f>
        <x:v>0</x:v>
      </x:c>
      <x:c r="I34" s="74" t="n">
        <x:f>G34+H34</x:f>
        <x:v>0</x:v>
      </x:c>
      <x:c r="J34" s="73" t="n">
        <x:f>'Valuations'!I34</x:f>
        <x:v>0</x:v>
      </x:c>
      <x:c r="K34" s="74" t="n">
        <x:f>J34-I34</x:f>
        <x:v>0</x:v>
      </x:c>
      <x:c r="L34" s="74" t="n">
        <x:f>SUM($K$8:K34)</x:f>
        <x:v>1115125.0412934865</x:v>
      </x:c>
      <x:c r="M34" s="74" t="n">
        <x:f>SUM($I$8:I34)</x:f>
        <x:v>25783237.948982358</x:v>
      </x:c>
      <x:c r="N34" s="59"/>
      <x:c r="O34" s="59"/>
      <x:c r="P34" s="59"/>
      <x:c r="Q34" s="59"/>
    </x:row>
    <x:row r="35" ht="23" customHeight="1">
      <x:c r="A35" s="54" t="n">
        <x:v>28</x:v>
      </x:c>
      <x:c r="B35" s="78" t="d">
        <x:v>2029-02-01T00:00:00.000Z</x:v>
      </x:c>
      <x:c r="C35" s="75" t="n">
        <x:f>SUM('Cost accrual'!AE8:AE39)</x:f>
        <x:v>0</x:v>
      </x:c>
      <x:c r="D35" s="75" t="n">
        <x:f>IF(A35&lt;='Controls'!$B$23,'Controls'!$B$9*'Controls'!$B$10/'Controls'!$B$23,0)</x:f>
        <x:v>0</x:v>
      </x:c>
      <x:c r="E35" s="75" t="n">
        <x:f>C35*'Controls'!$B$11</x:f>
        <x:v>0</x:v>
      </x:c>
      <x:c r="F35" s="76" t="n">
        <x:f>SUM(C35:E35)</x:f>
        <x:v>0</x:v>
      </x:c>
      <x:c r="G35" s="75" t="n">
        <x:f>(C35+E35)*'Controls'!$B$16+D35</x:f>
        <x:v>0</x:v>
      </x:c>
      <x:c r="H35" s="75" t="n">
        <x:f>IF(A35&gt;'Controls'!$B$15,(INDEX($C$8:$C$39,A35-'Controls'!$B$15)+INDEX($E$8:$E$39,A35-'Controls'!$B$15))*'Controls'!$B$17,0)</x:f>
        <x:v>0</x:v>
      </x:c>
      <x:c r="I35" s="76" t="n">
        <x:f>G35+H35</x:f>
        <x:v>0</x:v>
      </x:c>
      <x:c r="J35" s="75" t="n">
        <x:f>'Valuations'!I35</x:f>
        <x:v>0</x:v>
      </x:c>
      <x:c r="K35" s="76" t="n">
        <x:f>J35-I35</x:f>
        <x:v>0</x:v>
      </x:c>
      <x:c r="L35" s="76" t="n">
        <x:f>SUM($K$8:K35)</x:f>
        <x:v>1115125.0412934865</x:v>
      </x:c>
      <x:c r="M35" s="76" t="n">
        <x:f>SUM($I$8:I35)</x:f>
        <x:v>25783237.948982358</x:v>
      </x:c>
      <x:c r="N35" s="59"/>
      <x:c r="O35" s="59"/>
      <x:c r="P35" s="59"/>
      <x:c r="Q35" s="59"/>
    </x:row>
    <x:row r="36" ht="23" customHeight="1">
      <x:c r="A36" s="52" t="n">
        <x:v>29</x:v>
      </x:c>
      <x:c r="B36" s="77" t="d">
        <x:v>2029-03-01T00:00:00.000Z</x:v>
      </x:c>
      <x:c r="C36" s="73" t="n">
        <x:f>SUM('Cost accrual'!AF8:AF39)</x:f>
        <x:v>0</x:v>
      </x:c>
      <x:c r="D36" s="73" t="n">
        <x:f>IF(A36&lt;='Controls'!$B$23,'Controls'!$B$9*'Controls'!$B$10/'Controls'!$B$23,0)</x:f>
        <x:v>0</x:v>
      </x:c>
      <x:c r="E36" s="73" t="n">
        <x:f>C36*'Controls'!$B$11</x:f>
        <x:v>0</x:v>
      </x:c>
      <x:c r="F36" s="74" t="n">
        <x:f>SUM(C36:E36)</x:f>
        <x:v>0</x:v>
      </x:c>
      <x:c r="G36" s="73" t="n">
        <x:f>(C36+E36)*'Controls'!$B$16+D36</x:f>
        <x:v>0</x:v>
      </x:c>
      <x:c r="H36" s="73" t="n">
        <x:f>IF(A36&gt;'Controls'!$B$15,(INDEX($C$8:$C$39,A36-'Controls'!$B$15)+INDEX($E$8:$E$39,A36-'Controls'!$B$15))*'Controls'!$B$17,0)</x:f>
        <x:v>0</x:v>
      </x:c>
      <x:c r="I36" s="74" t="n">
        <x:f>G36+H36</x:f>
        <x:v>0</x:v>
      </x:c>
      <x:c r="J36" s="73" t="n">
        <x:f>'Valuations'!I36</x:f>
        <x:v>0</x:v>
      </x:c>
      <x:c r="K36" s="74" t="n">
        <x:f>J36-I36</x:f>
        <x:v>0</x:v>
      </x:c>
      <x:c r="L36" s="74" t="n">
        <x:f>SUM($K$8:K36)</x:f>
        <x:v>1115125.0412934865</x:v>
      </x:c>
      <x:c r="M36" s="74" t="n">
        <x:f>SUM($I$8:I36)</x:f>
        <x:v>25783237.948982358</x:v>
      </x:c>
      <x:c r="N36" s="59"/>
      <x:c r="O36" s="59"/>
      <x:c r="P36" s="59"/>
      <x:c r="Q36" s="59"/>
    </x:row>
    <x:row r="37" ht="23" customHeight="1">
      <x:c r="A37" s="54" t="n">
        <x:v>30</x:v>
      </x:c>
      <x:c r="B37" s="78" t="d">
        <x:v>2029-04-01T00:00:00.000Z</x:v>
      </x:c>
      <x:c r="C37" s="75" t="n">
        <x:f>SUM('Cost accrual'!AG8:AG39)</x:f>
        <x:v>0</x:v>
      </x:c>
      <x:c r="D37" s="75" t="n">
        <x:f>IF(A37&lt;='Controls'!$B$23,'Controls'!$B$9*'Controls'!$B$10/'Controls'!$B$23,0)</x:f>
        <x:v>0</x:v>
      </x:c>
      <x:c r="E37" s="75" t="n">
        <x:f>C37*'Controls'!$B$11</x:f>
        <x:v>0</x:v>
      </x:c>
      <x:c r="F37" s="76" t="n">
        <x:f>SUM(C37:E37)</x:f>
        <x:v>0</x:v>
      </x:c>
      <x:c r="G37" s="75" t="n">
        <x:f>(C37+E37)*'Controls'!$B$16+D37</x:f>
        <x:v>0</x:v>
      </x:c>
      <x:c r="H37" s="75" t="n">
        <x:f>IF(A37&gt;'Controls'!$B$15,(INDEX($C$8:$C$39,A37-'Controls'!$B$15)+INDEX($E$8:$E$39,A37-'Controls'!$B$15))*'Controls'!$B$17,0)</x:f>
        <x:v>0</x:v>
      </x:c>
      <x:c r="I37" s="76" t="n">
        <x:f>G37+H37</x:f>
        <x:v>0</x:v>
      </x:c>
      <x:c r="J37" s="75" t="n">
        <x:f>'Valuations'!I37</x:f>
        <x:v>0</x:v>
      </x:c>
      <x:c r="K37" s="76" t="n">
        <x:f>J37-I37</x:f>
        <x:v>0</x:v>
      </x:c>
      <x:c r="L37" s="76" t="n">
        <x:f>SUM($K$8:K37)</x:f>
        <x:v>1115125.0412934865</x:v>
      </x:c>
      <x:c r="M37" s="76" t="n">
        <x:f>SUM($I$8:I37)</x:f>
        <x:v>25783237.948982358</x:v>
      </x:c>
      <x:c r="N37" s="59"/>
      <x:c r="O37" s="59"/>
      <x:c r="P37" s="59"/>
      <x:c r="Q37" s="59"/>
    </x:row>
    <x:row r="38" ht="23" customHeight="1">
      <x:c r="A38" s="52" t="n">
        <x:v>31</x:v>
      </x:c>
      <x:c r="B38" s="77" t="d">
        <x:v>2029-05-01T00:00:00.000Z</x:v>
      </x:c>
      <x:c r="C38" s="73" t="n">
        <x:f>SUM('Cost accrual'!AH8:AH39)</x:f>
        <x:v>0</x:v>
      </x:c>
      <x:c r="D38" s="73" t="n">
        <x:f>IF(A38&lt;='Controls'!$B$23,'Controls'!$B$9*'Controls'!$B$10/'Controls'!$B$23,0)</x:f>
        <x:v>0</x:v>
      </x:c>
      <x:c r="E38" s="73" t="n">
        <x:f>C38*'Controls'!$B$11</x:f>
        <x:v>0</x:v>
      </x:c>
      <x:c r="F38" s="74" t="n">
        <x:f>SUM(C38:E38)</x:f>
        <x:v>0</x:v>
      </x:c>
      <x:c r="G38" s="73" t="n">
        <x:f>(C38+E38)*'Controls'!$B$16+D38</x:f>
        <x:v>0</x:v>
      </x:c>
      <x:c r="H38" s="73" t="n">
        <x:f>IF(A38&gt;'Controls'!$B$15,(INDEX($C$8:$C$39,A38-'Controls'!$B$15)+INDEX($E$8:$E$39,A38-'Controls'!$B$15))*'Controls'!$B$17,0)</x:f>
        <x:v>0</x:v>
      </x:c>
      <x:c r="I38" s="74" t="n">
        <x:f>G38+H38</x:f>
        <x:v>0</x:v>
      </x:c>
      <x:c r="J38" s="73" t="n">
        <x:f>'Valuations'!I38</x:f>
        <x:v>0</x:v>
      </x:c>
      <x:c r="K38" s="74" t="n">
        <x:f>J38-I38</x:f>
        <x:v>0</x:v>
      </x:c>
      <x:c r="L38" s="74" t="n">
        <x:f>SUM($K$8:K38)</x:f>
        <x:v>1115125.0412934865</x:v>
      </x:c>
      <x:c r="M38" s="74" t="n">
        <x:f>SUM($I$8:I38)</x:f>
        <x:v>25783237.948982358</x:v>
      </x:c>
      <x:c r="N38" s="59"/>
      <x:c r="O38" s="59"/>
      <x:c r="P38" s="59"/>
      <x:c r="Q38" s="59"/>
    </x:row>
    <x:row r="39" ht="23" customHeight="1">
      <x:c r="A39" s="54" t="n">
        <x:v>32</x:v>
      </x:c>
      <x:c r="B39" s="78" t="d">
        <x:v>2029-06-01T00:00:00.000Z</x:v>
      </x:c>
      <x:c r="C39" s="75" t="n">
        <x:f>SUM('Cost accrual'!AI8:AI39)</x:f>
        <x:v>0</x:v>
      </x:c>
      <x:c r="D39" s="75" t="n">
        <x:f>IF(A39&lt;='Controls'!$B$23,'Controls'!$B$9*'Controls'!$B$10/'Controls'!$B$23,0)</x:f>
        <x:v>0</x:v>
      </x:c>
      <x:c r="E39" s="75" t="n">
        <x:f>C39*'Controls'!$B$11</x:f>
        <x:v>0</x:v>
      </x:c>
      <x:c r="F39" s="76" t="n">
        <x:f>SUM(C39:E39)</x:f>
        <x:v>0</x:v>
      </x:c>
      <x:c r="G39" s="75" t="n">
        <x:f>(C39+E39)*'Controls'!$B$16+D39</x:f>
        <x:v>0</x:v>
      </x:c>
      <x:c r="H39" s="75" t="n">
        <x:f>IF(A39&gt;'Controls'!$B$15,(INDEX($C$8:$C$39,A39-'Controls'!$B$15)+INDEX($E$8:$E$39,A39-'Controls'!$B$15))*'Controls'!$B$17,0)</x:f>
        <x:v>0</x:v>
      </x:c>
      <x:c r="I39" s="76" t="n">
        <x:f>G39+H39</x:f>
        <x:v>0</x:v>
      </x:c>
      <x:c r="J39" s="75" t="n">
        <x:f>'Valuations'!I39</x:f>
        <x:v>689701.6151352781</x:v>
      </x:c>
      <x:c r="K39" s="76" t="n">
        <x:f>J39-I39</x:f>
        <x:v>689701.6151352781</x:v>
      </x:c>
      <x:c r="L39" s="76" t="n">
        <x:f>SUM($K$8:K39)</x:f>
        <x:v>1804826.6564287646</x:v>
      </x:c>
      <x:c r="M39" s="76" t="n">
        <x:f>SUM($I$8:I39)</x:f>
        <x:v>25783237.948982358</x:v>
      </x:c>
      <x:c r="N39" s="59"/>
      <x:c r="O39" s="59"/>
      <x:c r="P39" s="59"/>
      <x:c r="Q39" s="5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0" hidden="0" customWidth="1"/>
  </x:cols>
  <x:sheetData>
    <x:row r="2">
      <x:c r="A2" s="48" t="str">
        <x:v>Revolving funding and cash balance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  <x:c r="P3" s="59"/>
      <x:c r="Q3" s="59"/>
    </x:row>
    <x:row r="4">
      <x:c r="A4" s="50" t="str">
        <x:v>Interest uses opening debt. Drawdowns and repayments do not create circular references.</x:v>
      </x:c>
      <x:c r="B4" s="50"/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 s="50"/>
      <x:c r="P4" s="50"/>
      <x:c r="Q4" s="50"/>
    </x:row>
    <x:row r="5">
      <x:c r="A5" s="60"/>
      <x:c r="B5" s="60"/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  <x:c r="O6" s="59"/>
      <x:c r="P6" s="59"/>
      <x:c r="Q6" s="59"/>
    </x:row>
    <x:row r="7" ht="34" customHeight="1">
      <x:c r="A7" s="6" t="str">
        <x:v>Month</x:v>
      </x:c>
      <x:c r="B7" s="6" t="str">
        <x:v>Period</x:v>
      </x:c>
      <x:c r="C7" s="6" t="str">
        <x:v>Opening cash</x:v>
      </x:c>
      <x:c r="D7" s="6" t="str">
        <x:v>Operating cash</x:v>
      </x:c>
      <x:c r="E7" s="6" t="str">
        <x:v>Equity injected</x:v>
      </x:c>
      <x:c r="F7" s="6" t="str">
        <x:v>Opening debt</x:v>
      </x:c>
      <x:c r="G7" s="6" t="str">
        <x:v>Interest paid</x:v>
      </x:c>
      <x:c r="H7" s="6" t="str">
        <x:v>Cash before funding</x:v>
      </x:c>
      <x:c r="I7" s="6" t="str">
        <x:v>Drawdown</x:v>
      </x:c>
      <x:c r="J7" s="6" t="str">
        <x:v>Principal repaid</x:v>
      </x:c>
      <x:c r="K7" s="6" t="str">
        <x:v>Closing debt</x:v>
      </x:c>
      <x:c r="L7" s="6" t="str">
        <x:v>Closing cash</x:v>
      </x:c>
      <x:c r="M7" s="6" t="str">
        <x:v>Facility headroom</x:v>
      </x:c>
      <x:c r="N7" s="6" t="str">
        <x:v>Status</x:v>
      </x:c>
      <x:c r="O7" s="59"/>
      <x:c r="P7" s="59"/>
      <x:c r="Q7" s="59"/>
    </x:row>
    <x:row r="8" ht="23" customHeight="1">
      <x:c r="A8" s="52" t="n">
        <x:v>1</x:v>
      </x:c>
      <x:c r="B8" s="77" t="d">
        <x:v>2026-11-01T00:00:00.000Z</x:v>
      </x:c>
      <x:c r="C8" s="74" t="n">
        <x:f>0</x:f>
        <x:v>0</x:v>
      </x:c>
      <x:c r="D8" s="73" t="n">
        <x:f>'Cashflow'!K8</x:f>
        <x:v>2496120.345494965</x:v>
      </x:c>
      <x:c r="E8" s="73" t="n">
        <x:f>IF(A8=1,'Controls'!$B$18,0)</x:f>
        <x:v>500000</x:v>
      </x:c>
      <x:c r="F8" s="74" t="n">
        <x:f>0</x:f>
        <x:v>0</x:v>
      </x:c>
      <x:c r="G8" s="73" t="n">
        <x:f>F8*'Controls'!$B$20/12</x:f>
        <x:v>0</x:v>
      </x:c>
      <x:c r="H8" s="74" t="n">
        <x:f>C8+D8+E8-G8</x:f>
        <x:v>2996120.345494965</x:v>
      </x:c>
      <x:c r="I8" s="73" t="n">
        <x:f>MAX(0,'Controls'!$B$19-H8)</x:f>
        <x:v>0</x:v>
      </x:c>
      <x:c r="J8" s="73" t="n">
        <x:f>MIN(F8,MAX(0,H8-'Controls'!$B$19))</x:f>
        <x:v>0</x:v>
      </x:c>
      <x:c r="K8" s="74" t="n">
        <x:f>F8+I8-J8</x:f>
        <x:v>0</x:v>
      </x:c>
      <x:c r="L8" s="74" t="n">
        <x:f>H8+I8-J8</x:f>
        <x:v>2996120.345494965</x:v>
      </x:c>
      <x:c r="M8" s="73" t="n">
        <x:f>'Controls'!$B$25-K8</x:f>
        <x:v>5000000</x:v>
      </x:c>
      <x:c r="N8" s="68" t="str">
        <x:f>IF(M8&lt;0,"OVER LIMIT","WITHIN LIMIT")</x:f>
        <x:v>WITHIN LIMIT</x:v>
      </x:c>
      <x:c r="O8" s="59"/>
      <x:c r="P8" s="59"/>
      <x:c r="Q8" s="59"/>
    </x:row>
    <x:row r="9" ht="23" customHeight="1">
      <x:c r="A9" s="54" t="n">
        <x:v>2</x:v>
      </x:c>
      <x:c r="B9" s="78" t="d">
        <x:v>2026-12-01T00:00:00.000Z</x:v>
      </x:c>
      <x:c r="C9" s="76" t="n">
        <x:f>L8</x:f>
        <x:v>2996120.345494965</x:v>
      </x:c>
      <x:c r="D9" s="75" t="n">
        <x:f>'Cashflow'!K9</x:f>
        <x:v>-617363.4718461472</x:v>
      </x:c>
      <x:c r="E9" s="75" t="n">
        <x:f>IF(A9=1,'Controls'!$B$18,0)</x:f>
        <x:v>0</x:v>
      </x:c>
      <x:c r="F9" s="76" t="n">
        <x:f>K8</x:f>
        <x:v>0</x:v>
      </x:c>
      <x:c r="G9" s="75" t="n">
        <x:f>F9*'Controls'!$B$20/12</x:f>
        <x:v>0</x:v>
      </x:c>
      <x:c r="H9" s="76" t="n">
        <x:f>C9+D9+E9-G9</x:f>
        <x:v>2378756.8736488177</x:v>
      </x:c>
      <x:c r="I9" s="75" t="n">
        <x:f>MAX(0,'Controls'!$B$19-H9)</x:f>
        <x:v>0</x:v>
      </x:c>
      <x:c r="J9" s="75" t="n">
        <x:f>MIN(F9,MAX(0,H9-'Controls'!$B$19))</x:f>
        <x:v>0</x:v>
      </x:c>
      <x:c r="K9" s="76" t="n">
        <x:f>F9+I9-J9</x:f>
        <x:v>0</x:v>
      </x:c>
      <x:c r="L9" s="76" t="n">
        <x:f>H9+I9-J9</x:f>
        <x:v>2378756.8736488177</x:v>
      </x:c>
      <x:c r="M9" s="75" t="n">
        <x:f>'Controls'!$B$25-K9</x:f>
        <x:v>5000000</x:v>
      </x:c>
      <x:c r="N9" s="71" t="str">
        <x:f>IF(M9&lt;0,"OVER LIMIT","WITHIN LIMIT")</x:f>
        <x:v>WITHIN LIMIT</x:v>
      </x:c>
      <x:c r="O9" s="59"/>
      <x:c r="P9" s="59"/>
      <x:c r="Q9" s="59"/>
    </x:row>
    <x:row r="10" ht="23" customHeight="1">
      <x:c r="A10" s="52" t="n">
        <x:v>3</x:v>
      </x:c>
      <x:c r="B10" s="77" t="d">
        <x:v>2027-01-01T00:00:00.000Z</x:v>
      </x:c>
      <x:c r="C10" s="74" t="n">
        <x:f>L9</x:f>
        <x:v>2378756.8736488177</x:v>
      </x:c>
      <x:c r="D10" s="73" t="n">
        <x:f>'Cashflow'!K10</x:f>
        <x:v>-465978.2641136989</x:v>
      </x:c>
      <x:c r="E10" s="73" t="n">
        <x:f>IF(A10=1,'Controls'!$B$18,0)</x:f>
        <x:v>0</x:v>
      </x:c>
      <x:c r="F10" s="74" t="n">
        <x:f>K9</x:f>
        <x:v>0</x:v>
      </x:c>
      <x:c r="G10" s="73" t="n">
        <x:f>F10*'Controls'!$B$20/12</x:f>
        <x:v>0</x:v>
      </x:c>
      <x:c r="H10" s="74" t="n">
        <x:f>C10+D10+E10-G10</x:f>
        <x:v>1912778.6095351188</x:v>
      </x:c>
      <x:c r="I10" s="73" t="n">
        <x:f>MAX(0,'Controls'!$B$19-H10)</x:f>
        <x:v>0</x:v>
      </x:c>
      <x:c r="J10" s="73" t="n">
        <x:f>MIN(F10,MAX(0,H10-'Controls'!$B$19))</x:f>
        <x:v>0</x:v>
      </x:c>
      <x:c r="K10" s="74" t="n">
        <x:f>F10+I10-J10</x:f>
        <x:v>0</x:v>
      </x:c>
      <x:c r="L10" s="74" t="n">
        <x:f>H10+I10-J10</x:f>
        <x:v>1912778.6095351188</x:v>
      </x:c>
      <x:c r="M10" s="73" t="n">
        <x:f>'Controls'!$B$25-K10</x:f>
        <x:v>5000000</x:v>
      </x:c>
      <x:c r="N10" s="68" t="str">
        <x:f>IF(M10&lt;0,"OVER LIMIT","WITHIN LIMIT")</x:f>
        <x:v>WITHIN LIMIT</x:v>
      </x:c>
      <x:c r="O10" s="59"/>
      <x:c r="P10" s="59"/>
      <x:c r="Q10" s="59"/>
    </x:row>
    <x:row r="11" ht="23" customHeight="1">
      <x:c r="A11" s="54" t="n">
        <x:v>4</x:v>
      </x:c>
      <x:c r="B11" s="78" t="d">
        <x:v>2027-02-01T00:00:00.000Z</x:v>
      </x:c>
      <x:c r="C11" s="76" t="n">
        <x:f>L10</x:f>
        <x:v>1912778.6095351188</x:v>
      </x:c>
      <x:c r="D11" s="75" t="n">
        <x:f>'Cashflow'!K11</x:f>
        <x:v>-949399.5803702874</x:v>
      </x:c>
      <x:c r="E11" s="75" t="n">
        <x:f>IF(A11=1,'Controls'!$B$18,0)</x:f>
        <x:v>0</x:v>
      </x:c>
      <x:c r="F11" s="76" t="n">
        <x:f>K10</x:f>
        <x:v>0</x:v>
      </x:c>
      <x:c r="G11" s="75" t="n">
        <x:f>F11*'Controls'!$B$20/12</x:f>
        <x:v>0</x:v>
      </x:c>
      <x:c r="H11" s="76" t="n">
        <x:f>C11+D11+E11-G11</x:f>
        <x:v>963379.0291648314</x:v>
      </x:c>
      <x:c r="I11" s="75" t="n">
        <x:f>MAX(0,'Controls'!$B$19-H11)</x:f>
        <x:v>0</x:v>
      </x:c>
      <x:c r="J11" s="75" t="n">
        <x:f>MIN(F11,MAX(0,H11-'Controls'!$B$19))</x:f>
        <x:v>0</x:v>
      </x:c>
      <x:c r="K11" s="76" t="n">
        <x:f>F11+I11-J11</x:f>
        <x:v>0</x:v>
      </x:c>
      <x:c r="L11" s="76" t="n">
        <x:f>H11+I11-J11</x:f>
        <x:v>963379.0291648314</x:v>
      </x:c>
      <x:c r="M11" s="75" t="n">
        <x:f>'Controls'!$B$25-K11</x:f>
        <x:v>5000000</x:v>
      </x:c>
      <x:c r="N11" s="71" t="str">
        <x:f>IF(M11&lt;0,"OVER LIMIT","WITHIN LIMIT")</x:f>
        <x:v>WITHIN LIMIT</x:v>
      </x:c>
      <x:c r="O11" s="59"/>
      <x:c r="P11" s="59"/>
      <x:c r="Q11" s="59"/>
    </x:row>
    <x:row r="12" ht="23" customHeight="1">
      <x:c r="A12" s="52" t="n">
        <x:v>5</x:v>
      </x:c>
      <x:c r="B12" s="77" t="d">
        <x:v>2027-03-01T00:00:00.000Z</x:v>
      </x:c>
      <x:c r="C12" s="74" t="n">
        <x:f>L11</x:f>
        <x:v>963379.0291648314</x:v>
      </x:c>
      <x:c r="D12" s="73" t="n">
        <x:f>'Cashflow'!K12</x:f>
        <x:v>281196.35399251664</x:v>
      </x:c>
      <x:c r="E12" s="73" t="n">
        <x:f>IF(A12=1,'Controls'!$B$18,0)</x:f>
        <x:v>0</x:v>
      </x:c>
      <x:c r="F12" s="74" t="n">
        <x:f>K11</x:f>
        <x:v>0</x:v>
      </x:c>
      <x:c r="G12" s="73" t="n">
        <x:f>F12*'Controls'!$B$20/12</x:f>
        <x:v>0</x:v>
      </x:c>
      <x:c r="H12" s="74" t="n">
        <x:f>C12+D12+E12-G12</x:f>
        <x:v>1244575.383157348</x:v>
      </x:c>
      <x:c r="I12" s="73" t="n">
        <x:f>MAX(0,'Controls'!$B$19-H12)</x:f>
        <x:v>0</x:v>
      </x:c>
      <x:c r="J12" s="73" t="n">
        <x:f>MIN(F12,MAX(0,H12-'Controls'!$B$19))</x:f>
        <x:v>0</x:v>
      </x:c>
      <x:c r="K12" s="74" t="n">
        <x:f>F12+I12-J12</x:f>
        <x:v>0</x:v>
      </x:c>
      <x:c r="L12" s="74" t="n">
        <x:f>H12+I12-J12</x:f>
        <x:v>1244575.383157348</x:v>
      </x:c>
      <x:c r="M12" s="73" t="n">
        <x:f>'Controls'!$B$25-K12</x:f>
        <x:v>5000000</x:v>
      </x:c>
      <x:c r="N12" s="68" t="str">
        <x:f>IF(M12&lt;0,"OVER LIMIT","WITHIN LIMIT")</x:f>
        <x:v>WITHIN LIMIT</x:v>
      </x:c>
      <x:c r="O12" s="59"/>
      <x:c r="P12" s="59"/>
      <x:c r="Q12" s="59"/>
    </x:row>
    <x:row r="13" ht="23" customHeight="1">
      <x:c r="A13" s="54" t="n">
        <x:v>6</x:v>
      </x:c>
      <x:c r="B13" s="78" t="d">
        <x:v>2027-04-01T00:00:00.000Z</x:v>
      </x:c>
      <x:c r="C13" s="76" t="n">
        <x:f>L12</x:f>
        <x:v>1244575.383157348</x:v>
      </x:c>
      <x:c r="D13" s="75" t="n">
        <x:f>'Cashflow'!K13</x:f>
        <x:v>-423891.5644329486</x:v>
      </x:c>
      <x:c r="E13" s="75" t="n">
        <x:f>IF(A13=1,'Controls'!$B$18,0)</x:f>
        <x:v>0</x:v>
      </x:c>
      <x:c r="F13" s="76" t="n">
        <x:f>K12</x:f>
        <x:v>0</x:v>
      </x:c>
      <x:c r="G13" s="75" t="n">
        <x:f>F13*'Controls'!$B$20/12</x:f>
        <x:v>0</x:v>
      </x:c>
      <x:c r="H13" s="76" t="n">
        <x:f>C13+D13+E13-G13</x:f>
        <x:v>820683.8187243994</x:v>
      </x:c>
      <x:c r="I13" s="75" t="n">
        <x:f>MAX(0,'Controls'!$B$19-H13)</x:f>
        <x:v>0</x:v>
      </x:c>
      <x:c r="J13" s="75" t="n">
        <x:f>MIN(F13,MAX(0,H13-'Controls'!$B$19))</x:f>
        <x:v>0</x:v>
      </x:c>
      <x:c r="K13" s="76" t="n">
        <x:f>F13+I13-J13</x:f>
        <x:v>0</x:v>
      </x:c>
      <x:c r="L13" s="76" t="n">
        <x:f>H13+I13-J13</x:f>
        <x:v>820683.8187243994</x:v>
      </x:c>
      <x:c r="M13" s="75" t="n">
        <x:f>'Controls'!$B$25-K13</x:f>
        <x:v>5000000</x:v>
      </x:c>
      <x:c r="N13" s="71" t="str">
        <x:f>IF(M13&lt;0,"OVER LIMIT","WITHIN LIMIT")</x:f>
        <x:v>WITHIN LIMIT</x:v>
      </x:c>
      <x:c r="O13" s="59"/>
      <x:c r="P13" s="59"/>
      <x:c r="Q13" s="59"/>
    </x:row>
    <x:row r="14" ht="23" customHeight="1">
      <x:c r="A14" s="52" t="n">
        <x:v>7</x:v>
      </x:c>
      <x:c r="B14" s="77" t="d">
        <x:v>2027-05-01T00:00:00.000Z</x:v>
      </x:c>
      <x:c r="C14" s="74" t="n">
        <x:f>L13</x:f>
        <x:v>820683.8187243994</x:v>
      </x:c>
      <x:c r="D14" s="73" t="n">
        <x:f>'Cashflow'!K14</x:f>
        <x:v>-245256.6947157567</x:v>
      </x:c>
      <x:c r="E14" s="73" t="n">
        <x:f>IF(A14=1,'Controls'!$B$18,0)</x:f>
        <x:v>0</x:v>
      </x:c>
      <x:c r="F14" s="74" t="n">
        <x:f>K13</x:f>
        <x:v>0</x:v>
      </x:c>
      <x:c r="G14" s="73" t="n">
        <x:f>F14*'Controls'!$B$20/12</x:f>
        <x:v>0</x:v>
      </x:c>
      <x:c r="H14" s="74" t="n">
        <x:f>C14+D14+E14-G14</x:f>
        <x:v>575427.1240086427</x:v>
      </x:c>
      <x:c r="I14" s="73" t="n">
        <x:f>MAX(0,'Controls'!$B$19-H14)</x:f>
        <x:v>0</x:v>
      </x:c>
      <x:c r="J14" s="73" t="n">
        <x:f>MIN(F14,MAX(0,H14-'Controls'!$B$19))</x:f>
        <x:v>0</x:v>
      </x:c>
      <x:c r="K14" s="74" t="n">
        <x:f>F14+I14-J14</x:f>
        <x:v>0</x:v>
      </x:c>
      <x:c r="L14" s="74" t="n">
        <x:f>H14+I14-J14</x:f>
        <x:v>575427.1240086427</x:v>
      </x:c>
      <x:c r="M14" s="73" t="n">
        <x:f>'Controls'!$B$25-K14</x:f>
        <x:v>5000000</x:v>
      </x:c>
      <x:c r="N14" s="68" t="str">
        <x:f>IF(M14&lt;0,"OVER LIMIT","WITHIN LIMIT")</x:f>
        <x:v>WITHIN LIMIT</x:v>
      </x:c>
      <x:c r="O14" s="59"/>
      <x:c r="P14" s="59"/>
      <x:c r="Q14" s="59"/>
    </x:row>
    <x:row r="15" ht="23" customHeight="1">
      <x:c r="A15" s="54" t="n">
        <x:v>8</x:v>
      </x:c>
      <x:c r="B15" s="78" t="d">
        <x:v>2027-06-01T00:00:00.000Z</x:v>
      </x:c>
      <x:c r="C15" s="76" t="n">
        <x:f>L14</x:f>
        <x:v>575427.1240086427</x:v>
      </x:c>
      <x:c r="D15" s="75" t="n">
        <x:f>'Cashflow'!K15</x:f>
        <x:v>334251.3242971366</x:v>
      </x:c>
      <x:c r="E15" s="75" t="n">
        <x:f>IF(A15=1,'Controls'!$B$18,0)</x:f>
        <x:v>0</x:v>
      </x:c>
      <x:c r="F15" s="76" t="n">
        <x:f>K14</x:f>
        <x:v>0</x:v>
      </x:c>
      <x:c r="G15" s="75" t="n">
        <x:f>F15*'Controls'!$B$20/12</x:f>
        <x:v>0</x:v>
      </x:c>
      <x:c r="H15" s="76" t="n">
        <x:f>C15+D15+E15-G15</x:f>
        <x:v>909678.4483057794</x:v>
      </x:c>
      <x:c r="I15" s="75" t="n">
        <x:f>MAX(0,'Controls'!$B$19-H15)</x:f>
        <x:v>0</x:v>
      </x:c>
      <x:c r="J15" s="75" t="n">
        <x:f>MIN(F15,MAX(0,H15-'Controls'!$B$19))</x:f>
        <x:v>0</x:v>
      </x:c>
      <x:c r="K15" s="76" t="n">
        <x:f>F15+I15-J15</x:f>
        <x:v>0</x:v>
      </x:c>
      <x:c r="L15" s="76" t="n">
        <x:f>H15+I15-J15</x:f>
        <x:v>909678.4483057794</x:v>
      </x:c>
      <x:c r="M15" s="75" t="n">
        <x:f>'Controls'!$B$25-K15</x:f>
        <x:v>5000000</x:v>
      </x:c>
      <x:c r="N15" s="71" t="str">
        <x:f>IF(M15&lt;0,"OVER LIMIT","WITHIN LIMIT")</x:f>
        <x:v>WITHIN LIMIT</x:v>
      </x:c>
      <x:c r="O15" s="59"/>
      <x:c r="P15" s="59"/>
      <x:c r="Q15" s="59"/>
    </x:row>
    <x:row r="16" ht="23" customHeight="1">
      <x:c r="A16" s="52" t="n">
        <x:v>9</x:v>
      </x:c>
      <x:c r="B16" s="77" t="d">
        <x:v>2027-07-01T00:00:00.000Z</x:v>
      </x:c>
      <x:c r="C16" s="74" t="n">
        <x:f>L15</x:f>
        <x:v>909678.4483057794</x:v>
      </x:c>
      <x:c r="D16" s="73" t="n">
        <x:f>'Cashflow'!K16</x:f>
        <x:v>70838.82609552122</x:v>
      </x:c>
      <x:c r="E16" s="73" t="n">
        <x:f>IF(A16=1,'Controls'!$B$18,0)</x:f>
        <x:v>0</x:v>
      </x:c>
      <x:c r="F16" s="74" t="n">
        <x:f>K15</x:f>
        <x:v>0</x:v>
      </x:c>
      <x:c r="G16" s="73" t="n">
        <x:f>F16*'Controls'!$B$20/12</x:f>
        <x:v>0</x:v>
      </x:c>
      <x:c r="H16" s="74" t="n">
        <x:f>C16+D16+E16-G16</x:f>
        <x:v>980517.2744013006</x:v>
      </x:c>
      <x:c r="I16" s="73" t="n">
        <x:f>MAX(0,'Controls'!$B$19-H16)</x:f>
        <x:v>0</x:v>
      </x:c>
      <x:c r="J16" s="73" t="n">
        <x:f>MIN(F16,MAX(0,H16-'Controls'!$B$19))</x:f>
        <x:v>0</x:v>
      </x:c>
      <x:c r="K16" s="74" t="n">
        <x:f>F16+I16-J16</x:f>
        <x:v>0</x:v>
      </x:c>
      <x:c r="L16" s="74" t="n">
        <x:f>H16+I16-J16</x:f>
        <x:v>980517.2744013006</x:v>
      </x:c>
      <x:c r="M16" s="73" t="n">
        <x:f>'Controls'!$B$25-K16</x:f>
        <x:v>5000000</x:v>
      </x:c>
      <x:c r="N16" s="68" t="str">
        <x:f>IF(M16&lt;0,"OVER LIMIT","WITHIN LIMIT")</x:f>
        <x:v>WITHIN LIMIT</x:v>
      </x:c>
      <x:c r="O16" s="59"/>
      <x:c r="P16" s="59"/>
      <x:c r="Q16" s="59"/>
    </x:row>
    <x:row r="17" ht="23" customHeight="1">
      <x:c r="A17" s="54" t="n">
        <x:v>10</x:v>
      </x:c>
      <x:c r="B17" s="78" t="d">
        <x:v>2027-08-01T00:00:00.000Z</x:v>
      </x:c>
      <x:c r="C17" s="76" t="n">
        <x:f>L16</x:f>
        <x:v>980517.2744013006</x:v>
      </x:c>
      <x:c r="D17" s="75" t="n">
        <x:f>'Cashflow'!K17</x:f>
        <x:v>-55256.960501594236</x:v>
      </x:c>
      <x:c r="E17" s="75" t="n">
        <x:f>IF(A17=1,'Controls'!$B$18,0)</x:f>
        <x:v>0</x:v>
      </x:c>
      <x:c r="F17" s="76" t="n">
        <x:f>K16</x:f>
        <x:v>0</x:v>
      </x:c>
      <x:c r="G17" s="75" t="n">
        <x:f>F17*'Controls'!$B$20/12</x:f>
        <x:v>0</x:v>
      </x:c>
      <x:c r="H17" s="76" t="n">
        <x:f>C17+D17+E17-G17</x:f>
        <x:v>925260.3138997064</x:v>
      </x:c>
      <x:c r="I17" s="75" t="n">
        <x:f>MAX(0,'Controls'!$B$19-H17)</x:f>
        <x:v>0</x:v>
      </x:c>
      <x:c r="J17" s="75" t="n">
        <x:f>MIN(F17,MAX(0,H17-'Controls'!$B$19))</x:f>
        <x:v>0</x:v>
      </x:c>
      <x:c r="K17" s="76" t="n">
        <x:f>F17+I17-J17</x:f>
        <x:v>0</x:v>
      </x:c>
      <x:c r="L17" s="76" t="n">
        <x:f>H17+I17-J17</x:f>
        <x:v>925260.3138997064</x:v>
      </x:c>
      <x:c r="M17" s="75" t="n">
        <x:f>'Controls'!$B$25-K17</x:f>
        <x:v>5000000</x:v>
      </x:c>
      <x:c r="N17" s="71" t="str">
        <x:f>IF(M17&lt;0,"OVER LIMIT","WITHIN LIMIT")</x:f>
        <x:v>WITHIN LIMIT</x:v>
      </x:c>
      <x:c r="O17" s="59"/>
      <x:c r="P17" s="59"/>
      <x:c r="Q17" s="59"/>
    </x:row>
    <x:row r="18" ht="23" customHeight="1">
      <x:c r="A18" s="52" t="n">
        <x:v>11</x:v>
      </x:c>
      <x:c r="B18" s="77" t="d">
        <x:v>2027-09-01T00:00:00.000Z</x:v>
      </x:c>
      <x:c r="C18" s="74" t="n">
        <x:f>L17</x:f>
        <x:v>925260.3138997064</x:v>
      </x:c>
      <x:c r="D18" s="73" t="n">
        <x:f>'Cashflow'!K18</x:f>
        <x:v>51309.95172848995</x:v>
      </x:c>
      <x:c r="E18" s="73" t="n">
        <x:f>IF(A18=1,'Controls'!$B$18,0)</x:f>
        <x:v>0</x:v>
      </x:c>
      <x:c r="F18" s="74" t="n">
        <x:f>K17</x:f>
        <x:v>0</x:v>
      </x:c>
      <x:c r="G18" s="73" t="n">
        <x:f>F18*'Controls'!$B$20/12</x:f>
        <x:v>0</x:v>
      </x:c>
      <x:c r="H18" s="74" t="n">
        <x:f>C18+D18+E18-G18</x:f>
        <x:v>976570.2656281963</x:v>
      </x:c>
      <x:c r="I18" s="73" t="n">
        <x:f>MAX(0,'Controls'!$B$19-H18)</x:f>
        <x:v>0</x:v>
      </x:c>
      <x:c r="J18" s="73" t="n">
        <x:f>MIN(F18,MAX(0,H18-'Controls'!$B$19))</x:f>
        <x:v>0</x:v>
      </x:c>
      <x:c r="K18" s="74" t="n">
        <x:f>F18+I18-J18</x:f>
        <x:v>0</x:v>
      </x:c>
      <x:c r="L18" s="74" t="n">
        <x:f>H18+I18-J18</x:f>
        <x:v>976570.2656281963</x:v>
      </x:c>
      <x:c r="M18" s="73" t="n">
        <x:f>'Controls'!$B$25-K18</x:f>
        <x:v>5000000</x:v>
      </x:c>
      <x:c r="N18" s="68" t="str">
        <x:f>IF(M18&lt;0,"OVER LIMIT","WITHIN LIMIT")</x:f>
        <x:v>WITHIN LIMIT</x:v>
      </x:c>
      <x:c r="O18" s="59"/>
      <x:c r="P18" s="59"/>
      <x:c r="Q18" s="59"/>
    </x:row>
    <x:row r="19" ht="23" customHeight="1">
      <x:c r="A19" s="54" t="n">
        <x:v>12</x:v>
      </x:c>
      <x:c r="B19" s="78" t="d">
        <x:v>2027-10-01T00:00:00.000Z</x:v>
      </x:c>
      <x:c r="C19" s="76" t="n">
        <x:f>L18</x:f>
        <x:v>976570.2656281963</x:v>
      </x:c>
      <x:c r="D19" s="75" t="n">
        <x:f>'Cashflow'!K19</x:f>
        <x:v>-119743.92733872589</x:v>
      </x:c>
      <x:c r="E19" s="75" t="n">
        <x:f>IF(A19=1,'Controls'!$B$18,0)</x:f>
        <x:v>0</x:v>
      </x:c>
      <x:c r="F19" s="76" t="n">
        <x:f>K18</x:f>
        <x:v>0</x:v>
      </x:c>
      <x:c r="G19" s="75" t="n">
        <x:f>F19*'Controls'!$B$20/12</x:f>
        <x:v>0</x:v>
      </x:c>
      <x:c r="H19" s="76" t="n">
        <x:f>C19+D19+E19-G19</x:f>
        <x:v>856826.3382894704</x:v>
      </x:c>
      <x:c r="I19" s="75" t="n">
        <x:f>MAX(0,'Controls'!$B$19-H19)</x:f>
        <x:v>0</x:v>
      </x:c>
      <x:c r="J19" s="75" t="n">
        <x:f>MIN(F19,MAX(0,H19-'Controls'!$B$19))</x:f>
        <x:v>0</x:v>
      </x:c>
      <x:c r="K19" s="76" t="n">
        <x:f>F19+I19-J19</x:f>
        <x:v>0</x:v>
      </x:c>
      <x:c r="L19" s="76" t="n">
        <x:f>H19+I19-J19</x:f>
        <x:v>856826.3382894704</x:v>
      </x:c>
      <x:c r="M19" s="75" t="n">
        <x:f>'Controls'!$B$25-K19</x:f>
        <x:v>5000000</x:v>
      </x:c>
      <x:c r="N19" s="71" t="str">
        <x:f>IF(M19&lt;0,"OVER LIMIT","WITHIN LIMIT")</x:f>
        <x:v>WITHIN LIMIT</x:v>
      </x:c>
      <x:c r="O19" s="59"/>
      <x:c r="P19" s="59"/>
      <x:c r="Q19" s="59"/>
    </x:row>
    <x:row r="20" ht="23" customHeight="1">
      <x:c r="A20" s="52" t="n">
        <x:v>13</x:v>
      </x:c>
      <x:c r="B20" s="77" t="d">
        <x:v>2027-11-01T00:00:00.000Z</x:v>
      </x:c>
      <x:c r="C20" s="74" t="n">
        <x:f>L19</x:f>
        <x:v>856826.3382894704</x:v>
      </x:c>
      <x:c r="D20" s="73" t="n">
        <x:f>'Cashflow'!K20</x:f>
        <x:v>-574004.7617666691</x:v>
      </x:c>
      <x:c r="E20" s="73" t="n">
        <x:f>IF(A20=1,'Controls'!$B$18,0)</x:f>
        <x:v>0</x:v>
      </x:c>
      <x:c r="F20" s="74" t="n">
        <x:f>K19</x:f>
        <x:v>0</x:v>
      </x:c>
      <x:c r="G20" s="73" t="n">
        <x:f>F20*'Controls'!$B$20/12</x:f>
        <x:v>0</x:v>
      </x:c>
      <x:c r="H20" s="74" t="n">
        <x:f>C20+D20+E20-G20</x:f>
        <x:v>282821.5765228013</x:v>
      </x:c>
      <x:c r="I20" s="73" t="n">
        <x:f>MAX(0,'Controls'!$B$19-H20)</x:f>
        <x:v>0</x:v>
      </x:c>
      <x:c r="J20" s="73" t="n">
        <x:f>MIN(F20,MAX(0,H20-'Controls'!$B$19))</x:f>
        <x:v>0</x:v>
      </x:c>
      <x:c r="K20" s="74" t="n">
        <x:f>F20+I20-J20</x:f>
        <x:v>0</x:v>
      </x:c>
      <x:c r="L20" s="74" t="n">
        <x:f>H20+I20-J20</x:f>
        <x:v>282821.5765228013</x:v>
      </x:c>
      <x:c r="M20" s="73" t="n">
        <x:f>'Controls'!$B$25-K20</x:f>
        <x:v>5000000</x:v>
      </x:c>
      <x:c r="N20" s="68" t="str">
        <x:f>IF(M20&lt;0,"OVER LIMIT","WITHIN LIMIT")</x:f>
        <x:v>WITHIN LIMIT</x:v>
      </x:c>
      <x:c r="O20" s="59"/>
      <x:c r="P20" s="59"/>
      <x:c r="Q20" s="59"/>
    </x:row>
    <x:row r="21" ht="23" customHeight="1">
      <x:c r="A21" s="54" t="n">
        <x:v>14</x:v>
      </x:c>
      <x:c r="B21" s="78" t="d">
        <x:v>2027-12-01T00:00:00.000Z</x:v>
      </x:c>
      <x:c r="C21" s="76" t="n">
        <x:f>L20</x:f>
        <x:v>282821.5765228013</x:v>
      </x:c>
      <x:c r="D21" s="75" t="n">
        <x:f>'Cashflow'!K21</x:f>
        <x:v>-306705.28416072764</x:v>
      </x:c>
      <x:c r="E21" s="75" t="n">
        <x:f>IF(A21=1,'Controls'!$B$18,0)</x:f>
        <x:v>0</x:v>
      </x:c>
      <x:c r="F21" s="76" t="n">
        <x:f>K20</x:f>
        <x:v>0</x:v>
      </x:c>
      <x:c r="G21" s="75" t="n">
        <x:f>F21*'Controls'!$B$20/12</x:f>
        <x:v>0</x:v>
      </x:c>
      <x:c r="H21" s="76" t="n">
        <x:f>C21+D21+E21-G21</x:f>
        <x:v>-23883.70763792633</x:v>
      </x:c>
      <x:c r="I21" s="75" t="n">
        <x:f>MAX(0,'Controls'!$B$19-H21)</x:f>
        <x:v>273883.70763792633</x:v>
      </x:c>
      <x:c r="J21" s="75" t="n">
        <x:f>MIN(F21,MAX(0,H21-'Controls'!$B$19))</x:f>
        <x:v>0</x:v>
      </x:c>
      <x:c r="K21" s="76" t="n">
        <x:f>F21+I21-J21</x:f>
        <x:v>273883.70763792633</x:v>
      </x:c>
      <x:c r="L21" s="76" t="n">
        <x:f>H21+I21-J21</x:f>
        <x:v>250000</x:v>
      </x:c>
      <x:c r="M21" s="75" t="n">
        <x:f>'Controls'!$B$25-K21</x:f>
        <x:v>4726116.292362073</x:v>
      </x:c>
      <x:c r="N21" s="71" t="str">
        <x:f>IF(M21&lt;0,"OVER LIMIT","WITHIN LIMIT")</x:f>
        <x:v>WITHIN LIMIT</x:v>
      </x:c>
      <x:c r="O21" s="59"/>
      <x:c r="P21" s="59"/>
      <x:c r="Q21" s="59"/>
    </x:row>
    <x:row r="22" ht="23" customHeight="1">
      <x:c r="A22" s="52" t="n">
        <x:v>15</x:v>
      </x:c>
      <x:c r="B22" s="77" t="d">
        <x:v>2028-01-01T00:00:00.000Z</x:v>
      </x:c>
      <x:c r="C22" s="74" t="n">
        <x:f>L21</x:f>
        <x:v>250000</x:v>
      </x:c>
      <x:c r="D22" s="73" t="n">
        <x:f>'Cashflow'!K22</x:f>
        <x:v>17995.161608499242</x:v>
      </x:c>
      <x:c r="E22" s="73" t="n">
        <x:f>IF(A22=1,'Controls'!$B$18,0)</x:f>
        <x:v>0</x:v>
      </x:c>
      <x:c r="F22" s="74" t="n">
        <x:f>K21</x:f>
        <x:v>273883.70763792633</x:v>
      </x:c>
      <x:c r="G22" s="73" t="n">
        <x:f>F22*'Controls'!$B$20/12</x:f>
        <x:v>2738.837076379263</x:v>
      </x:c>
      <x:c r="H22" s="74" t="n">
        <x:f>C22+D22+E22-G22</x:f>
        <x:v>265256.32453211996</x:v>
      </x:c>
      <x:c r="I22" s="73" t="n">
        <x:f>MAX(0,'Controls'!$B$19-H22)</x:f>
        <x:v>0</x:v>
      </x:c>
      <x:c r="J22" s="73" t="n">
        <x:f>MIN(F22,MAX(0,H22-'Controls'!$B$19))</x:f>
        <x:v>15256.324532119965</x:v>
      </x:c>
      <x:c r="K22" s="74" t="n">
        <x:f>F22+I22-J22</x:f>
        <x:v>258627.38310580637</x:v>
      </x:c>
      <x:c r="L22" s="74" t="n">
        <x:f>H22+I22-J22</x:f>
        <x:v>250000</x:v>
      </x:c>
      <x:c r="M22" s="73" t="n">
        <x:f>'Controls'!$B$25-K22</x:f>
        <x:v>4741372.616894194</x:v>
      </x:c>
      <x:c r="N22" s="68" t="str">
        <x:f>IF(M22&lt;0,"OVER LIMIT","WITHIN LIMIT")</x:f>
        <x:v>WITHIN LIMIT</x:v>
      </x:c>
      <x:c r="O22" s="59"/>
      <x:c r="P22" s="59"/>
      <x:c r="Q22" s="59"/>
    </x:row>
    <x:row r="23" ht="23" customHeight="1">
      <x:c r="A23" s="54" t="n">
        <x:v>16</x:v>
      </x:c>
      <x:c r="B23" s="78" t="d">
        <x:v>2028-02-01T00:00:00.000Z</x:v>
      </x:c>
      <x:c r="C23" s="76" t="n">
        <x:f>L22</x:f>
        <x:v>250000</x:v>
      </x:c>
      <x:c r="D23" s="75" t="n">
        <x:f>'Cashflow'!K23</x:f>
        <x:v>-250892.84789907234</x:v>
      </x:c>
      <x:c r="E23" s="75" t="n">
        <x:f>IF(A23=1,'Controls'!$B$18,0)</x:f>
        <x:v>0</x:v>
      </x:c>
      <x:c r="F23" s="76" t="n">
        <x:f>K22</x:f>
        <x:v>258627.38310580637</x:v>
      </x:c>
      <x:c r="G23" s="75" t="n">
        <x:f>F23*'Controls'!$B$20/12</x:f>
        <x:v>2586.2738310580635</x:v>
      </x:c>
      <x:c r="H23" s="76" t="n">
        <x:f>C23+D23+E23-G23</x:f>
        <x:v>-3479.1217301304014</x:v>
      </x:c>
      <x:c r="I23" s="75" t="n">
        <x:f>MAX(0,'Controls'!$B$19-H23)</x:f>
        <x:v>253479.1217301304</x:v>
      </x:c>
      <x:c r="J23" s="75" t="n">
        <x:f>MIN(F23,MAX(0,H23-'Controls'!$B$19))</x:f>
        <x:v>0</x:v>
      </x:c>
      <x:c r="K23" s="76" t="n">
        <x:f>F23+I23-J23</x:f>
        <x:v>512106.50483593676</x:v>
      </x:c>
      <x:c r="L23" s="76" t="n">
        <x:f>H23+I23-J23</x:f>
        <x:v>250000</x:v>
      </x:c>
      <x:c r="M23" s="75" t="n">
        <x:f>'Controls'!$B$25-K23</x:f>
        <x:v>4487893.495164063</x:v>
      </x:c>
      <x:c r="N23" s="71" t="str">
        <x:f>IF(M23&lt;0,"OVER LIMIT","WITHIN LIMIT")</x:f>
        <x:v>WITHIN LIMIT</x:v>
      </x:c>
      <x:c r="O23" s="59"/>
      <x:c r="P23" s="59"/>
      <x:c r="Q23" s="59"/>
    </x:row>
    <x:row r="24" ht="23" customHeight="1">
      <x:c r="A24" s="52" t="n">
        <x:v>17</x:v>
      </x:c>
      <x:c r="B24" s="77" t="d">
        <x:v>2028-03-01T00:00:00.000Z</x:v>
      </x:c>
      <x:c r="C24" s="74" t="n">
        <x:f>L23</x:f>
        <x:v>250000</x:v>
      </x:c>
      <x:c r="D24" s="73" t="n">
        <x:f>'Cashflow'!K24</x:f>
        <x:v>68405.0628531652</x:v>
      </x:c>
      <x:c r="E24" s="73" t="n">
        <x:f>IF(A24=1,'Controls'!$B$18,0)</x:f>
        <x:v>0</x:v>
      </x:c>
      <x:c r="F24" s="74" t="n">
        <x:f>K23</x:f>
        <x:v>512106.50483593676</x:v>
      </x:c>
      <x:c r="G24" s="73" t="n">
        <x:f>F24*'Controls'!$B$20/12</x:f>
        <x:v>5121.065048359367</x:v>
      </x:c>
      <x:c r="H24" s="74" t="n">
        <x:f>C24+D24+E24-G24</x:f>
        <x:v>313283.9978048058</x:v>
      </x:c>
      <x:c r="I24" s="73" t="n">
        <x:f>MAX(0,'Controls'!$B$19-H24)</x:f>
        <x:v>0</x:v>
      </x:c>
      <x:c r="J24" s="73" t="n">
        <x:f>MIN(F24,MAX(0,H24-'Controls'!$B$19))</x:f>
        <x:v>63283.99780480581</x:v>
      </x:c>
      <x:c r="K24" s="74" t="n">
        <x:f>F24+I24-J24</x:f>
        <x:v>448822.50703113095</x:v>
      </x:c>
      <x:c r="L24" s="74" t="n">
        <x:f>H24+I24-J24</x:f>
        <x:v>250000</x:v>
      </x:c>
      <x:c r="M24" s="73" t="n">
        <x:f>'Controls'!$B$25-K24</x:f>
        <x:v>4551177.492968869</x:v>
      </x:c>
      <x:c r="N24" s="68" t="str">
        <x:f>IF(M24&lt;0,"OVER LIMIT","WITHIN LIMIT")</x:f>
        <x:v>WITHIN LIMIT</x:v>
      </x:c>
      <x:c r="O24" s="59"/>
      <x:c r="P24" s="59"/>
      <x:c r="Q24" s="59"/>
    </x:row>
    <x:row r="25" ht="23" customHeight="1">
      <x:c r="A25" s="54" t="n">
        <x:v>18</x:v>
      </x:c>
      <x:c r="B25" s="78" t="d">
        <x:v>2028-04-01T00:00:00.000Z</x:v>
      </x:c>
      <x:c r="C25" s="76" t="n">
        <x:f>L24</x:f>
        <x:v>250000</x:v>
      </x:c>
      <x:c r="D25" s="75" t="n">
        <x:f>'Cashflow'!K25</x:f>
        <x:v>4076.2547549267765</x:v>
      </x:c>
      <x:c r="E25" s="75" t="n">
        <x:f>IF(A25=1,'Controls'!$B$18,0)</x:f>
        <x:v>0</x:v>
      </x:c>
      <x:c r="F25" s="76" t="n">
        <x:f>K24</x:f>
        <x:v>448822.50703113095</x:v>
      </x:c>
      <x:c r="G25" s="75" t="n">
        <x:f>F25*'Controls'!$B$20/12</x:f>
        <x:v>4488.2250703113095</x:v>
      </x:c>
      <x:c r="H25" s="76" t="n">
        <x:f>C25+D25+E25-G25</x:f>
        <x:v>249588.02968461547</x:v>
      </x:c>
      <x:c r="I25" s="75" t="n">
        <x:f>MAX(0,'Controls'!$B$19-H25)</x:f>
        <x:v>411.970315384533</x:v>
      </x:c>
      <x:c r="J25" s="75" t="n">
        <x:f>MIN(F25,MAX(0,H25-'Controls'!$B$19))</x:f>
        <x:v>0</x:v>
      </x:c>
      <x:c r="K25" s="76" t="n">
        <x:f>F25+I25-J25</x:f>
        <x:v>449234.4773465155</x:v>
      </x:c>
      <x:c r="L25" s="76" t="n">
        <x:f>H25+I25-J25</x:f>
        <x:v>250000</x:v>
      </x:c>
      <x:c r="M25" s="75" t="n">
        <x:f>'Controls'!$B$25-K25</x:f>
        <x:v>4550765.522653485</x:v>
      </x:c>
      <x:c r="N25" s="71" t="str">
        <x:f>IF(M25&lt;0,"OVER LIMIT","WITHIN LIMIT")</x:f>
        <x:v>WITHIN LIMIT</x:v>
      </x:c>
      <x:c r="O25" s="59"/>
      <x:c r="P25" s="59"/>
      <x:c r="Q25" s="59"/>
    </x:row>
    <x:row r="26" ht="23" customHeight="1">
      <x:c r="A26" s="52" t="n">
        <x:v>19</x:v>
      </x:c>
      <x:c r="B26" s="77" t="d">
        <x:v>2028-05-01T00:00:00.000Z</x:v>
      </x:c>
      <x:c r="C26" s="74" t="n">
        <x:f>L25</x:f>
        <x:v>250000</x:v>
      </x:c>
      <x:c r="D26" s="73" t="n">
        <x:f>'Cashflow'!K26</x:f>
        <x:v>97314.37041688827</x:v>
      </x:c>
      <x:c r="E26" s="73" t="n">
        <x:f>IF(A26=1,'Controls'!$B$18,0)</x:f>
        <x:v>0</x:v>
      </x:c>
      <x:c r="F26" s="74" t="n">
        <x:f>K25</x:f>
        <x:v>449234.4773465155</x:v>
      </x:c>
      <x:c r="G26" s="73" t="n">
        <x:f>F26*'Controls'!$B$20/12</x:f>
        <x:v>4492.344773465155</x:v>
      </x:c>
      <x:c r="H26" s="74" t="n">
        <x:f>C26+D26+E26-G26</x:f>
        <x:v>342822.02564342314</x:v>
      </x:c>
      <x:c r="I26" s="73" t="n">
        <x:f>MAX(0,'Controls'!$B$19-H26)</x:f>
        <x:v>0</x:v>
      </x:c>
      <x:c r="J26" s="73" t="n">
        <x:f>MIN(F26,MAX(0,H26-'Controls'!$B$19))</x:f>
        <x:v>92822.02564342314</x:v>
      </x:c>
      <x:c r="K26" s="74" t="n">
        <x:f>F26+I26-J26</x:f>
        <x:v>356412.4517030924</x:v>
      </x:c>
      <x:c r="L26" s="74" t="n">
        <x:f>H26+I26-J26</x:f>
        <x:v>250000</x:v>
      </x:c>
      <x:c r="M26" s="73" t="n">
        <x:f>'Controls'!$B$25-K26</x:f>
        <x:v>4643587.548296908</x:v>
      </x:c>
      <x:c r="N26" s="68" t="str">
        <x:f>IF(M26&lt;0,"OVER LIMIT","WITHIN LIMIT")</x:f>
        <x:v>WITHIN LIMIT</x:v>
      </x:c>
      <x:c r="O26" s="59"/>
      <x:c r="P26" s="59"/>
      <x:c r="Q26" s="59"/>
    </x:row>
    <x:row r="27" ht="23" customHeight="1">
      <x:c r="A27" s="54" t="n">
        <x:v>20</x:v>
      </x:c>
      <x:c r="B27" s="78" t="d">
        <x:v>2028-06-01T00:00:00.000Z</x:v>
      </x:c>
      <x:c r="C27" s="76" t="n">
        <x:f>L26</x:f>
        <x:v>250000</x:v>
      </x:c>
      <x:c r="D27" s="75" t="n">
        <x:f>'Cashflow'!K27</x:f>
        <x:v>178361.30610192718</x:v>
      </x:c>
      <x:c r="E27" s="75" t="n">
        <x:f>IF(A27=1,'Controls'!$B$18,0)</x:f>
        <x:v>0</x:v>
      </x:c>
      <x:c r="F27" s="76" t="n">
        <x:f>K26</x:f>
        <x:v>356412.4517030924</x:v>
      </x:c>
      <x:c r="G27" s="75" t="n">
        <x:f>F27*'Controls'!$B$20/12</x:f>
        <x:v>3564.1245170309235</x:v>
      </x:c>
      <x:c r="H27" s="76" t="n">
        <x:f>C27+D27+E27-G27</x:f>
        <x:v>424797.1815848963</x:v>
      </x:c>
      <x:c r="I27" s="75" t="n">
        <x:f>MAX(0,'Controls'!$B$19-H27)</x:f>
        <x:v>0</x:v>
      </x:c>
      <x:c r="J27" s="75" t="n">
        <x:f>MIN(F27,MAX(0,H27-'Controls'!$B$19))</x:f>
        <x:v>174797.1815848963</x:v>
      </x:c>
      <x:c r="K27" s="76" t="n">
        <x:f>F27+I27-J27</x:f>
        <x:v>181615.2701181961</x:v>
      </x:c>
      <x:c r="L27" s="76" t="n">
        <x:f>H27+I27-J27</x:f>
        <x:v>250000</x:v>
      </x:c>
      <x:c r="M27" s="75" t="n">
        <x:f>'Controls'!$B$25-K27</x:f>
        <x:v>4818384.7298818035</x:v>
      </x:c>
      <x:c r="N27" s="71" t="str">
        <x:f>IF(M27&lt;0,"OVER LIMIT","WITHIN LIMIT")</x:f>
        <x:v>WITHIN LIMIT</x:v>
      </x:c>
      <x:c r="O27" s="59"/>
      <x:c r="P27" s="59"/>
      <x:c r="Q27" s="59"/>
    </x:row>
    <x:row r="28" ht="23" customHeight="1">
      <x:c r="A28" s="52" t="n">
        <x:v>21</x:v>
      </x:c>
      <x:c r="B28" s="77" t="d">
        <x:v>2028-07-01T00:00:00.000Z</x:v>
      </x:c>
      <x:c r="C28" s="74" t="n">
        <x:f>L27</x:f>
        <x:v>250000</x:v>
      </x:c>
      <x:c r="D28" s="73" t="n">
        <x:f>'Cashflow'!K28</x:f>
        <x:v>122251.9891083301</x:v>
      </x:c>
      <x:c r="E28" s="73" t="n">
        <x:f>IF(A28=1,'Controls'!$B$18,0)</x:f>
        <x:v>0</x:v>
      </x:c>
      <x:c r="F28" s="74" t="n">
        <x:f>K27</x:f>
        <x:v>181615.2701181961</x:v>
      </x:c>
      <x:c r="G28" s="73" t="n">
        <x:f>F28*'Controls'!$B$20/12</x:f>
        <x:v>1816.1527011819608</x:v>
      </x:c>
      <x:c r="H28" s="74" t="n">
        <x:f>C28+D28+E28-G28</x:f>
        <x:v>370435.83640714816</x:v>
      </x:c>
      <x:c r="I28" s="73" t="n">
        <x:f>MAX(0,'Controls'!$B$19-H28)</x:f>
        <x:v>0</x:v>
      </x:c>
      <x:c r="J28" s="73" t="n">
        <x:f>MIN(F28,MAX(0,H28-'Controls'!$B$19))</x:f>
        <x:v>120435.83640714816</x:v>
      </x:c>
      <x:c r="K28" s="74" t="n">
        <x:f>F28+I28-J28</x:f>
        <x:v>61179.433711047925</x:v>
      </x:c>
      <x:c r="L28" s="74" t="n">
        <x:f>H28+I28-J28</x:f>
        <x:v>250000</x:v>
      </x:c>
      <x:c r="M28" s="73" t="n">
        <x:f>'Controls'!$B$25-K28</x:f>
        <x:v>4938820.566288952</x:v>
      </x:c>
      <x:c r="N28" s="68" t="str">
        <x:f>IF(M28&lt;0,"OVER LIMIT","WITHIN LIMIT")</x:f>
        <x:v>WITHIN LIMIT</x:v>
      </x:c>
      <x:c r="O28" s="59"/>
      <x:c r="P28" s="59"/>
      <x:c r="Q28" s="59"/>
    </x:row>
    <x:row r="29" ht="23" customHeight="1">
      <x:c r="A29" s="54" t="n">
        <x:v>22</x:v>
      </x:c>
      <x:c r="B29" s="78" t="d">
        <x:v>2028-08-01T00:00:00.000Z</x:v>
      </x:c>
      <x:c r="C29" s="76" t="n">
        <x:f>L28</x:f>
        <x:v>250000</x:v>
      </x:c>
      <x:c r="D29" s="75" t="n">
        <x:f>'Cashflow'!K29</x:f>
        <x:v>193344.66595380707</x:v>
      </x:c>
      <x:c r="E29" s="75" t="n">
        <x:f>IF(A29=1,'Controls'!$B$18,0)</x:f>
        <x:v>0</x:v>
      </x:c>
      <x:c r="F29" s="76" t="n">
        <x:f>K28</x:f>
        <x:v>61179.433711047925</x:v>
      </x:c>
      <x:c r="G29" s="75" t="n">
        <x:f>F29*'Controls'!$B$20/12</x:f>
        <x:v>611.7943371104792</x:v>
      </x:c>
      <x:c r="H29" s="76" t="n">
        <x:f>C29+D29+E29-G29</x:f>
        <x:v>442732.8716166966</x:v>
      </x:c>
      <x:c r="I29" s="75" t="n">
        <x:f>MAX(0,'Controls'!$B$19-H29)</x:f>
        <x:v>0</x:v>
      </x:c>
      <x:c r="J29" s="75" t="n">
        <x:f>MIN(F29,MAX(0,H29-'Controls'!$B$19))</x:f>
        <x:v>61179.433711047925</x:v>
      </x:c>
      <x:c r="K29" s="76" t="n">
        <x:f>F29+I29-J29</x:f>
        <x:v>0</x:v>
      </x:c>
      <x:c r="L29" s="76" t="n">
        <x:f>H29+I29-J29</x:f>
        <x:v>381553.43790564867</x:v>
      </x:c>
      <x:c r="M29" s="75" t="n">
        <x:f>'Controls'!$B$25-K29</x:f>
        <x:v>5000000</x:v>
      </x:c>
      <x:c r="N29" s="71" t="str">
        <x:f>IF(M29&lt;0,"OVER LIMIT","WITHIN LIMIT")</x:f>
        <x:v>WITHIN LIMIT</x:v>
      </x:c>
      <x:c r="O29" s="59"/>
      <x:c r="P29" s="59"/>
      <x:c r="Q29" s="59"/>
    </x:row>
    <x:row r="30" ht="23" customHeight="1">
      <x:c r="A30" s="52" t="n">
        <x:v>23</x:v>
      </x:c>
      <x:c r="B30" s="77" t="d">
        <x:v>2028-09-01T00:00:00.000Z</x:v>
      </x:c>
      <x:c r="C30" s="74" t="n">
        <x:f>L29</x:f>
        <x:v>381553.43790564867</x:v>
      </x:c>
      <x:c r="D30" s="73" t="n">
        <x:f>'Cashflow'!K30</x:f>
        <x:v>180021.42876928416</x:v>
      </x:c>
      <x:c r="E30" s="73" t="n">
        <x:f>IF(A30=1,'Controls'!$B$18,0)</x:f>
        <x:v>0</x:v>
      </x:c>
      <x:c r="F30" s="74" t="n">
        <x:f>K29</x:f>
        <x:v>0</x:v>
      </x:c>
      <x:c r="G30" s="73" t="n">
        <x:f>F30*'Controls'!$B$20/12</x:f>
        <x:v>0</x:v>
      </x:c>
      <x:c r="H30" s="74" t="n">
        <x:f>C30+D30+E30-G30</x:f>
        <x:v>561574.8666749329</x:v>
      </x:c>
      <x:c r="I30" s="73" t="n">
        <x:f>MAX(0,'Controls'!$B$19-H30)</x:f>
        <x:v>0</x:v>
      </x:c>
      <x:c r="J30" s="73" t="n">
        <x:f>MIN(F30,MAX(0,H30-'Controls'!$B$19))</x:f>
        <x:v>0</x:v>
      </x:c>
      <x:c r="K30" s="74" t="n">
        <x:f>F30+I30-J30</x:f>
        <x:v>0</x:v>
      </x:c>
      <x:c r="L30" s="74" t="n">
        <x:f>H30+I30-J30</x:f>
        <x:v>561574.8666749329</x:v>
      </x:c>
      <x:c r="M30" s="73" t="n">
        <x:f>'Controls'!$B$25-K30</x:f>
        <x:v>5000000</x:v>
      </x:c>
      <x:c r="N30" s="68" t="str">
        <x:f>IF(M30&lt;0,"OVER LIMIT","WITHIN LIMIT")</x:f>
        <x:v>WITHIN LIMIT</x:v>
      </x:c>
      <x:c r="O30" s="59"/>
      <x:c r="P30" s="59"/>
      <x:c r="Q30" s="59"/>
    </x:row>
    <x:row r="31" ht="23" customHeight="1">
      <x:c r="A31" s="54" t="n">
        <x:v>24</x:v>
      </x:c>
      <x:c r="B31" s="78" t="d">
        <x:v>2028-10-01T00:00:00.000Z</x:v>
      </x:c>
      <x:c r="C31" s="76" t="n">
        <x:f>L30</x:f>
        <x:v>561574.8666749329</x:v>
      </x:c>
      <x:c r="D31" s="75" t="n">
        <x:f>'Cashflow'!K31</x:f>
        <x:v>147804.41148044547</x:v>
      </x:c>
      <x:c r="E31" s="75" t="n">
        <x:f>IF(A31=1,'Controls'!$B$18,0)</x:f>
        <x:v>0</x:v>
      </x:c>
      <x:c r="F31" s="76" t="n">
        <x:f>K30</x:f>
        <x:v>0</x:v>
      </x:c>
      <x:c r="G31" s="75" t="n">
        <x:f>F31*'Controls'!$B$20/12</x:f>
        <x:v>0</x:v>
      </x:c>
      <x:c r="H31" s="76" t="n">
        <x:f>C31+D31+E31-G31</x:f>
        <x:v>709379.2781553783</x:v>
      </x:c>
      <x:c r="I31" s="75" t="n">
        <x:f>MAX(0,'Controls'!$B$19-H31)</x:f>
        <x:v>0</x:v>
      </x:c>
      <x:c r="J31" s="75" t="n">
        <x:f>MIN(F31,MAX(0,H31-'Controls'!$B$19))</x:f>
        <x:v>0</x:v>
      </x:c>
      <x:c r="K31" s="76" t="n">
        <x:f>F31+I31-J31</x:f>
        <x:v>0</x:v>
      </x:c>
      <x:c r="L31" s="76" t="n">
        <x:f>H31+I31-J31</x:f>
        <x:v>709379.2781553783</x:v>
      </x:c>
      <x:c r="M31" s="75" t="n">
        <x:f>'Controls'!$B$25-K31</x:f>
        <x:v>5000000</x:v>
      </x:c>
      <x:c r="N31" s="71" t="str">
        <x:f>IF(M31&lt;0,"OVER LIMIT","WITHIN LIMIT")</x:f>
        <x:v>WITHIN LIMIT</x:v>
      </x:c>
      <x:c r="O31" s="59"/>
      <x:c r="P31" s="59"/>
      <x:c r="Q31" s="59"/>
    </x:row>
    <x:row r="32" ht="23" customHeight="1">
      <x:c r="A32" s="52" t="n">
        <x:v>25</x:v>
      </x:c>
      <x:c r="B32" s="77" t="d">
        <x:v>2028-11-01T00:00:00.000Z</x:v>
      </x:c>
      <x:c r="C32" s="74" t="n">
        <x:f>L31</x:f>
        <x:v>709379.2781553783</x:v>
      </x:c>
      <x:c r="D32" s="73" t="n">
        <x:f>'Cashflow'!K32</x:f>
        <x:v>828750.1346578115</x:v>
      </x:c>
      <x:c r="E32" s="73" t="n">
        <x:f>IF(A32=1,'Controls'!$B$18,0)</x:f>
        <x:v>0</x:v>
      </x:c>
      <x:c r="F32" s="74" t="n">
        <x:f>K31</x:f>
        <x:v>0</x:v>
      </x:c>
      <x:c r="G32" s="73" t="n">
        <x:f>F32*'Controls'!$B$20/12</x:f>
        <x:v>0</x:v>
      </x:c>
      <x:c r="H32" s="74" t="n">
        <x:f>C32+D32+E32-G32</x:f>
        <x:v>1538129.41281319</x:v>
      </x:c>
      <x:c r="I32" s="73" t="n">
        <x:f>MAX(0,'Controls'!$B$19-H32)</x:f>
        <x:v>0</x:v>
      </x:c>
      <x:c r="J32" s="73" t="n">
        <x:f>MIN(F32,MAX(0,H32-'Controls'!$B$19))</x:f>
        <x:v>0</x:v>
      </x:c>
      <x:c r="K32" s="74" t="n">
        <x:f>F32+I32-J32</x:f>
        <x:v>0</x:v>
      </x:c>
      <x:c r="L32" s="74" t="n">
        <x:f>H32+I32-J32</x:f>
        <x:v>1538129.41281319</x:v>
      </x:c>
      <x:c r="M32" s="73" t="n">
        <x:f>'Controls'!$B$25-K32</x:f>
        <x:v>5000000</x:v>
      </x:c>
      <x:c r="N32" s="68" t="str">
        <x:f>IF(M32&lt;0,"OVER LIMIT","WITHIN LIMIT")</x:f>
        <x:v>WITHIN LIMIT</x:v>
      </x:c>
      <x:c r="O32" s="59"/>
      <x:c r="P32" s="59"/>
      <x:c r="Q32" s="59"/>
    </x:row>
    <x:row r="33" ht="23" customHeight="1">
      <x:c r="A33" s="54" t="n">
        <x:v>26</x:v>
      </x:c>
      <x:c r="B33" s="78" t="d">
        <x:v>2028-12-01T00:00:00.000Z</x:v>
      </x:c>
      <x:c r="C33" s="76" t="n">
        <x:f>L32</x:f>
        <x:v>1538129.41281319</x:v>
      </x:c>
      <x:c r="D33" s="75" t="n">
        <x:f>'Cashflow'!K33</x:f>
        <x:v>51576.81112540001</x:v>
      </x:c>
      <x:c r="E33" s="75" t="n">
        <x:f>IF(A33=1,'Controls'!$B$18,0)</x:f>
        <x:v>0</x:v>
      </x:c>
      <x:c r="F33" s="76" t="n">
        <x:f>K32</x:f>
        <x:v>0</x:v>
      </x:c>
      <x:c r="G33" s="75" t="n">
        <x:f>F33*'Controls'!$B$20/12</x:f>
        <x:v>0</x:v>
      </x:c>
      <x:c r="H33" s="76" t="n">
        <x:f>C33+D33+E33-G33</x:f>
        <x:v>1589706.22393859</x:v>
      </x:c>
      <x:c r="I33" s="75" t="n">
        <x:f>MAX(0,'Controls'!$B$19-H33)</x:f>
        <x:v>0</x:v>
      </x:c>
      <x:c r="J33" s="75" t="n">
        <x:f>MIN(F33,MAX(0,H33-'Controls'!$B$19))</x:f>
        <x:v>0</x:v>
      </x:c>
      <x:c r="K33" s="76" t="n">
        <x:f>F33+I33-J33</x:f>
        <x:v>0</x:v>
      </x:c>
      <x:c r="L33" s="76" t="n">
        <x:f>H33+I33-J33</x:f>
        <x:v>1589706.22393859</x:v>
      </x:c>
      <x:c r="M33" s="75" t="n">
        <x:f>'Controls'!$B$25-K33</x:f>
        <x:v>5000000</x:v>
      </x:c>
      <x:c r="N33" s="71" t="str">
        <x:f>IF(M33&lt;0,"OVER LIMIT","WITHIN LIMIT")</x:f>
        <x:v>WITHIN LIMIT</x:v>
      </x:c>
      <x:c r="O33" s="59"/>
      <x:c r="P33" s="59"/>
      <x:c r="Q33" s="59"/>
    </x:row>
    <x:row r="34" ht="23" customHeight="1">
      <x:c r="A34" s="52" t="n">
        <x:v>27</x:v>
      </x:c>
      <x:c r="B34" s="77" t="d">
        <x:v>2029-01-01T00:00:00.000Z</x:v>
      </x:c>
      <x:c r="C34" s="74" t="n">
        <x:f>L33</x:f>
        <x:v>1589706.22393859</x:v>
      </x:c>
      <x:c r="D34" s="73" t="n">
        <x:f>'Cashflow'!K34</x:f>
        <x:v>0</x:v>
      </x:c>
      <x:c r="E34" s="73" t="n">
        <x:f>IF(A34=1,'Controls'!$B$18,0)</x:f>
        <x:v>0</x:v>
      </x:c>
      <x:c r="F34" s="74" t="n">
        <x:f>K33</x:f>
        <x:v>0</x:v>
      </x:c>
      <x:c r="G34" s="73" t="n">
        <x:f>F34*'Controls'!$B$20/12</x:f>
        <x:v>0</x:v>
      </x:c>
      <x:c r="H34" s="74" t="n">
        <x:f>C34+D34+E34-G34</x:f>
        <x:v>1589706.22393859</x:v>
      </x:c>
      <x:c r="I34" s="73" t="n">
        <x:f>MAX(0,'Controls'!$B$19-H34)</x:f>
        <x:v>0</x:v>
      </x:c>
      <x:c r="J34" s="73" t="n">
        <x:f>MIN(F34,MAX(0,H34-'Controls'!$B$19))</x:f>
        <x:v>0</x:v>
      </x:c>
      <x:c r="K34" s="74" t="n">
        <x:f>F34+I34-J34</x:f>
        <x:v>0</x:v>
      </x:c>
      <x:c r="L34" s="74" t="n">
        <x:f>H34+I34-J34</x:f>
        <x:v>1589706.22393859</x:v>
      </x:c>
      <x:c r="M34" s="73" t="n">
        <x:f>'Controls'!$B$25-K34</x:f>
        <x:v>5000000</x:v>
      </x:c>
      <x:c r="N34" s="68" t="str">
        <x:f>IF(M34&lt;0,"OVER LIMIT","WITHIN LIMIT")</x:f>
        <x:v>WITHIN LIMIT</x:v>
      </x:c>
      <x:c r="O34" s="59"/>
      <x:c r="P34" s="59"/>
      <x:c r="Q34" s="59"/>
    </x:row>
    <x:row r="35" ht="23" customHeight="1">
      <x:c r="A35" s="54" t="n">
        <x:v>28</x:v>
      </x:c>
      <x:c r="B35" s="78" t="d">
        <x:v>2029-02-01T00:00:00.000Z</x:v>
      </x:c>
      <x:c r="C35" s="76" t="n">
        <x:f>L34</x:f>
        <x:v>1589706.22393859</x:v>
      </x:c>
      <x:c r="D35" s="75" t="n">
        <x:f>'Cashflow'!K35</x:f>
        <x:v>0</x:v>
      </x:c>
      <x:c r="E35" s="75" t="n">
        <x:f>IF(A35=1,'Controls'!$B$18,0)</x:f>
        <x:v>0</x:v>
      </x:c>
      <x:c r="F35" s="76" t="n">
        <x:f>K34</x:f>
        <x:v>0</x:v>
      </x:c>
      <x:c r="G35" s="75" t="n">
        <x:f>F35*'Controls'!$B$20/12</x:f>
        <x:v>0</x:v>
      </x:c>
      <x:c r="H35" s="76" t="n">
        <x:f>C35+D35+E35-G35</x:f>
        <x:v>1589706.22393859</x:v>
      </x:c>
      <x:c r="I35" s="75" t="n">
        <x:f>MAX(0,'Controls'!$B$19-H35)</x:f>
        <x:v>0</x:v>
      </x:c>
      <x:c r="J35" s="75" t="n">
        <x:f>MIN(F35,MAX(0,H35-'Controls'!$B$19))</x:f>
        <x:v>0</x:v>
      </x:c>
      <x:c r="K35" s="76" t="n">
        <x:f>F35+I35-J35</x:f>
        <x:v>0</x:v>
      </x:c>
      <x:c r="L35" s="76" t="n">
        <x:f>H35+I35-J35</x:f>
        <x:v>1589706.22393859</x:v>
      </x:c>
      <x:c r="M35" s="75" t="n">
        <x:f>'Controls'!$B$25-K35</x:f>
        <x:v>5000000</x:v>
      </x:c>
      <x:c r="N35" s="71" t="str">
        <x:f>IF(M35&lt;0,"OVER LIMIT","WITHIN LIMIT")</x:f>
        <x:v>WITHIN LIMIT</x:v>
      </x:c>
      <x:c r="O35" s="59"/>
      <x:c r="P35" s="59"/>
      <x:c r="Q35" s="59"/>
    </x:row>
    <x:row r="36" ht="23" customHeight="1">
      <x:c r="A36" s="52" t="n">
        <x:v>29</x:v>
      </x:c>
      <x:c r="B36" s="77" t="d">
        <x:v>2029-03-01T00:00:00.000Z</x:v>
      </x:c>
      <x:c r="C36" s="74" t="n">
        <x:f>L35</x:f>
        <x:v>1589706.22393859</x:v>
      </x:c>
      <x:c r="D36" s="73" t="n">
        <x:f>'Cashflow'!K36</x:f>
        <x:v>0</x:v>
      </x:c>
      <x:c r="E36" s="73" t="n">
        <x:f>IF(A36=1,'Controls'!$B$18,0)</x:f>
        <x:v>0</x:v>
      </x:c>
      <x:c r="F36" s="74" t="n">
        <x:f>K35</x:f>
        <x:v>0</x:v>
      </x:c>
      <x:c r="G36" s="73" t="n">
        <x:f>F36*'Controls'!$B$20/12</x:f>
        <x:v>0</x:v>
      </x:c>
      <x:c r="H36" s="74" t="n">
        <x:f>C36+D36+E36-G36</x:f>
        <x:v>1589706.22393859</x:v>
      </x:c>
      <x:c r="I36" s="73" t="n">
        <x:f>MAX(0,'Controls'!$B$19-H36)</x:f>
        <x:v>0</x:v>
      </x:c>
      <x:c r="J36" s="73" t="n">
        <x:f>MIN(F36,MAX(0,H36-'Controls'!$B$19))</x:f>
        <x:v>0</x:v>
      </x:c>
      <x:c r="K36" s="74" t="n">
        <x:f>F36+I36-J36</x:f>
        <x:v>0</x:v>
      </x:c>
      <x:c r="L36" s="74" t="n">
        <x:f>H36+I36-J36</x:f>
        <x:v>1589706.22393859</x:v>
      </x:c>
      <x:c r="M36" s="73" t="n">
        <x:f>'Controls'!$B$25-K36</x:f>
        <x:v>5000000</x:v>
      </x:c>
      <x:c r="N36" s="68" t="str">
        <x:f>IF(M36&lt;0,"OVER LIMIT","WITHIN LIMIT")</x:f>
        <x:v>WITHIN LIMIT</x:v>
      </x:c>
      <x:c r="O36" s="59"/>
      <x:c r="P36" s="59"/>
      <x:c r="Q36" s="59"/>
    </x:row>
    <x:row r="37" ht="23" customHeight="1">
      <x:c r="A37" s="54" t="n">
        <x:v>30</x:v>
      </x:c>
      <x:c r="B37" s="78" t="d">
        <x:v>2029-04-01T00:00:00.000Z</x:v>
      </x:c>
      <x:c r="C37" s="76" t="n">
        <x:f>L36</x:f>
        <x:v>1589706.22393859</x:v>
      </x:c>
      <x:c r="D37" s="75" t="n">
        <x:f>'Cashflow'!K37</x:f>
        <x:v>0</x:v>
      </x:c>
      <x:c r="E37" s="75" t="n">
        <x:f>IF(A37=1,'Controls'!$B$18,0)</x:f>
        <x:v>0</x:v>
      </x:c>
      <x:c r="F37" s="76" t="n">
        <x:f>K36</x:f>
        <x:v>0</x:v>
      </x:c>
      <x:c r="G37" s="75" t="n">
        <x:f>F37*'Controls'!$B$20/12</x:f>
        <x:v>0</x:v>
      </x:c>
      <x:c r="H37" s="76" t="n">
        <x:f>C37+D37+E37-G37</x:f>
        <x:v>1589706.22393859</x:v>
      </x:c>
      <x:c r="I37" s="75" t="n">
        <x:f>MAX(0,'Controls'!$B$19-H37)</x:f>
        <x:v>0</x:v>
      </x:c>
      <x:c r="J37" s="75" t="n">
        <x:f>MIN(F37,MAX(0,H37-'Controls'!$B$19))</x:f>
        <x:v>0</x:v>
      </x:c>
      <x:c r="K37" s="76" t="n">
        <x:f>F37+I37-J37</x:f>
        <x:v>0</x:v>
      </x:c>
      <x:c r="L37" s="76" t="n">
        <x:f>H37+I37-J37</x:f>
        <x:v>1589706.22393859</x:v>
      </x:c>
      <x:c r="M37" s="75" t="n">
        <x:f>'Controls'!$B$25-K37</x:f>
        <x:v>5000000</x:v>
      </x:c>
      <x:c r="N37" s="71" t="str">
        <x:f>IF(M37&lt;0,"OVER LIMIT","WITHIN LIMIT")</x:f>
        <x:v>WITHIN LIMIT</x:v>
      </x:c>
      <x:c r="O37" s="59"/>
      <x:c r="P37" s="59"/>
      <x:c r="Q37" s="59"/>
    </x:row>
    <x:row r="38" ht="23" customHeight="1">
      <x:c r="A38" s="52" t="n">
        <x:v>31</x:v>
      </x:c>
      <x:c r="B38" s="77" t="d">
        <x:v>2029-05-01T00:00:00.000Z</x:v>
      </x:c>
      <x:c r="C38" s="74" t="n">
        <x:f>L37</x:f>
        <x:v>1589706.22393859</x:v>
      </x:c>
      <x:c r="D38" s="73" t="n">
        <x:f>'Cashflow'!K38</x:f>
        <x:v>0</x:v>
      </x:c>
      <x:c r="E38" s="73" t="n">
        <x:f>IF(A38=1,'Controls'!$B$18,0)</x:f>
        <x:v>0</x:v>
      </x:c>
      <x:c r="F38" s="74" t="n">
        <x:f>K37</x:f>
        <x:v>0</x:v>
      </x:c>
      <x:c r="G38" s="73" t="n">
        <x:f>F38*'Controls'!$B$20/12</x:f>
        <x:v>0</x:v>
      </x:c>
      <x:c r="H38" s="74" t="n">
        <x:f>C38+D38+E38-G38</x:f>
        <x:v>1589706.22393859</x:v>
      </x:c>
      <x:c r="I38" s="73" t="n">
        <x:f>MAX(0,'Controls'!$B$19-H38)</x:f>
        <x:v>0</x:v>
      </x:c>
      <x:c r="J38" s="73" t="n">
        <x:f>MIN(F38,MAX(0,H38-'Controls'!$B$19))</x:f>
        <x:v>0</x:v>
      </x:c>
      <x:c r="K38" s="74" t="n">
        <x:f>F38+I38-J38</x:f>
        <x:v>0</x:v>
      </x:c>
      <x:c r="L38" s="74" t="n">
        <x:f>H38+I38-J38</x:f>
        <x:v>1589706.22393859</x:v>
      </x:c>
      <x:c r="M38" s="73" t="n">
        <x:f>'Controls'!$B$25-K38</x:f>
        <x:v>5000000</x:v>
      </x:c>
      <x:c r="N38" s="68" t="str">
        <x:f>IF(M38&lt;0,"OVER LIMIT","WITHIN LIMIT")</x:f>
        <x:v>WITHIN LIMIT</x:v>
      </x:c>
      <x:c r="O38" s="59"/>
      <x:c r="P38" s="59"/>
      <x:c r="Q38" s="59"/>
    </x:row>
    <x:row r="39" ht="23" customHeight="1">
      <x:c r="A39" s="54" t="n">
        <x:v>32</x:v>
      </x:c>
      <x:c r="B39" s="78" t="d">
        <x:v>2029-06-01T00:00:00.000Z</x:v>
      </x:c>
      <x:c r="C39" s="76" t="n">
        <x:f>L38</x:f>
        <x:v>1589706.22393859</x:v>
      </x:c>
      <x:c r="D39" s="75" t="n">
        <x:f>'Cashflow'!K39</x:f>
        <x:v>689701.6151352781</x:v>
      </x:c>
      <x:c r="E39" s="75" t="n">
        <x:f>IF(A39=1,'Controls'!$B$18,0)</x:f>
        <x:v>0</x:v>
      </x:c>
      <x:c r="F39" s="76" t="n">
        <x:f>K38</x:f>
        <x:v>0</x:v>
      </x:c>
      <x:c r="G39" s="75" t="n">
        <x:f>F39*'Controls'!$B$20/12</x:f>
        <x:v>0</x:v>
      </x:c>
      <x:c r="H39" s="76" t="n">
        <x:f>C39+D39+E39-G39</x:f>
        <x:v>2279407.839073868</x:v>
      </x:c>
      <x:c r="I39" s="75" t="n">
        <x:f>MAX(0,'Controls'!$B$19-H39)</x:f>
        <x:v>0</x:v>
      </x:c>
      <x:c r="J39" s="75" t="n">
        <x:f>MIN(F39,MAX(0,H39-'Controls'!$B$19))</x:f>
        <x:v>0</x:v>
      </x:c>
      <x:c r="K39" s="76" t="n">
        <x:f>F39+I39-J39</x:f>
        <x:v>0</x:v>
      </x:c>
      <x:c r="L39" s="76" t="n">
        <x:f>H39+I39-J39</x:f>
        <x:v>2279407.839073868</x:v>
      </x:c>
      <x:c r="M39" s="75" t="n">
        <x:f>'Controls'!$B$25-K39</x:f>
        <x:v>5000000</x:v>
      </x:c>
      <x:c r="N39" s="71" t="str">
        <x:f>IF(M39&lt;0,"OVER LIMIT","WITHIN LIMIT")</x:f>
        <x:v>WITHIN LIMIT</x:v>
      </x:c>
      <x:c r="O39" s="59"/>
      <x:c r="P39" s="59"/>
      <x:c r="Q39" s="59"/>
    </x:row>
  </x:sheetData>
  <x:conditionalFormatting sqref="M8:M39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19" hidden="0" customWidth="1"/>
    <x:col min="4" max="4" width="19" hidden="0" customWidth="1"/>
    <x:col min="5" max="5" width="17" hidden="0" customWidth="1"/>
    <x:col min="6" max="6" width="20" hidden="0" customWidth="1"/>
    <x:col min="7" max="7" width="20" hidden="0" customWidth="1"/>
    <x:col min="8" max="8" width="24" hidden="0" customWidth="1"/>
    <x:col min="9" max="9" width="26" hidden="0" customWidth="1"/>
    <x:col min="10" max="10" width="64" hidden="0" customWidth="1"/>
  </x:cols>
  <x:sheetData>
    <x:row r="2">
      <x:c r="A2" s="48" t="str">
        <x:v>Long-lead release and deposit exposure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  <x:c r="P3" s="59"/>
      <x:c r="Q3" s="59"/>
    </x:row>
    <x:row r="4">
      <x:c r="A4" s="50" t="str">
        <x:v>Deposit exposures are a separate planning register and are not added twice to cash payments.</x:v>
      </x:c>
      <x:c r="B4" s="50"/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 s="50"/>
      <x:c r="P4" s="50"/>
      <x:c r="Q4" s="50"/>
    </x:row>
    <x:row r="5">
      <x:c r="A5" s="60"/>
      <x:c r="B5" s="60"/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  <x:c r="O6" s="59"/>
      <x:c r="P6" s="59"/>
      <x:c r="Q6" s="59"/>
    </x:row>
    <x:row r="7" ht="34" customHeight="1">
      <x:c r="A7" s="6" t="str">
        <x:v>Package</x:v>
      </x:c>
      <x:c r="B7" s="6" t="str">
        <x:v>BOQ code</x:v>
      </x:c>
      <x:c r="C7" s="6" t="str">
        <x:v>Install start M</x:v>
      </x:c>
      <x:c r="D7" s="6" t="str">
        <x:v>Install finish M</x:v>
      </x:c>
      <x:c r="E7" s="6" t="str">
        <x:v>Lead months</x:v>
      </x:c>
      <x:c r="F7" s="6" t="str">
        <x:v>Supplier deposit</x:v>
      </x:c>
      <x:c r="G7" s="6" t="str">
        <x:v>Order release M</x:v>
      </x:c>
      <x:c r="H7" s="6" t="str">
        <x:v>Package value USD</x:v>
      </x:c>
      <x:c r="I7" s="6" t="str">
        <x:v>Deposit exposure USD</x:v>
      </x:c>
      <x:c r="J7" s="6" t="str">
        <x:v>Action</x:v>
      </x:c>
      <x:c r="K7" s="59"/>
      <x:c r="L7" s="59"/>
      <x:c r="M7" s="59"/>
      <x:c r="N7" s="59"/>
      <x:c r="O7" s="59"/>
      <x:c r="P7" s="59"/>
      <x:c r="Q7" s="59"/>
    </x:row>
    <x:row r="8" ht="23" customHeight="1">
      <x:c r="A8" s="52" t="str">
        <x:v>Reinforcement</x:v>
      </x:c>
      <x:c r="B8" s="52" t="str">
        <x:v>RB01</x:v>
      </x:c>
      <x:c r="C8" s="52" t="n">
        <x:v>3</x:v>
      </x:c>
      <x:c r="D8" s="52" t="n">
        <x:v>18</x:v>
      </x:c>
      <x:c r="E8" s="52" t="n">
        <x:v>2</x:v>
      </x:c>
      <x:c r="F8" s="79" t="n">
        <x:v>0.15</x:v>
      </x:c>
      <x:c r="G8" s="68" t="n">
        <x:f>C8-E8</x:f>
        <x:v>1</x:v>
      </x:c>
      <x:c r="H8" s="73" t="n">
        <x:f>SUMIFS('Budget'!$F$8:$F$39,'Budget'!$A$8:$A$39,B8)</x:f>
        <x:v>4024100.6838441757</x:v>
      </x:c>
      <x:c r="I8" s="74" t="n">
        <x:f>H8*F8</x:f>
        <x:v>603615.1025766263</x:v>
      </x:c>
      <x:c r="J8" s="52" t="str">
        <x:v>Rolling call-offs; confirm mill allocations</x:v>
      </x:c>
      <x:c r="K8" s="59"/>
      <x:c r="L8" s="59"/>
      <x:c r="M8" s="59"/>
      <x:c r="N8" s="59"/>
      <x:c r="O8" s="59"/>
      <x:c r="P8" s="59"/>
      <x:c r="Q8" s="59"/>
    </x:row>
    <x:row r="9" ht="23" customHeight="1">
      <x:c r="A9" s="54" t="str">
        <x:v>Glazing</x:v>
      </x:c>
      <x:c r="B9" s="54" t="str">
        <x:v>EN04</x:v>
      </x:c>
      <x:c r="C9" s="54" t="n">
        <x:v>13</x:v>
      </x:c>
      <x:c r="D9" s="54" t="n">
        <x:v>23</x:v>
      </x:c>
      <x:c r="E9" s="54" t="n">
        <x:v>4</x:v>
      </x:c>
      <x:c r="F9" s="80" t="n">
        <x:v>0.3</x:v>
      </x:c>
      <x:c r="G9" s="71" t="n">
        <x:f>C9-E9</x:f>
        <x:v>9</x:v>
      </x:c>
      <x:c r="H9" s="75" t="n">
        <x:f>SUMIFS('Budget'!$F$8:$F$39,'Budget'!$A$8:$A$39,B9)</x:f>
        <x:v>1660538.8800000004</x:v>
      </x:c>
      <x:c r="I9" s="76" t="n">
        <x:f>H9*F9</x:f>
        <x:v>498161.6640000001</x:v>
      </x:c>
      <x:c r="J9" s="54" t="str">
        <x:v>Shop drawings and samples before manufacture</x:v>
      </x:c>
      <x:c r="K9" s="59"/>
      <x:c r="L9" s="59"/>
      <x:c r="M9" s="59"/>
      <x:c r="N9" s="59"/>
      <x:c r="O9" s="59"/>
      <x:c r="P9" s="59"/>
      <x:c r="Q9" s="59"/>
    </x:row>
    <x:row r="10" ht="23" customHeight="1">
      <x:c r="A10" s="52" t="str">
        <x:v>Opaque facade</x:v>
      </x:c>
      <x:c r="B10" s="52" t="str">
        <x:v>EN03</x:v>
      </x:c>
      <x:c r="C10" s="52" t="n">
        <x:v>12</x:v>
      </x:c>
      <x:c r="D10" s="52" t="n">
        <x:v>22</x:v>
      </x:c>
      <x:c r="E10" s="52" t="n">
        <x:v>3</x:v>
      </x:c>
      <x:c r="F10" s="79" t="n">
        <x:v>0.2</x:v>
      </x:c>
      <x:c r="G10" s="68" t="n">
        <x:f>C10-E10</x:f>
        <x:v>9</x:v>
      </x:c>
      <x:c r="H10" s="73" t="n">
        <x:f>SUMIFS('Budget'!$F$8:$F$39,'Budget'!$A$8:$A$39,B10)</x:f>
        <x:v>1630347.2639999997</x:v>
      </x:c>
      <x:c r="I10" s="74" t="n">
        <x:f>H10*F10</x:f>
        <x:v>326069.45279999997</x:v>
      </x:c>
      <x:c r="J10" s="52" t="str">
        <x:v>Thermal and fire specifications to be agreed</x:v>
      </x:c>
      <x:c r="K10" s="59"/>
      <x:c r="L10" s="59"/>
      <x:c r="M10" s="59"/>
      <x:c r="N10" s="59"/>
      <x:c r="O10" s="59"/>
      <x:c r="P10" s="59"/>
      <x:c r="Q10" s="59"/>
    </x:row>
    <x:row r="11" ht="23" customHeight="1">
      <x:c r="A11" s="54" t="str">
        <x:v>Doors</x:v>
      </x:c>
      <x:c r="B11" s="54" t="str">
        <x:v>AR06</x:v>
      </x:c>
      <x:c r="C11" s="54" t="n">
        <x:v>18</x:v>
      </x:c>
      <x:c r="D11" s="54" t="n">
        <x:v>24</x:v>
      </x:c>
      <x:c r="E11" s="54" t="n">
        <x:v>3</x:v>
      </x:c>
      <x:c r="F11" s="80" t="n">
        <x:v>0.2</x:v>
      </x:c>
      <x:c r="G11" s="71" t="n">
        <x:f>C11-E11</x:f>
        <x:v>15</x:v>
      </x:c>
      <x:c r="H11" s="75" t="n">
        <x:f>SUMIFS('Budget'!$F$8:$F$39,'Budget'!$A$8:$A$39,B11)</x:f>
        <x:v>452088</x:v>
      </x:c>
      <x:c r="I11" s="76" t="n">
        <x:f>H11*F11</x:f>
        <x:v>90417.6</x:v>
      </x:c>
      <x:c r="J11" s="54" t="str">
        <x:v>Opening surveys before release</x:v>
      </x:c>
      <x:c r="K11" s="59"/>
      <x:c r="L11" s="59"/>
      <x:c r="M11" s="59"/>
      <x:c r="N11" s="59"/>
      <x:c r="O11" s="59"/>
      <x:c r="P11" s="59"/>
      <x:c r="Q11" s="59"/>
    </x:row>
    <x:row r="12" ht="23" customHeight="1">
      <x:c r="A12" s="52" t="str">
        <x:v>Tiles</x:v>
      </x:c>
      <x:c r="B12" s="52" t="str">
        <x:v>AR04</x:v>
      </x:c>
      <x:c r="C12" s="52" t="n">
        <x:v>15</x:v>
      </x:c>
      <x:c r="D12" s="52" t="n">
        <x:v>23</x:v>
      </x:c>
      <x:c r="E12" s="52" t="n">
        <x:v>2</x:v>
      </x:c>
      <x:c r="F12" s="79" t="n">
        <x:v>0.15</x:v>
      </x:c>
      <x:c r="G12" s="68" t="n">
        <x:f>C12-E12</x:f>
        <x:v>13</x:v>
      </x:c>
      <x:c r="H12" s="73" t="n">
        <x:f>SUMIFS('Budget'!$F$8:$F$39,'Budget'!$A$8:$A$39,B12)</x:f>
        <x:v>1872936</x:v>
      </x:c>
      <x:c r="I12" s="74" t="n">
        <x:f>H12*F12</x:f>
        <x:v>280940.39999999997</x:v>
      </x:c>
      <x:c r="J12" s="52" t="str">
        <x:v>Shade batch and reserve quantities</x:v>
      </x:c>
      <x:c r="K12" s="59"/>
      <x:c r="L12" s="59"/>
      <x:c r="M12" s="59"/>
      <x:c r="N12" s="59"/>
      <x:c r="O12" s="59"/>
      <x:c r="P12" s="59"/>
      <x:c r="Q12" s="59"/>
    </x:row>
    <x:row r="13" ht="23" customHeight="1">
      <x:c r="A13" s="54" t="str">
        <x:v>Roof membranes</x:v>
      </x:c>
      <x:c r="B13" s="54" t="str">
        <x:v>EN02</x:v>
      </x:c>
      <x:c r="C13" s="54" t="n">
        <x:v>16</x:v>
      </x:c>
      <x:c r="D13" s="54" t="n">
        <x:v>21</x:v>
      </x:c>
      <x:c r="E13" s="54" t="n">
        <x:v>2</x:v>
      </x:c>
      <x:c r="F13" s="80" t="n">
        <x:v>0.1</x:v>
      </x:c>
      <x:c r="G13" s="71" t="n">
        <x:f>C13-E13</x:f>
        <x:v>14</x:v>
      </x:c>
      <x:c r="H13" s="75" t="n">
        <x:f>SUMIFS('Budget'!$F$8:$F$39,'Budget'!$A$8:$A$39,B13)</x:f>
        <x:v>288000</x:v>
      </x:c>
      <x:c r="I13" s="76" t="n">
        <x:f>H13*F13</x:f>
        <x:v>28800</x:v>
      </x:c>
      <x:c r="J13" s="54" t="str">
        <x:v>Dry substrate and access prerequisites</x:v>
      </x:c>
      <x:c r="K13" s="59"/>
      <x:c r="L13" s="59"/>
      <x:c r="M13" s="59"/>
      <x:c r="N13" s="59"/>
      <x:c r="O13" s="59"/>
      <x:c r="P13" s="59"/>
      <x:c r="Q13" s="5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2" hidden="0" customWidth="1"/>
    <x:col min="2" max="2" width="24" hidden="0" customWidth="1"/>
    <x:col min="3" max="3" width="25" hidden="0" customWidth="1"/>
    <x:col min="4" max="4" width="22" hidden="0" customWidth="1"/>
    <x:col min="5" max="5" width="16" hidden="0" customWidth="1"/>
    <x:col min="6" max="6" width="17" hidden="0" customWidth="1"/>
    <x:col min="7" max="7" width="14" hidden="0" customWidth="1"/>
  </x:cols>
  <x:sheetData>
    <x:row r="2">
      <x:c r="A2" s="48" t="str">
        <x:v>Commercial and cash reconciliation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</x:row>
    <x:row r="4">
      <x:c r="A4" s="50" t="str">
        <x:v>Monetary checks tolerate one cent. No balancing plugs or hidden circular funding formulas.</x:v>
      </x:c>
      <x:c r="B4" s="50"/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 s="50"/>
      <x:c r="P4" s="50"/>
      <x:c r="Q4" s="50"/>
    </x:row>
    <x:row r="5">
      <x:c r="A5" s="51"/>
      <x:c r="B5" s="51"/>
      <x:c r="C5" s="51"/>
      <x:c r="D5" s="51"/>
      <x:c r="E5" s="51"/>
      <x:c r="F5" s="51"/>
      <x:c r="G5" s="51"/>
      <x:c r="H5" s="51"/>
      <x:c r="I5" s="51"/>
      <x:c r="J5" s="51"/>
      <x:c r="K5" s="51"/>
      <x:c r="L5" s="51"/>
      <x:c r="M5" s="51"/>
      <x:c r="N5" s="51"/>
      <x:c r="O5" s="51"/>
      <x:c r="P5" s="51"/>
      <x:c r="Q5" s="51"/>
    </x:row>
    <x:row r="6">
      <x:c r="A6" s="49"/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</x:row>
    <x:row r="7" ht="34" customHeight="1">
      <x:c r="A7" s="6" t="str">
        <x:v>Control</x:v>
      </x:c>
      <x:c r="B7" s="6" t="str">
        <x:v>Model result</x:v>
      </x:c>
      <x:c r="C7" s="6" t="str">
        <x:v>Reference</x:v>
      </x:c>
      <x:c r="D7" s="6" t="str">
        <x:v>Difference</x:v>
      </x:c>
      <x:c r="E7" s="6" t="str">
        <x:v>Tolerance</x:v>
      </x:c>
      <x:c r="F7" s="6" t="str">
        <x:v>Status</x:v>
      </x:c>
      <x:c r="G7" s="6" t="str">
        <x:v>Unit</x:v>
      </x:c>
      <x:c r="H7" s="49"/>
      <x:c r="I7" s="49"/>
      <x:c r="J7" s="49"/>
      <x:c r="K7" s="49"/>
      <x:c r="L7" s="49"/>
      <x:c r="M7" s="49"/>
      <x:c r="N7" s="49"/>
      <x:c r="O7" s="49"/>
      <x:c r="P7" s="49"/>
      <x:c r="Q7" s="49"/>
    </x:row>
    <x:row r="8" ht="23" customHeight="1">
      <x:c r="A8" s="52" t="str">
        <x:v>BOQ budget carry-forward</x:v>
      </x:c>
      <x:c r="B8" s="61" t="n">
        <x:f>SUM('Budget'!F8:F39)</x:f>
        <x:v>22616875.393844172</x:v>
      </x:c>
      <x:c r="C8" s="61" t="n">
        <x:v>22616875.393844172</x:v>
      </x:c>
      <x:c r="D8" s="61" t="n">
        <x:f>ROUND(B8-C8,6)</x:f>
        <x:v>0</x:v>
      </x:c>
      <x:c r="E8" s="61" t="n">
        <x:v>0.01</x:v>
      </x:c>
      <x:c r="F8" s="52" t="str">
        <x:f>IF(ABS(D8)&lt;=E8,"OK","REVIEW")</x:f>
        <x:v>OK</x:v>
      </x:c>
      <x:c r="G8" s="52" t="str">
        <x:v>USD</x:v>
      </x:c>
      <x:c r="H8" s="49"/>
      <x:c r="I8" s="49"/>
      <x:c r="J8" s="49"/>
      <x:c r="K8" s="49"/>
      <x:c r="L8" s="49"/>
      <x:c r="M8" s="49"/>
      <x:c r="N8" s="49"/>
      <x:c r="O8" s="49"/>
      <x:c r="P8" s="49"/>
      <x:c r="Q8" s="49"/>
    </x:row>
    <x:row r="9" ht="23" customHeight="1">
      <x:c r="A9" s="54" t="str">
        <x:v>Contract allocation</x:v>
      </x:c>
      <x:c r="B9" s="64" t="n">
        <x:f>SUM('Budget'!G8:G39)</x:f>
        <x:v>27588064.605411123</x:v>
      </x:c>
      <x:c r="C9" s="64" t="n">
        <x:v>27588064.60541112</x:v>
      </x:c>
      <x:c r="D9" s="64" t="n">
        <x:f>ROUND(B9-C9,6)</x:f>
        <x:v>0</x:v>
      </x:c>
      <x:c r="E9" s="64" t="n">
        <x:v>0.01</x:v>
      </x:c>
      <x:c r="F9" s="54" t="str">
        <x:f>IF(ABS(D9)&lt;=E9,"OK","REVIEW")</x:f>
        <x:v>OK</x:v>
      </x:c>
      <x:c r="G9" s="54" t="str">
        <x:v>USD</x:v>
      </x:c>
      <x:c r="H9" s="49"/>
      <x:c r="I9" s="49"/>
      <x:c r="J9" s="49"/>
      <x:c r="K9" s="49"/>
      <x:c r="L9" s="49"/>
      <x:c r="M9" s="49"/>
      <x:c r="N9" s="49"/>
      <x:c r="O9" s="49"/>
      <x:c r="P9" s="49"/>
      <x:c r="Q9" s="49"/>
    </x:row>
    <x:row r="10" ht="23" customHeight="1">
      <x:c r="A10" s="52" t="str">
        <x:v>Gross earned value</x:v>
      </x:c>
      <x:c r="B10" s="61" t="n">
        <x:f>SUM('Valuations'!C8:C39)</x:f>
        <x:v>27588064.60541112</x:v>
      </x:c>
      <x:c r="C10" s="61" t="n">
        <x:v>27588064.60541112</x:v>
      </x:c>
      <x:c r="D10" s="61" t="n">
        <x:f>ROUND(B10-C10,6)</x:f>
        <x:v>0</x:v>
      </x:c>
      <x:c r="E10" s="61" t="n">
        <x:v>0.01</x:v>
      </x:c>
      <x:c r="F10" s="52" t="str">
        <x:f>IF(ABS(D10)&lt;=E10,"OK","REVIEW")</x:f>
        <x:v>OK</x:v>
      </x:c>
      <x:c r="G10" s="52" t="str">
        <x:v>USD</x:v>
      </x:c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</x:row>
    <x:row r="11" ht="23" customHeight="1">
      <x:c r="A11" s="54" t="str">
        <x:v>Advance fully recovered</x:v>
      </x:c>
      <x:c r="B11" s="64" t="n">
        <x:f>SUM('Valuations'!H8:H39)-SUM('Valuations'!E8:E39)</x:f>
        <x:v>9.313225746154785e-10</x:v>
      </x:c>
      <x:c r="C11" s="64" t="n">
        <x:v>0</x:v>
      </x:c>
      <x:c r="D11" s="64" t="n">
        <x:f>ROUND(B11-C11,6)</x:f>
        <x:v>0</x:v>
      </x:c>
      <x:c r="E11" s="64" t="n">
        <x:v>0.01</x:v>
      </x:c>
      <x:c r="F11" s="54" t="str">
        <x:f>IF(ABS(D11)&lt;=E11,"OK","REVIEW")</x:f>
        <x:v>OK</x:v>
      </x:c>
      <x:c r="G11" s="54" t="str">
        <x:v>USD</x:v>
      </x:c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</x:row>
    <x:row r="12" ht="23" customHeight="1">
      <x:c r="A12" s="52" t="str">
        <x:v>Retention fully released</x:v>
      </x:c>
      <x:c r="B12" s="61" t="n">
        <x:f>SUM('Valuations'!D8:D39)-SUM('Valuations'!G8:G39)</x:f>
        <x:v>-4.656612873077393e-10</x:v>
      </x:c>
      <x:c r="C12" s="61" t="n">
        <x:v>0</x:v>
      </x:c>
      <x:c r="D12" s="61" t="n">
        <x:f>ROUND(B12-C12,6)</x:f>
        <x:v>0</x:v>
      </x:c>
      <x:c r="E12" s="61" t="n">
        <x:v>0.01</x:v>
      </x:c>
      <x:c r="F12" s="52" t="str">
        <x:f>IF(ABS(D12)&lt;=E12,"OK","REVIEW")</x:f>
        <x:v>OK</x:v>
      </x:c>
      <x:c r="G12" s="52" t="str">
        <x:v>USD</x:v>
      </x:c>
      <x:c r="H12" s="49"/>
      <x:c r="I12" s="49"/>
      <x:c r="J12" s="49"/>
      <x:c r="K12" s="49"/>
      <x:c r="L12" s="49"/>
      <x:c r="M12" s="49"/>
      <x:c r="N12" s="49"/>
      <x:c r="O12" s="49"/>
      <x:c r="P12" s="49"/>
      <x:c r="Q12" s="49"/>
    </x:row>
    <x:row r="13" ht="23" customHeight="1">
      <x:c r="A13" s="54" t="str">
        <x:v>Owner receipts equal contract</x:v>
      </x:c>
      <x:c r="B13" s="64" t="n">
        <x:f>SUM('Valuations'!I8:I39)</x:f>
        <x:v>27588064.60541112</x:v>
      </x:c>
      <x:c r="C13" s="64" t="n">
        <x:v>27588064.60541112</x:v>
      </x:c>
      <x:c r="D13" s="64" t="n">
        <x:f>ROUND(B13-C13,6)</x:f>
        <x:v>0</x:v>
      </x:c>
      <x:c r="E13" s="64" t="n">
        <x:v>0.01</x:v>
      </x:c>
      <x:c r="F13" s="54" t="str">
        <x:f>IF(ABS(D13)&lt;=E13,"OK","REVIEW")</x:f>
        <x:v>OK</x:v>
      </x:c>
      <x:c r="G13" s="54" t="str">
        <x:v>USD</x:v>
      </x:c>
      <x:c r="H13" s="49"/>
      <x:c r="I13" s="49"/>
      <x:c r="J13" s="49"/>
      <x:c r="K13" s="49"/>
      <x:c r="L13" s="49"/>
      <x:c r="M13" s="49"/>
      <x:c r="N13" s="49"/>
      <x:c r="O13" s="49"/>
      <x:c r="P13" s="49"/>
      <x:c r="Q13" s="49"/>
    </x:row>
    <x:row r="14" ht="23" customHeight="1">
      <x:c r="A14" s="52" t="str">
        <x:v>Execution accrual</x:v>
      </x:c>
      <x:c r="B14" s="61" t="n">
        <x:f>SUM('Cashflow'!F8:F39)</x:f>
        <x:v>25783237.948982354</x:v>
      </x:c>
      <x:c r="C14" s="61" t="n">
        <x:v>25783237.948982354</x:v>
      </x:c>
      <x:c r="D14" s="61" t="n">
        <x:f>ROUND(B14-C14,6)</x:f>
        <x:v>0</x:v>
      </x:c>
      <x:c r="E14" s="61" t="n">
        <x:v>0.01</x:v>
      </x:c>
      <x:c r="F14" s="52" t="str">
        <x:f>IF(ABS(D14)&lt;=E14,"OK","REVIEW")</x:f>
        <x:v>OK</x:v>
      </x:c>
      <x:c r="G14" s="52" t="str">
        <x:v>USD</x:v>
      </x:c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</x:row>
    <x:row r="15" ht="23" customHeight="1">
      <x:c r="A15" s="54" t="str">
        <x:v>Cost payment total</x:v>
      </x:c>
      <x:c r="B15" s="64" t="n">
        <x:f>SUM('Cashflow'!I8:I39)</x:f>
        <x:v>25783237.948982358</x:v>
      </x:c>
      <x:c r="C15" s="64" t="n">
        <x:v>25783237.948982354</x:v>
      </x:c>
      <x:c r="D15" s="64" t="n">
        <x:f>ROUND(B15-C15,6)</x:f>
        <x:v>0</x:v>
      </x:c>
      <x:c r="E15" s="64" t="n">
        <x:v>0.01</x:v>
      </x:c>
      <x:c r="F15" s="54" t="str">
        <x:f>IF(ABS(D15)&lt;=E15,"OK","REVIEW")</x:f>
        <x:v>OK</x:v>
      </x:c>
      <x:c r="G15" s="54" t="str">
        <x:v>USD</x:v>
      </x:c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</x:row>
    <x:row r="16" ht="23" customHeight="1">
      <x:c r="A16" s="52" t="str">
        <x:v>Materials plus labor shares</x:v>
      </x:c>
      <x:c r="B16" s="61" t="n">
        <x:f>'Controls'!$B$16+'Controls'!$B$17</x:f>
        <x:v>1</x:v>
      </x:c>
      <x:c r="C16" s="61" t="n">
        <x:v>1</x:v>
      </x:c>
      <x:c r="D16" s="61" t="n">
        <x:f>ROUND(B16-C16,6)</x:f>
        <x:v>0</x:v>
      </x:c>
      <x:c r="E16" s="61" t="n">
        <x:v>0.01</x:v>
      </x:c>
      <x:c r="F16" s="52" t="str">
        <x:f>IF(ABS(D16)&lt;=E16,"OK","REVIEW")</x:f>
        <x:v>OK</x:v>
      </x:c>
      <x:c r="G16" s="52" t="str">
        <x:v>ratio</x:v>
      </x:c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</x:row>
    <x:row r="17" ht="23" customHeight="1">
      <x:c r="A17" s="54" t="str">
        <x:v>Funding debt roll-forward</x:v>
      </x:c>
      <x:c r="B17" s="64" t="n">
        <x:f>SUM('Funding'!I8:I39)-SUM('Funding'!J8:J39)-'Funding'!K39</x:f>
        <x:v>0</x:v>
      </x:c>
      <x:c r="C17" s="64" t="n">
        <x:v>0</x:v>
      </x:c>
      <x:c r="D17" s="64" t="n">
        <x:f>ROUND(B17-C17,6)</x:f>
        <x:v>0</x:v>
      </x:c>
      <x:c r="E17" s="64" t="n">
        <x:v>0.01</x:v>
      </x:c>
      <x:c r="F17" s="54" t="str">
        <x:f>IF(ABS(D17)&lt;=E17,"OK","REVIEW")</x:f>
        <x:v>OK</x:v>
      </x:c>
      <x:c r="G17" s="54" t="str">
        <x:v>USD</x:v>
      </x:c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</x:row>
    <x:row r="18" ht="23" customHeight="1">
      <x:c r="A18" s="52" t="str">
        <x:v>Cash roll-forward</x:v>
      </x:c>
      <x:c r="B18" s="61" t="n">
        <x:f>'Controls'!$B$18+SUM('Cashflow'!K8:K39)-SUM('Funding'!G8:G39)+SUM('Funding'!I8:I39)-SUM('Funding'!J8:J39)-'Funding'!L39</x:f>
        <x:v>0</x:v>
      </x:c>
      <x:c r="C18" s="61" t="n">
        <x:v>0</x:v>
      </x:c>
      <x:c r="D18" s="61" t="n">
        <x:f>ROUND(B18-C18,6)</x:f>
        <x:v>0</x:v>
      </x:c>
      <x:c r="E18" s="61" t="n">
        <x:v>0.01</x:v>
      </x:c>
      <x:c r="F18" s="52" t="str">
        <x:f>IF(ABS(D18)&lt;=E18,"OK","REVIEW")</x:f>
        <x:v>OK</x:v>
      </x:c>
      <x:c r="G18" s="52" t="str">
        <x:v>USD</x:v>
      </x:c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</x:row>
    <x:row r="19" ht="23" customHeight="1">
      <x:c r="A19" s="54" t="str">
        <x:v>Package phasing total</x:v>
      </x:c>
      <x:c r="B19" s="64" t="n">
        <x:f>SUM('Work phasing'!AL8:AL39)</x:f>
        <x:v>32</x:v>
      </x:c>
      <x:c r="C19" s="64" t="n">
        <x:v>32</x:v>
      </x:c>
      <x:c r="D19" s="64" t="n">
        <x:f>ROUND(B19-C19,6)</x:f>
        <x:v>0</x:v>
      </x:c>
      <x:c r="E19" s="64" t="n">
        <x:v>0.01</x:v>
      </x:c>
      <x:c r="F19" s="54" t="str">
        <x:f>IF(ABS(D19)&lt;=E19,"OK","REVIEW")</x:f>
        <x:v>OK</x:v>
      </x:c>
      <x:c r="G19" s="54" t="str">
        <x:v>packages</x:v>
      </x:c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</x:row>
  </x:sheetData>
  <x:conditionalFormatting sqref="D8:D19">
    <x:cfRule type="cellIs" dxfId="1" priority="1" operator="greaterThan">
      <x:formula>0.01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0" hidden="0" customWidth="1"/>
    <x:col min="2" max="2" width="145" hidden="0" customWidth="1"/>
  </x:cols>
  <x:sheetData>
    <x:row r="2">
      <x:c r="A2" s="48" t="str">
        <x:v>Commercial assumptions and model method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</x:row>
    <x:row r="4">
      <x:c r="A4" s="50" t="str">
        <x:v>Forecast model basis, source controls and timing conventions.</x:v>
      </x:c>
      <x:c r="B4" s="50"/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 s="50"/>
      <x:c r="P4" s="50"/>
      <x:c r="Q4" s="50"/>
    </x:row>
    <x:row r="5">
      <x:c r="A5" s="51"/>
      <x:c r="B5" s="51"/>
      <x:c r="C5" s="51"/>
      <x:c r="D5" s="51"/>
      <x:c r="E5" s="51"/>
      <x:c r="F5" s="51"/>
      <x:c r="G5" s="51"/>
      <x:c r="H5" s="51"/>
      <x:c r="I5" s="51"/>
      <x:c r="J5" s="51"/>
      <x:c r="K5" s="51"/>
      <x:c r="L5" s="51"/>
      <x:c r="M5" s="51"/>
      <x:c r="N5" s="51"/>
      <x:c r="O5" s="51"/>
      <x:c r="P5" s="51"/>
      <x:c r="Q5" s="51"/>
    </x:row>
    <x:row r="6">
      <x:c r="A6" s="49"/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</x:row>
    <x:row r="7" ht="34" customHeight="1">
      <x:c r="A7" s="6" t="str">
        <x:v>Topic</x:v>
      </x:c>
      <x:c r="B7" s="6" t="str">
        <x:v>Basis and exclusions</x:v>
      </x:c>
      <x:c r="C7" s="49"/>
      <x:c r="D7" s="49"/>
      <x:c r="E7" s="49"/>
      <x:c r="F7" s="49"/>
      <x:c r="G7" s="49"/>
      <x:c r="H7" s="49"/>
      <x:c r="I7" s="49"/>
      <x:c r="J7" s="49"/>
      <x:c r="K7" s="49"/>
      <x:c r="L7" s="49"/>
      <x:c r="M7" s="49"/>
      <x:c r="N7" s="49"/>
      <x:c r="O7" s="49"/>
      <x:c r="P7" s="49"/>
      <x:c r="Q7" s="49"/>
    </x:row>
    <x:row r="8" ht="42" customHeight="1">
      <x:c r="A8" s="52" t="str">
        <x:v>Document</x:v>
      </x:c>
      <x:c r="B8" s="81" t="str">
        <x:v>CE-R01-CF Rev 01, 23 October 2026. Independent portfolio project.</x:v>
      </x:c>
      <x:c r="C8" s="49"/>
      <x:c r="D8" s="49"/>
      <x:c r="E8" s="49"/>
      <x:c r="F8" s="49"/>
      <x:c r="G8" s="49"/>
      <x:c r="H8" s="49"/>
      <x:c r="I8" s="49"/>
      <x:c r="J8" s="49"/>
      <x:c r="K8" s="49"/>
      <x:c r="L8" s="49"/>
      <x:c r="M8" s="49"/>
      <x:c r="N8" s="49"/>
      <x:c r="O8" s="49"/>
      <x:c r="P8" s="49"/>
      <x:c r="Q8" s="49"/>
    </x:row>
    <x:row r="9" ht="42" customHeight="1">
      <x:c r="A9" s="54" t="str">
        <x:v>Source</x:v>
      </x:c>
      <x:c r="B9" s="82" t="str">
        <x:v>CE_R01_Residential_Quantity_BOQ.xlsx, Rev 01; 32 measured BOQ items. Quantities and direct costs copied as a controlled baseline.</x:v>
      </x:c>
      <x:c r="C9" s="49"/>
      <x:c r="D9" s="49"/>
      <x:c r="E9" s="49"/>
      <x:c r="F9" s="49"/>
      <x:c r="G9" s="49"/>
      <x:c r="H9" s="49"/>
      <x:c r="I9" s="49"/>
      <x:c r="J9" s="49"/>
      <x:c r="K9" s="49"/>
      <x:c r="L9" s="49"/>
      <x:c r="M9" s="49"/>
      <x:c r="N9" s="49"/>
      <x:c r="O9" s="49"/>
      <x:c r="P9" s="49"/>
      <x:c r="Q9" s="49"/>
    </x:row>
    <x:row r="10" ht="42" customHeight="1">
      <x:c r="A10" s="52" t="str">
        <x:v>Commercial basis</x:v>
      </x:c>
      <x:c r="B10" s="81" t="str">
        <x:v>Contract value includes BOQ preliminaries, development allowance and margin. No approved client contract is asserted.</x:v>
      </x:c>
      <x:c r="C10" s="49"/>
      <x:c r="D10" s="49"/>
      <x:c r="E10" s="49"/>
      <x:c r="F10" s="49"/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</x:row>
    <x:row r="11" ht="42" customHeight="1">
      <x:c r="A11" s="54" t="str">
        <x:v>Execution budget</x:v>
      </x:c>
      <x:c r="B11" s="82" t="str">
        <x:v>Direct BOQ + 8% preliminaries + 6% development allowance. Contract contribution is the difference before financing.</x:v>
      </x:c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</x:row>
    <x:row r="12" ht="42" customHeight="1">
      <x:c r="A12" s="52" t="str">
        <x:v>Phasing</x:v>
      </x:c>
      <x:c r="B12" s="81" t="str">
        <x:v>Package start/end months are explicit inputs. Descending triangular weights normalized per package. This is forecast phasing, not an as-built progress record.</x:v>
      </x:c>
      <x:c r="C12" s="49"/>
      <x:c r="D12" s="49"/>
      <x:c r="E12" s="49"/>
      <x:c r="F12" s="49"/>
      <x:c r="G12" s="49"/>
      <x:c r="H12" s="49"/>
      <x:c r="I12" s="49"/>
      <x:c r="J12" s="49"/>
      <x:c r="K12" s="49"/>
      <x:c r="L12" s="49"/>
      <x:c r="M12" s="49"/>
      <x:c r="N12" s="49"/>
      <x:c r="O12" s="49"/>
      <x:c r="P12" s="49"/>
      <x:c r="Q12" s="49"/>
    </x:row>
    <x:row r="13" ht="42" customHeight="1">
      <x:c r="A13" s="54" t="str">
        <x:v>Valuation</x:v>
      </x:c>
      <x:c r="B13" s="82" t="str">
        <x:v>Gross earned value is direct package production cost / direct budget x total contract allocation. Each package has a consistent contribution share.</x:v>
      </x:c>
      <x:c r="C13" s="49"/>
      <x:c r="D13" s="49"/>
      <x:c r="E13" s="49"/>
      <x:c r="F13" s="49"/>
      <x:c r="G13" s="49"/>
      <x:c r="H13" s="49"/>
      <x:c r="I13" s="49"/>
      <x:c r="J13" s="49"/>
      <x:c r="K13" s="49"/>
      <x:c r="L13" s="49"/>
      <x:c r="M13" s="49"/>
      <x:c r="N13" s="49"/>
      <x:c r="O13" s="49"/>
      <x:c r="P13" s="49"/>
      <x:c r="Q13" s="49"/>
    </x:row>
    <x:row r="14" ht="42" customHeight="1">
      <x:c r="A14" s="52" t="str">
        <x:v>Advance</x:v>
      </x:c>
      <x:c r="B14" s="81" t="str">
        <x:v>10% contract advance in M01; 10% of each gross earned certificate recovers the full advance by M24.</x:v>
      </x:c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</x:row>
    <x:row r="15" ht="42" customHeight="1">
      <x:c r="A15" s="54" t="str">
        <x:v>Retention</x:v>
      </x:c>
      <x:c r="B15" s="82" t="str">
        <x:v>5% of gross valuation withheld; half released M25 and half M32. Release months represent receipt dates.</x:v>
      </x:c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</x:row>
    <x:row r="16" ht="42" customHeight="1">
      <x:c r="A16" s="52" t="str">
        <x:v>Receipts</x:v>
      </x:c>
      <x:c r="B16" s="81" t="str">
        <x:v>Net certificates collected after two months. Advance and retention releases enter on their specified receipt month.</x:v>
      </x:c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</x:row>
    <x:row r="17" ht="42" customHeight="1">
      <x:c r="A17" s="54" t="str">
        <x:v>Supplier timing</x:v>
      </x:c>
      <x:c r="B17" s="82" t="str">
        <x:v>65% of direct cost and development allowance paid after one month. 35% labor/plant and preliminaries paid in-month.</x:v>
      </x:c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</x:row>
    <x:row r="18" ht="42" customHeight="1">
      <x:c r="A18" s="52" t="str">
        <x:v>Deposits</x:v>
      </x:c>
      <x:c r="B18" s="81" t="str">
        <x:v>Procurement deposit exposure is shown separately. It is not an additional cash outflow because supplier payments use the aggregate timing model.</x:v>
      </x:c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</x:row>
    <x:row r="19" ht="42" customHeight="1">
      <x:c r="A19" s="54" t="str">
        <x:v>Revolver</x:v>
      </x:c>
      <x:c r="B19" s="82" t="str">
        <x:v>Required draw maintains minimum cash; excess cash repays opening debt. Interest is paid monthly on opening balance only.</x:v>
      </x:c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</x:row>
    <x:row r="20" ht="42" customHeight="1">
      <x:c r="A20" s="52" t="str">
        <x:v>Facility limit</x:v>
      </x:c>
      <x:c r="B20" s="81" t="str">
        <x:v>Required funding is not capped silently; negative headroom flags that the assumed facility is insufficient.</x:v>
      </x:c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</x:row>
    <x:row r="21" ht="42" customHeight="1">
      <x:c r="A21" s="54" t="str">
        <x:v>Equity</x:v>
      </x:c>
      <x:c r="B21" s="82" t="str">
        <x:v>USD 500,000 injected M01. No equity distribution assumed. Final cash includes the initial contribution.</x:v>
      </x:c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</x:row>
    <x:row r="22" ht="42" customHeight="1">
      <x:c r="A22" s="52" t="str">
        <x:v>Dates</x:v>
      </x:c>
      <x:c r="B22" s="81" t="str">
        <x:v>Assumed project baseline starts November 2026. M01-M24 construction; M25-M32 close-out and retention.</x:v>
      </x:c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</x:row>
    <x:row r="23" ht="42" customHeight="1">
      <x:c r="A23" s="54" t="str">
        <x:v>Exclusions</x:v>
      </x:c>
      <x:c r="B23" s="82" t="str">
        <x:v>VAT, corporate taxes, commitment fees, interest capitalization, inflation, FX and claims are not modeled.</x:v>
      </x:c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</x:row>
    <x:row r="24" ht="42" customHeight="1">
      <x:c r="A24" s="52" t="str">
        <x:v>Change controls</x:v>
      </x:c>
      <x:c r="B24" s="81" t="str">
        <x:v>If lag or release timing extends past M32, extend the horizon. The receipt and payment reconciliation checks expose truncation.</x:v>
      </x:c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</x:row>
    <x:row r="25" ht="42" customHeight="1">
      <x:c r="A25" s="54" t="str">
        <x:v>Inspection</x:v>
      </x:c>
      <x:c r="B25" s="82" t="str">
        <x:v>Checked against independent monthly arithmetic, source BOQ totals and live control changes.</x:v>
      </x:c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</x:row>
  </x:sheetData>
  <x:pageMargins left="0.7" right="0.7" top="0.75" bottom="0.75" header="0.3" footer="0.3"/>
</x:worksheet>
</file>