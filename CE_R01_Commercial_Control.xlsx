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2443d10bc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08e0215e72485e"/>
    <x:sheet xmlns:r="http://schemas.openxmlformats.org/officeDocument/2006/relationships" name="Controls" sheetId="2" r:id="R63a77620e6da48d2"/>
    <x:sheet xmlns:r="http://schemas.openxmlformats.org/officeDocument/2006/relationships" name="Cost report" sheetId="3" r:id="R6b82d1444c0e497c"/>
    <x:sheet xmlns:r="http://schemas.openxmlformats.org/officeDocument/2006/relationships" name="Certificates" sheetId="4" r:id="Re86a8483ffad4343"/>
    <x:sheet xmlns:r="http://schemas.openxmlformats.org/officeDocument/2006/relationships" name="Variations" sheetId="5" r:id="R18b27f64bc4b46a0"/>
    <x:sheet xmlns:r="http://schemas.openxmlformats.org/officeDocument/2006/relationships" name="Commitments" sheetId="6" r:id="R6b422559c8ea43ac"/>
    <x:sheet xmlns:r="http://schemas.openxmlformats.org/officeDocument/2006/relationships" name="Measurements" sheetId="7" r:id="Re01613f5f0164016"/>
    <x:sheet xmlns:r="http://schemas.openxmlformats.org/officeDocument/2006/relationships" name="Cost ledger" sheetId="8" r:id="Ra2c3a0ba58ee4a44"/>
    <x:sheet xmlns:r="http://schemas.openxmlformats.org/officeDocument/2006/relationships" name="Baseline" sheetId="9" r:id="Rf928f4bfd9bb4423"/>
    <x:sheet xmlns:r="http://schemas.openxmlformats.org/officeDocument/2006/relationships" name="Checks" sheetId="10" r:id="R8aeb36fcd47042fc"/>
    <x:sheet xmlns:r="http://schemas.openxmlformats.org/officeDocument/2006/relationships" name="Basis" sheetId="11" r:id="R63660a3e2771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&quot;–&quot;"/>
    <x:numFmt numFmtId="201" formatCode="0.0%"/>
    <x:numFmt numFmtId="202" formatCode="mmm-yy"/>
    <x:numFmt numFmtId="203" formatCode="#,##0;(#,##0);&quot;–&quot;"/>
    <x:numFmt numFmtId="204" formatCode="0.00x"/>
    <x:numFmt numFmtId="205" formatCode="&quot;$&quot;#,##0;(#,##0);&quot;–&quot;"/>
    <x:numFmt numFmtId="206" formatCode="#,##0.00"/>
  </x:numFmts>
  <x:fonts count="11">
    <x:font>
      <x:sz val="11"/>
      <x:name val="Carlito"/>
    </x:font>
    <x:font>
      <x:sz val="10"/>
      <x:color rgb="FF18334B"/>
      <x:name val="Arial"/>
    </x:font>
    <x:font>
      <x:b/>
      <x:sz val="10"/>
      <x:color rgb="FFFFFFFF"/>
      <x:name val="Arial"/>
    </x:font>
    <x:font>
      <x:b/>
      <x:sz val="16"/>
      <x:color rgb="FF18334B"/>
      <x:name val="Arial"/>
    </x:font>
    <x:font>
      <x:sz val="10"/>
      <x:color rgb="FF526477"/>
      <x:name val="Arial"/>
    </x:font>
    <x:font>
      <x:sz val="10"/>
      <x:color rgb="FF1764A0"/>
      <x:name val="Arial"/>
    </x:font>
    <x:font>
      <x:sz val="10"/>
      <x:color rgb="FF172C3F"/>
      <x:name val="Arial"/>
    </x:font>
    <x:font>
      <x:sz val="10"/>
      <x:color rgb="FF187047"/>
      <x:name val="Arial"/>
    </x:font>
    <x:font>
      <x:b/>
      <x:sz val="10"/>
      <x:color rgb="FF18334B"/>
      <x:name val="Arial"/>
    </x:font>
    <x:font>
      <x:b/>
      <x:sz val="11"/>
      <x:name val="Carlito"/>
    </x:font>
    <x:font>
      <x:sz val="11"/>
      <x:color rgb="FF18334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F0F4F8"/>
      </x:patternFill>
    </x:fill>
    <x:fill>
      <x:patternFill patternType="solid">
        <x:fgColor rgb="FFFFF6DC"/>
      </x:patternFill>
    </x:fill>
    <x:fill>
      <x:patternFill patternType="solid">
        <x:fgColor rgb="FFE3EB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6A34A"/>
      </x:bottom>
      <x:diagonal/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6" fillId="3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3" borderId="0" xfId="0" applyNumberFormat="1" applyFont="1" applyFill="1" applyBorder="1"/>
    <x:xf numFmtId="200" fontId="7" fillId="0" borderId="0" xfId="0" applyNumberFormat="1" applyFont="1" applyFill="1" applyBorder="1"/>
    <x:xf numFmtId="203" fontId="7" fillId="3" borderId="0" xfId="0" applyNumberFormat="1" applyFont="1" applyFill="1" applyBorder="1"/>
    <x:xf numFmtId="203" fontId="7" fillId="0" borderId="0" xfId="0" applyNumberFormat="1" applyFont="1" applyFill="1" applyBorder="1"/>
    <x:xf numFmtId="203" fontId="6" fillId="3" borderId="0" xfId="0" applyNumberFormat="1" applyFont="1" applyFill="1" applyBorder="1"/>
    <x:xf numFmtId="203" fontId="6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204" fontId="6" fillId="3" borderId="0" xfId="0" applyNumberFormat="1" applyFont="1" applyFill="1" applyBorder="1"/>
    <x:xf numFmtId="204" fontId="6" fillId="0" borderId="0" xfId="0" applyNumberFormat="1" applyFont="1" applyFill="1" applyBorder="1"/>
    <x:xf numFmtId="205" fontId="1" fillId="3" borderId="0" xfId="0" applyNumberFormat="1" applyFont="1" applyFill="1" applyBorder="1"/>
    <x:xf numFmtId="205" fontId="1" fillId="0" borderId="0" xfId="0" applyNumberFormat="1" applyFont="1" applyFill="1" applyBorder="1"/>
    <x:xf numFmtId="0" fontId="1" fillId="5" borderId="0" xfId="0" applyNumberFormat="1" applyFont="1" applyFill="1" applyBorder="1"/>
    <x:xf numFmtId="205" fontId="1" fillId="5" borderId="0" xfId="0" applyNumberFormat="1" applyFont="1" applyFill="1" applyBorder="1"/>
    <x:xf numFmtId="0" fontId="8" fillId="5" borderId="0" xfId="0" applyNumberFormat="1" applyFont="1" applyFill="1" applyBorder="1"/>
    <x:xf numFmtId="205" fontId="8" fillId="5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4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203" fontId="10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5" fontId="8" fillId="5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7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b/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1544d645545d9" /><Relationship Type="http://schemas.openxmlformats.org/officeDocument/2006/relationships/theme" Target="/xl/theme/theme1.xml" Id="Rac903331172848f9" /><Relationship Type="http://schemas.openxmlformats.org/officeDocument/2006/relationships/sharedStrings" Target="/xl/sharedStrings.xml" Id="R7f6f3fa73c3141d9" /><Relationship Type="http://schemas.openxmlformats.org/officeDocument/2006/relationships/worksheet" Target="/xl/worksheets/sheet1.xml" Id="R8e08e0215e72485e" /><Relationship Type="http://schemas.openxmlformats.org/officeDocument/2006/relationships/worksheet" Target="/xl/worksheets/sheet2.xml" Id="R63a77620e6da48d2" /><Relationship Type="http://schemas.openxmlformats.org/officeDocument/2006/relationships/worksheet" Target="/xl/worksheets/sheet3.xml" Id="R6b82d1444c0e497c" /><Relationship Type="http://schemas.openxmlformats.org/officeDocument/2006/relationships/worksheet" Target="/xl/worksheets/sheet4.xml" Id="Re86a8483ffad4343" /><Relationship Type="http://schemas.openxmlformats.org/officeDocument/2006/relationships/worksheet" Target="/xl/worksheets/sheet5.xml" Id="R18b27f64bc4b46a0" /><Relationship Type="http://schemas.openxmlformats.org/officeDocument/2006/relationships/worksheet" Target="/xl/worksheets/sheet6.xml" Id="R6b422559c8ea43ac" /><Relationship Type="http://schemas.openxmlformats.org/officeDocument/2006/relationships/worksheet" Target="/xl/worksheets/sheet7.xml" Id="Re01613f5f0164016" /><Relationship Type="http://schemas.openxmlformats.org/officeDocument/2006/relationships/worksheet" Target="/xl/worksheets/sheet8.xml" Id="Ra2c3a0ba58ee4a44" /><Relationship Type="http://schemas.openxmlformats.org/officeDocument/2006/relationships/worksheet" Target="/xl/worksheets/sheet9.xml" Id="Rf928f4bfd9bb4423" /><Relationship Type="http://schemas.openxmlformats.org/officeDocument/2006/relationships/worksheet" Target="/xl/worksheets/sheet10.xml" Id="R8aeb36fcd47042fc" /><Relationship Type="http://schemas.openxmlformats.org/officeDocument/2006/relationships/worksheet" Target="/xl/worksheets/sheet11.xml" Id="R63660a3e27714e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ea3826331445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Base scope planned and earned value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Base planned USD</c:v>
          </c:tx>
          <c:spPr>
            <a:solidFill xmlns:a="http://schemas.openxmlformats.org/drawingml/2006/main">
              <a:srgbClr val="D6A34A"/>
            </a:solidFill>
            <a:ln xmlns:a="http://schemas.openxmlformats.org/drawingml/2006/main" w="19050">
              <a:solidFill>
                <a:srgbClr val="D6A34A"/>
              </a:solidFill>
              <a:prstDash val="dash"/>
            </a:ln>
          </c:spPr>
          <c:marker>
            <c:symbol val="none"/>
          </c:marker>
          <c:cat>
            <c:strRef>
              <c:f>'Overview'!$A$33:$A$44</c:f>
              <c:strCache>
                <c:ptCount val="0"/>
              </c:strCache>
            </c:strRef>
          </c:cat>
          <c:val>
            <c:numRef>
              <c:f>'Overview'!$B$33:$B$44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earned USD</c:v>
          </c:tx>
          <c:spPr>
            <a:solidFill xmlns:a="http://schemas.openxmlformats.org/drawingml/2006/main">
              <a:srgbClr val="255E91"/>
            </a:solidFill>
            <a:ln xmlns:a="http://schemas.openxmlformats.org/drawingml/2006/main" w="19050">
              <a:solidFill>
                <a:srgbClr val="255E91"/>
              </a:solidFill>
              <a:prstDash val="solid"/>
            </a:ln>
          </c:spPr>
          <c:marker>
            <c:symbol val="none"/>
          </c:marker>
          <c:cat>
            <c:strRef>
              <c:f>'Overview'!$A$33:$A$44</c:f>
              <c:strCache>
                <c:ptCount val="0"/>
              </c:strCache>
            </c:strRef>
          </c:cat>
          <c:val>
            <c:numRef>
              <c:f>'Overview'!$C$33:$C$44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ea3826331445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VariationsTable" displayName="VariationsTable" ref="A7:O31" headerRowCount="1" totalsRowCount="0" totalsRowShown="0">
  <x:tableColumns count="15">
    <x:tableColumn id="1" name="VO ref"/>
    <x:tableColumn id="2" name="BOQ code"/>
    <x:tableColumn id="3" name="Scope change"/>
    <x:tableColumn id="4" name="Status"/>
    <x:tableColumn id="5" name="Earned month"/>
    <x:tableColumn id="6" name="Quantity"/>
    <x:tableColumn id="7" name="Cost rate"/>
    <x:tableColumn id="8" name="Budget USD"/>
    <x:tableColumn id="9" name="Contract USD"/>
    <x:tableColumn id="10" name="Accepted share"/>
    <x:tableColumn id="11" name="Earned cost budget"/>
    <x:tableColumn id="12" name="Earned contract USD"/>
    <x:tableColumn id="13" name="Actual cost USD"/>
    <x:tableColumn id="14" name="ETC rate factor"/>
    <x:tableColumn id="15" name="Remaining 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CommitmentsTable" displayName="CommitmentsTable" ref="A7:G71" headerRowCount="1" totalsRowCount="0" totalsRowShown="0">
  <x:tableColumns count="7">
    <x:tableColumn id="1" name="PO reference"/>
    <x:tableColumn id="2" name="BOQ code"/>
    <x:tableColumn id="3" name="Scope"/>
    <x:tableColumn id="4" name="Committed USD"/>
    <x:tableColumn id="5" name="Accrued base USD"/>
    <x:tableColumn id="6" name="Unaccrued USD"/>
    <x:tableColumn id="7" name="Budget cover 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asurementsTable" displayName="MeasurementsTable" ref="A7:H391" headerRowCount="1" totalsRowCount="0" totalsRowShown="0">
  <x:tableColumns count="8">
    <x:tableColumn id="1" name="Record"/>
    <x:tableColumn id="2" name="BOQ code"/>
    <x:tableColumn id="3" name="Month"/>
    <x:tableColumn id="4" name="Zone"/>
    <x:tableColumn id="5" name="Unit"/>
    <x:tableColumn id="6" name="Accepted qty"/>
    <x:tableColumn id="7" name="Budget rate"/>
    <x:tableColumn id="8" name="Earned budget U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ledgerTable" displayName="CostledgerTable" ref="A7:H415" headerRowCount="1" totalsRowCount="0" totalsRowShown="0">
  <x:tableColumns count="8">
    <x:tableColumn id="1" name="Record"/>
    <x:tableColumn id="2" name="BOQ code"/>
    <x:tableColumn id="3" name="Month"/>
    <x:tableColumn id="4" name="Scope ref"/>
    <x:tableColumn id="5" name="Quantity"/>
    <x:tableColumn id="6" name="Actual cost rate"/>
    <x:tableColumn id="7" name="Accrued cost USD"/>
    <x:tableColumn id="8" name="B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BaselineTable" displayName="BaselineTable" ref="A7:K39" headerRowCount="1" totalsRowCount="0" totalsRowShown="0">
  <x:tableColumns count="11">
    <x:tableColumn id="1" name="Code"/>
    <x:tableColumn id="2" name="Trade"/>
    <x:tableColumn id="3" name="Scope"/>
    <x:tableColumn id="4" name="Unit"/>
    <x:tableColumn id="5" name="BOQ quantity"/>
    <x:tableColumn id="6" name="Budget unit rate"/>
    <x:tableColumn id="7" name="Budget USD"/>
    <x:tableColumn id="8" name="Start M"/>
    <x:tableColumn id="9" name="Finish M"/>
    <x:tableColumn id="10" name="Contract rate"/>
    <x:tableColumn id="11" name="Planned qty at cut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ee402c826f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6eb09927575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5a875a9f9e524b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f75d34357e2148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39153e66f48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7d47ca5875445fb" /></Relationships>
</file>

<file path=xl/worksheets/sheet1.xml><?xml version="1.0" encoding="utf-8"?>
<x:worksheet xmlns:x="http://schemas.openxmlformats.org/spreadsheetml/2006/main">
  <x:sheetPr>
    <x:tabColor rgb="FF1833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3" hidden="0" customWidth="1"/>
    <x:col min="2" max="2" width="24" hidden="0" customWidth="1"/>
    <x:col min="3" max="3" width="26" hidden="0" customWidth="1"/>
    <x:col min="4" max="4" width="26" hidden="0" customWidth="1"/>
  </x:cols>
  <x:sheetData>
    <x:row r="2">
      <x:c r="A2" s="53" t="str">
        <x:v>Residential development commercial report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CE-R01-CM / Rev 01 / 70,560 m2 / 288 apartments / independent portfolio project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Direct-cost performance</x:v>
      </x:c>
      <x:c r="B7" s="6" t="str">
        <x:v>USD</x:v>
      </x:c>
      <x:c r="C7" s="54"/>
      <x:c r="D7" s="57" t="str">
        <x:v>Reporting cutoff</x:v>
      </x:c>
      <x:c r="E7" s="57" t="n">
        <x:f>'Controls'!$B$8</x:f>
        <x:v>12</x:v>
      </x:c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Original budget</x:v>
      </x:c>
      <x:c r="B8" s="59" t="n">
        <x:f>SUM('Cost report'!C8:C39)</x:f>
        <x:v>22616875.393844172</x:v>
      </x:c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Approved change budget</x:v>
      </x:c>
      <x:c r="B9" s="61" t="n">
        <x:f>SUM('Cost report'!D8:D39)</x:f>
        <x:v>607985.5999999999</x:v>
      </x:c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Revised budget</x:v>
      </x:c>
      <x:c r="B10" s="59" t="n">
        <x:f>SUM('Cost report'!E8:E39)</x:f>
        <x:v>23224860.99384417</x:v>
      </x:c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Earned value</x:v>
      </x:c>
      <x:c r="B11" s="61" t="n">
        <x:f>SUM('Cost report'!I8:I39)</x:f>
        <x:v>10142737.393882608</x:v>
      </x:c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Accrued actual cost</x:v>
      </x:c>
      <x:c r="B12" s="59" t="n">
        <x:f>SUM('Cost report'!J8:J39)</x:f>
        <x:v>10889343.668223081</x:v>
      </x:c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Estimate to complete</x:v>
      </x:c>
      <x:c r="B13" s="61" t="n">
        <x:f>SUM('Cost report'!M8:M39)</x:f>
        <x:v>13609487.050960027</x:v>
      </x:c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62" t="str">
        <x:v>Estimate at completion</x:v>
      </x:c>
      <x:c r="B14" s="63" t="n">
        <x:f>SUM('Cost report'!N8:N39)</x:f>
        <x:v>24498830.719183117</x:v>
      </x:c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2" t="str">
        <x:v>Budget less EAC</x:v>
      </x:c>
      <x:c r="B15" s="63" t="n">
        <x:f>B10-B14</x:f>
        <x:v>-1273969.725338947</x:v>
      </x:c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Pending change estimate</x:v>
      </x:c>
      <x:c r="B16" s="59" t="n">
        <x:f>SUMIFS('Variations'!H8:H31,'Variations'!D8:D31,"Pending")</x:f>
        <x:v>305894.4</x:v>
      </x:c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Unaccrued commitments</x:v>
      </x:c>
      <x:c r="B17" s="61" t="n">
        <x:f>SUM('Commitments'!F8:F71)</x:f>
        <x:v>12601139.274424203</x:v>
      </x:c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>
      <x:c r="A21" s="64" t="str">
        <x:v>COMMERCIAL POSITION</x:v>
      </x:c>
      <x:c r="B21" s="6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  <x:row r="22" ht="25" customHeight="1">
      <x:c r="A22" s="60" t="str">
        <x:v>Gross certified at cutoff</x:v>
      </x:c>
      <x:c r="B22" s="61" t="n">
        <x:f>INDEX('Certificates'!E8:E19,'Controls'!$B$8)</x:f>
        <x:v>12372111.073058005</x:v>
      </x:c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</x:row>
    <x:row r="23" ht="25" customHeight="1">
      <x:c r="A23" s="60" t="str">
        <x:v>Retention held</x:v>
      </x:c>
      <x:c r="B23" s="61" t="n">
        <x:f>INDEX('Certificates'!F8:F19,'Controls'!$B$8)</x:f>
        <x:v>618605.5536529003</x:v>
      </x:c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</x:row>
    <x:row r="24" ht="25" customHeight="1">
      <x:c r="A24" s="60" t="str">
        <x:v>Advance remaining</x:v>
      </x:c>
      <x:c r="B24" s="61" t="n">
        <x:f>INDEX('Certificates'!L8:L19,'Controls'!$B$8)</x:f>
        <x:v>1521595.3532353118</x:v>
      </x:c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</x:row>
    <x:row r="25" ht="25" customHeight="1">
      <x:c r="A25" s="60" t="str">
        <x:v>Net certified cumulative</x:v>
      </x:c>
      <x:c r="B25" s="61" t="n">
        <x:f>INDEX('Certificates'!K8:K19,'Controls'!$B$8)</x:f>
        <x:v>10516294.412099304</x:v>
      </x:c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</x:row>
    <x:row r="26" ht="25" customHeight="1">
      <x:c r="A26" s="60" t="str">
        <x:v>Cost performance index</x:v>
      </x:c>
      <x:c r="B26" s="65" t="n">
        <x:f>B11/B12</x:f>
        <x:v>0.9314369812278774</x:v>
      </x:c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7" ht="25" customHeight="1">
      <x:c r="A27" s="60" t="str">
        <x:v>Base schedule index</x:v>
      </x:c>
      <x:c r="B27" s="65" t="n">
        <x:f>SUM('Cost report'!G8:G39)/SUM('Cost report'!F8:F39)</x:f>
        <x:v>0.9789538631330889</x:v>
      </x:c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</x:row>
    <x:row r="32" ht="36" customHeight="1">
      <x:c r="A32" s="66" t="str">
        <x:v>Month</x:v>
      </x:c>
      <x:c r="B32" s="66" t="str">
        <x:v>Base planned USD</x:v>
      </x:c>
      <x:c r="C32" s="66" t="str">
        <x:v>Base earned USD</x:v>
      </x:c>
      <x:c r="D32" s="66" t="str">
        <x:v>Accrued actual USD</x:v>
      </x:c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</x:row>
    <x:row r="33">
      <x:c r="A33" s="60" t="str">
        <x:v>M01</x:v>
      </x:c>
      <x:c r="B33" s="67" t="n">
        <x:f>SUM('Baseline'!G8*MAX(0,MIN(1,(1-'Baseline'!H8+1)/('Baseline'!I8-'Baseline'!H8+1))),'Baseline'!G9*MAX(0,MIN(1,(1-'Baseline'!H9+1)/('Baseline'!I9-'Baseline'!H9+1))),'Baseline'!G10*MAX(0,MIN(1,(1-'Baseline'!H10+1)/('Baseline'!I10-'Baseline'!H10+1))),'Baseline'!G11*MAX(0,MIN(1,(1-'Baseline'!H11+1)/('Baseline'!I11-'Baseline'!H11+1))),'Baseline'!G12*MAX(0,MIN(1,(1-'Baseline'!H12+1)/('Baseline'!I12-'Baseline'!H12+1))),'Baseline'!G13*MAX(0,MIN(1,(1-'Baseline'!H13+1)/('Baseline'!I13-'Baseline'!H13+1))),'Baseline'!G14*MAX(0,MIN(1,(1-'Baseline'!H14+1)/('Baseline'!I14-'Baseline'!H14+1))),'Baseline'!G15*MAX(0,MIN(1,(1-'Baseline'!H15+1)/('Baseline'!I15-'Baseline'!H15+1))),'Baseline'!G16*MAX(0,MIN(1,(1-'Baseline'!H16+1)/('Baseline'!I16-'Baseline'!H16+1))),'Baseline'!G17*MAX(0,MIN(1,(1-'Baseline'!H17+1)/('Baseline'!I17-'Baseline'!H17+1))),'Baseline'!G18*MAX(0,MIN(1,(1-'Baseline'!H18+1)/('Baseline'!I18-'Baseline'!H18+1))),'Baseline'!G19*MAX(0,MIN(1,(1-'Baseline'!H19+1)/('Baseline'!I19-'Baseline'!H19+1))),'Baseline'!G20*MAX(0,MIN(1,(1-'Baseline'!H20+1)/('Baseline'!I20-'Baseline'!H20+1))),'Baseline'!G21*MAX(0,MIN(1,(1-'Baseline'!H21+1)/('Baseline'!I21-'Baseline'!H21+1))),'Baseline'!G22*MAX(0,MIN(1,(1-'Baseline'!H22+1)/('Baseline'!I22-'Baseline'!H22+1))),'Baseline'!G23*MAX(0,MIN(1,(1-'Baseline'!H23+1)/('Baseline'!I23-'Baseline'!H23+1))),'Baseline'!G24*MAX(0,MIN(1,(1-'Baseline'!H24+1)/('Baseline'!I24-'Baseline'!H24+1))),'Baseline'!G25*MAX(0,MIN(1,(1-'Baseline'!H25+1)/('Baseline'!I25-'Baseline'!H25+1))),'Baseline'!G26*MAX(0,MIN(1,(1-'Baseline'!H26+1)/('Baseline'!I26-'Baseline'!H26+1))),'Baseline'!G27*MAX(0,MIN(1,(1-'Baseline'!H27+1)/('Baseline'!I27-'Baseline'!H27+1))),'Baseline'!G28*MAX(0,MIN(1,(1-'Baseline'!H28+1)/('Baseline'!I28-'Baseline'!H28+1))),'Baseline'!G29*MAX(0,MIN(1,(1-'Baseline'!H29+1)/('Baseline'!I29-'Baseline'!H29+1))),'Baseline'!G30*MAX(0,MIN(1,(1-'Baseline'!H30+1)/('Baseline'!I30-'Baseline'!H30+1))),'Baseline'!G31*MAX(0,MIN(1,(1-'Baseline'!H31+1)/('Baseline'!I31-'Baseline'!H31+1))),'Baseline'!G32*MAX(0,MIN(1,(1-'Baseline'!H32+1)/('Baseline'!I32-'Baseline'!H32+1))),'Baseline'!G33*MAX(0,MIN(1,(1-'Baseline'!H33+1)/('Baseline'!I33-'Baseline'!H33+1))),'Baseline'!G34*MAX(0,MIN(1,(1-'Baseline'!H34+1)/('Baseline'!I34-'Baseline'!H34+1))),'Baseline'!G35*MAX(0,MIN(1,(1-'Baseline'!H35+1)/('Baseline'!I35-'Baseline'!H35+1))),'Baseline'!G36*MAX(0,MIN(1,(1-'Baseline'!H36+1)/('Baseline'!I36-'Baseline'!H36+1))),'Baseline'!G37*MAX(0,MIN(1,(1-'Baseline'!H37+1)/('Baseline'!I37-'Baseline'!H37+1))),'Baseline'!G38*MAX(0,MIN(1,(1-'Baseline'!H38+1)/('Baseline'!I38-'Baseline'!H38+1))),'Baseline'!G39*MAX(0,MIN(1,(1-'Baseline'!H39+1)/('Baseline'!I39-'Baseline'!H39+1))))</x:f>
        <x:v>336561.6</x:v>
      </x:c>
      <x:c r="C33" s="67" t="n">
        <x:f>SUMIFS('Measurements'!$H$8:$H$391,'Measurements'!$C$8:$C$391,"&lt;="&amp;1)</x:f>
        <x:v>165888</x:v>
      </x:c>
      <x:c r="D33" s="67" t="n">
        <x:f>SUMIFS('Cost ledger'!$G$8:$G$415,'Cost ledger'!$C$8:$C$415,"&lt;="&amp;1)</x:f>
        <x:v>163399.68</x:v>
      </x:c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</x:row>
    <x:row r="34">
      <x:c r="A34" s="60" t="str">
        <x:v>M02</x:v>
      </x:c>
      <x:c r="B34" s="67" t="n">
        <x:f>SUM('Baseline'!G8*MAX(0,MIN(1,(2-'Baseline'!H8+1)/('Baseline'!I8-'Baseline'!H8+1))),'Baseline'!G9*MAX(0,MIN(1,(2-'Baseline'!H9+1)/('Baseline'!I9-'Baseline'!H9+1))),'Baseline'!G10*MAX(0,MIN(1,(2-'Baseline'!H10+1)/('Baseline'!I10-'Baseline'!H10+1))),'Baseline'!G11*MAX(0,MIN(1,(2-'Baseline'!H11+1)/('Baseline'!I11-'Baseline'!H11+1))),'Baseline'!G12*MAX(0,MIN(1,(2-'Baseline'!H12+1)/('Baseline'!I12-'Baseline'!H12+1))),'Baseline'!G13*MAX(0,MIN(1,(2-'Baseline'!H13+1)/('Baseline'!I13-'Baseline'!H13+1))),'Baseline'!G14*MAX(0,MIN(1,(2-'Baseline'!H14+1)/('Baseline'!I14-'Baseline'!H14+1))),'Baseline'!G15*MAX(0,MIN(1,(2-'Baseline'!H15+1)/('Baseline'!I15-'Baseline'!H15+1))),'Baseline'!G16*MAX(0,MIN(1,(2-'Baseline'!H16+1)/('Baseline'!I16-'Baseline'!H16+1))),'Baseline'!G17*MAX(0,MIN(1,(2-'Baseline'!H17+1)/('Baseline'!I17-'Baseline'!H17+1))),'Baseline'!G18*MAX(0,MIN(1,(2-'Baseline'!H18+1)/('Baseline'!I18-'Baseline'!H18+1))),'Baseline'!G19*MAX(0,MIN(1,(2-'Baseline'!H19+1)/('Baseline'!I19-'Baseline'!H19+1))),'Baseline'!G20*MAX(0,MIN(1,(2-'Baseline'!H20+1)/('Baseline'!I20-'Baseline'!H20+1))),'Baseline'!G21*MAX(0,MIN(1,(2-'Baseline'!H21+1)/('Baseline'!I21-'Baseline'!H21+1))),'Baseline'!G22*MAX(0,MIN(1,(2-'Baseline'!H22+1)/('Baseline'!I22-'Baseline'!H22+1))),'Baseline'!G23*MAX(0,MIN(1,(2-'Baseline'!H23+1)/('Baseline'!I23-'Baseline'!H23+1))),'Baseline'!G24*MAX(0,MIN(1,(2-'Baseline'!H24+1)/('Baseline'!I24-'Baseline'!H24+1))),'Baseline'!G25*MAX(0,MIN(1,(2-'Baseline'!H25+1)/('Baseline'!I25-'Baseline'!H25+1))),'Baseline'!G26*MAX(0,MIN(1,(2-'Baseline'!H26+1)/('Baseline'!I26-'Baseline'!H26+1))),'Baseline'!G27*MAX(0,MIN(1,(2-'Baseline'!H27+1)/('Baseline'!I27-'Baseline'!H27+1))),'Baseline'!G28*MAX(0,MIN(1,(2-'Baseline'!H28+1)/('Baseline'!I28-'Baseline'!H28+1))),'Baseline'!G29*MAX(0,MIN(1,(2-'Baseline'!H29+1)/('Baseline'!I29-'Baseline'!H29+1))),'Baseline'!G30*MAX(0,MIN(1,(2-'Baseline'!H30+1)/('Baseline'!I30-'Baseline'!H30+1))),'Baseline'!G31*MAX(0,MIN(1,(2-'Baseline'!H31+1)/('Baseline'!I31-'Baseline'!H31+1))),'Baseline'!G32*MAX(0,MIN(1,(2-'Baseline'!H32+1)/('Baseline'!I32-'Baseline'!H32+1))),'Baseline'!G33*MAX(0,MIN(1,(2-'Baseline'!H33+1)/('Baseline'!I33-'Baseline'!H33+1))),'Baseline'!G34*MAX(0,MIN(1,(2-'Baseline'!H34+1)/('Baseline'!I34-'Baseline'!H34+1))),'Baseline'!G35*MAX(0,MIN(1,(2-'Baseline'!H35+1)/('Baseline'!I35-'Baseline'!H35+1))),'Baseline'!G36*MAX(0,MIN(1,(2-'Baseline'!H36+1)/('Baseline'!I36-'Baseline'!H36+1))),'Baseline'!G37*MAX(0,MIN(1,(2-'Baseline'!H37+1)/('Baseline'!I37-'Baseline'!H37+1))),'Baseline'!G38*MAX(0,MIN(1,(2-'Baseline'!H38+1)/('Baseline'!I38-'Baseline'!H38+1))),'Baseline'!G39*MAX(0,MIN(1,(2-'Baseline'!H39+1)/('Baseline'!I39-'Baseline'!H39+1))))</x:f>
        <x:v>798691.2</x:v>
      </x:c>
      <x:c r="C34" s="67" t="n">
        <x:f>SUMIFS('Measurements'!$H$8:$H$391,'Measurements'!$C$8:$C$391,"&lt;="&amp;2)</x:f>
        <x:v>622897.392</x:v>
      </x:c>
      <x:c r="D34" s="67" t="n">
        <x:f>SUMIFS('Cost ledger'!$G$8:$G$415,'Cost ledger'!$C$8:$C$415,"&lt;="&amp;2)</x:f>
        <x:v>618587.8963199999</x:v>
      </x:c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</x:row>
    <x:row r="35">
      <x:c r="A35" s="60" t="str">
        <x:v>M03</x:v>
      </x:c>
      <x:c r="B35" s="67" t="n">
        <x:f>SUM('Baseline'!G8*MAX(0,MIN(1,(3-'Baseline'!H8+1)/('Baseline'!I8-'Baseline'!H8+1))),'Baseline'!G9*MAX(0,MIN(1,(3-'Baseline'!H9+1)/('Baseline'!I9-'Baseline'!H9+1))),'Baseline'!G10*MAX(0,MIN(1,(3-'Baseline'!H10+1)/('Baseline'!I10-'Baseline'!H10+1))),'Baseline'!G11*MAX(0,MIN(1,(3-'Baseline'!H11+1)/('Baseline'!I11-'Baseline'!H11+1))),'Baseline'!G12*MAX(0,MIN(1,(3-'Baseline'!H12+1)/('Baseline'!I12-'Baseline'!H12+1))),'Baseline'!G13*MAX(0,MIN(1,(3-'Baseline'!H13+1)/('Baseline'!I13-'Baseline'!H13+1))),'Baseline'!G14*MAX(0,MIN(1,(3-'Baseline'!H14+1)/('Baseline'!I14-'Baseline'!H14+1))),'Baseline'!G15*MAX(0,MIN(1,(3-'Baseline'!H15+1)/('Baseline'!I15-'Baseline'!H15+1))),'Baseline'!G16*MAX(0,MIN(1,(3-'Baseline'!H16+1)/('Baseline'!I16-'Baseline'!H16+1))),'Baseline'!G17*MAX(0,MIN(1,(3-'Baseline'!H17+1)/('Baseline'!I17-'Baseline'!H17+1))),'Baseline'!G18*MAX(0,MIN(1,(3-'Baseline'!H18+1)/('Baseline'!I18-'Baseline'!H18+1))),'Baseline'!G19*MAX(0,MIN(1,(3-'Baseline'!H19+1)/('Baseline'!I19-'Baseline'!H19+1))),'Baseline'!G20*MAX(0,MIN(1,(3-'Baseline'!H20+1)/('Baseline'!I20-'Baseline'!H20+1))),'Baseline'!G21*MAX(0,MIN(1,(3-'Baseline'!H21+1)/('Baseline'!I21-'Baseline'!H21+1))),'Baseline'!G22*MAX(0,MIN(1,(3-'Baseline'!H22+1)/('Baseline'!I22-'Baseline'!H22+1))),'Baseline'!G23*MAX(0,MIN(1,(3-'Baseline'!H23+1)/('Baseline'!I23-'Baseline'!H23+1))),'Baseline'!G24*MAX(0,MIN(1,(3-'Baseline'!H24+1)/('Baseline'!I24-'Baseline'!H24+1))),'Baseline'!G25*MAX(0,MIN(1,(3-'Baseline'!H25+1)/('Baseline'!I25-'Baseline'!H25+1))),'Baseline'!G26*MAX(0,MIN(1,(3-'Baseline'!H26+1)/('Baseline'!I26-'Baseline'!H26+1))),'Baseline'!G27*MAX(0,MIN(1,(3-'Baseline'!H27+1)/('Baseline'!I27-'Baseline'!H27+1))),'Baseline'!G28*MAX(0,MIN(1,(3-'Baseline'!H28+1)/('Baseline'!I28-'Baseline'!H28+1))),'Baseline'!G29*MAX(0,MIN(1,(3-'Baseline'!H29+1)/('Baseline'!I29-'Baseline'!H29+1))),'Baseline'!G30*MAX(0,MIN(1,(3-'Baseline'!H30+1)/('Baseline'!I30-'Baseline'!H30+1))),'Baseline'!G31*MAX(0,MIN(1,(3-'Baseline'!H31+1)/('Baseline'!I31-'Baseline'!H31+1))),'Baseline'!G32*MAX(0,MIN(1,(3-'Baseline'!H32+1)/('Baseline'!I32-'Baseline'!H32+1))),'Baseline'!G33*MAX(0,MIN(1,(3-'Baseline'!H33+1)/('Baseline'!I33-'Baseline'!H33+1))),'Baseline'!G34*MAX(0,MIN(1,(3-'Baseline'!H34+1)/('Baseline'!I34-'Baseline'!H34+1))),'Baseline'!G35*MAX(0,MIN(1,(3-'Baseline'!H35+1)/('Baseline'!I35-'Baseline'!H35+1))),'Baseline'!G36*MAX(0,MIN(1,(3-'Baseline'!H36+1)/('Baseline'!I36-'Baseline'!H36+1))),'Baseline'!G37*MAX(0,MIN(1,(3-'Baseline'!H37+1)/('Baseline'!I37-'Baseline'!H37+1))),'Baseline'!G38*MAX(0,MIN(1,(3-'Baseline'!H38+1)/('Baseline'!I38-'Baseline'!H38+1))),'Baseline'!G39*MAX(0,MIN(1,(3-'Baseline'!H39+1)/('Baseline'!I39-'Baseline'!H39+1))))</x:f>
        <x:v>1967239.967740261</x:v>
      </x:c>
      <x:c r="C35" s="67" t="n">
        <x:f>SUMIFS('Measurements'!$H$8:$H$391,'Measurements'!$C$8:$C$391,"&lt;="&amp;3)</x:f>
        <x:v>1766844.776740261</x:v>
      </x:c>
      <x:c r="D35" s="67" t="n">
        <x:f>SUMIFS('Cost ledger'!$G$8:$G$415,'Cost ledger'!$C$8:$C$415,"&lt;="&amp;3)</x:f>
        <x:v>1925497.8497631832</x:v>
      </x:c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</x:row>
    <x:row r="36">
      <x:c r="A36" s="60" t="str">
        <x:v>M04</x:v>
      </x:c>
      <x:c r="B36" s="67" t="n">
        <x:f>SUM('Baseline'!G8*MAX(0,MIN(1,(4-'Baseline'!H8+1)/('Baseline'!I8-'Baseline'!H8+1))),'Baseline'!G9*MAX(0,MIN(1,(4-'Baseline'!H9+1)/('Baseline'!I9-'Baseline'!H9+1))),'Baseline'!G10*MAX(0,MIN(1,(4-'Baseline'!H10+1)/('Baseline'!I10-'Baseline'!H10+1))),'Baseline'!G11*MAX(0,MIN(1,(4-'Baseline'!H11+1)/('Baseline'!I11-'Baseline'!H11+1))),'Baseline'!G12*MAX(0,MIN(1,(4-'Baseline'!H12+1)/('Baseline'!I12-'Baseline'!H12+1))),'Baseline'!G13*MAX(0,MIN(1,(4-'Baseline'!H13+1)/('Baseline'!I13-'Baseline'!H13+1))),'Baseline'!G14*MAX(0,MIN(1,(4-'Baseline'!H14+1)/('Baseline'!I14-'Baseline'!H14+1))),'Baseline'!G15*MAX(0,MIN(1,(4-'Baseline'!H15+1)/('Baseline'!I15-'Baseline'!H15+1))),'Baseline'!G16*MAX(0,MIN(1,(4-'Baseline'!H16+1)/('Baseline'!I16-'Baseline'!H16+1))),'Baseline'!G17*MAX(0,MIN(1,(4-'Baseline'!H17+1)/('Baseline'!I17-'Baseline'!H17+1))),'Baseline'!G18*MAX(0,MIN(1,(4-'Baseline'!H18+1)/('Baseline'!I18-'Baseline'!H18+1))),'Baseline'!G19*MAX(0,MIN(1,(4-'Baseline'!H19+1)/('Baseline'!I19-'Baseline'!H19+1))),'Baseline'!G20*MAX(0,MIN(1,(4-'Baseline'!H20+1)/('Baseline'!I20-'Baseline'!H20+1))),'Baseline'!G21*MAX(0,MIN(1,(4-'Baseline'!H21+1)/('Baseline'!I21-'Baseline'!H21+1))),'Baseline'!G22*MAX(0,MIN(1,(4-'Baseline'!H22+1)/('Baseline'!I22-'Baseline'!H22+1))),'Baseline'!G23*MAX(0,MIN(1,(4-'Baseline'!H23+1)/('Baseline'!I23-'Baseline'!H23+1))),'Baseline'!G24*MAX(0,MIN(1,(4-'Baseline'!H24+1)/('Baseline'!I24-'Baseline'!H24+1))),'Baseline'!G25*MAX(0,MIN(1,(4-'Baseline'!H25+1)/('Baseline'!I25-'Baseline'!H25+1))),'Baseline'!G26*MAX(0,MIN(1,(4-'Baseline'!H26+1)/('Baseline'!I26-'Baseline'!H26+1))),'Baseline'!G27*MAX(0,MIN(1,(4-'Baseline'!H27+1)/('Baseline'!I27-'Baseline'!H27+1))),'Baseline'!G28*MAX(0,MIN(1,(4-'Baseline'!H28+1)/('Baseline'!I28-'Baseline'!H28+1))),'Baseline'!G29*MAX(0,MIN(1,(4-'Baseline'!H29+1)/('Baseline'!I29-'Baseline'!H29+1))),'Baseline'!G30*MAX(0,MIN(1,(4-'Baseline'!H30+1)/('Baseline'!I30-'Baseline'!H30+1))),'Baseline'!G31*MAX(0,MIN(1,(4-'Baseline'!H31+1)/('Baseline'!I31-'Baseline'!H31+1))),'Baseline'!G32*MAX(0,MIN(1,(4-'Baseline'!H32+1)/('Baseline'!I32-'Baseline'!H32+1))),'Baseline'!G33*MAX(0,MIN(1,(4-'Baseline'!H33+1)/('Baseline'!I33-'Baseline'!H33+1))),'Baseline'!G34*MAX(0,MIN(1,(4-'Baseline'!H34+1)/('Baseline'!I34-'Baseline'!H34+1))),'Baseline'!G35*MAX(0,MIN(1,(4-'Baseline'!H35+1)/('Baseline'!I35-'Baseline'!H35+1))),'Baseline'!G36*MAX(0,MIN(1,(4-'Baseline'!H36+1)/('Baseline'!I36-'Baseline'!H36+1))),'Baseline'!G37*MAX(0,MIN(1,(4-'Baseline'!H37+1)/('Baseline'!I37-'Baseline'!H37+1))),'Baseline'!G38*MAX(0,MIN(1,(4-'Baseline'!H38+1)/('Baseline'!I38-'Baseline'!H38+1))),'Baseline'!G39*MAX(0,MIN(1,(4-'Baseline'!H39+1)/('Baseline'!I39-'Baseline'!H39+1))))</x:f>
        <x:v>2731547.135480522</x:v>
      </x:c>
      <x:c r="C36" s="67" t="n">
        <x:f>SUMIFS('Measurements'!$H$8:$H$391,'Measurements'!$C$8:$C$391,"&lt;="&amp;4)</x:f>
        <x:v>2696705.3364805225</x:v>
      </x:c>
      <x:c r="D36" s="67" t="n">
        <x:f>SUMIFS('Cost ledger'!$G$8:$G$415,'Cost ledger'!$C$8:$C$415,"&lt;="&amp;4)</x:f>
        <x:v>2997316.7293313667</x:v>
      </x:c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</x:row>
    <x:row r="37">
      <x:c r="A37" s="60" t="str">
        <x:v>M05</x:v>
      </x:c>
      <x:c r="B37" s="67" t="n">
        <x:f>SUM('Baseline'!G8*MAX(0,MIN(1,(5-'Baseline'!H8+1)/('Baseline'!I8-'Baseline'!H8+1))),'Baseline'!G9*MAX(0,MIN(1,(5-'Baseline'!H9+1)/('Baseline'!I9-'Baseline'!H9+1))),'Baseline'!G10*MAX(0,MIN(1,(5-'Baseline'!H10+1)/('Baseline'!I10-'Baseline'!H10+1))),'Baseline'!G11*MAX(0,MIN(1,(5-'Baseline'!H11+1)/('Baseline'!I11-'Baseline'!H11+1))),'Baseline'!G12*MAX(0,MIN(1,(5-'Baseline'!H12+1)/('Baseline'!I12-'Baseline'!H12+1))),'Baseline'!G13*MAX(0,MIN(1,(5-'Baseline'!H13+1)/('Baseline'!I13-'Baseline'!H13+1))),'Baseline'!G14*MAX(0,MIN(1,(5-'Baseline'!H14+1)/('Baseline'!I14-'Baseline'!H14+1))),'Baseline'!G15*MAX(0,MIN(1,(5-'Baseline'!H15+1)/('Baseline'!I15-'Baseline'!H15+1))),'Baseline'!G16*MAX(0,MIN(1,(5-'Baseline'!H16+1)/('Baseline'!I16-'Baseline'!H16+1))),'Baseline'!G17*MAX(0,MIN(1,(5-'Baseline'!H17+1)/('Baseline'!I17-'Baseline'!H17+1))),'Baseline'!G18*MAX(0,MIN(1,(5-'Baseline'!H18+1)/('Baseline'!I18-'Baseline'!H18+1))),'Baseline'!G19*MAX(0,MIN(1,(5-'Baseline'!H19+1)/('Baseline'!I19-'Baseline'!H19+1))),'Baseline'!G20*MAX(0,MIN(1,(5-'Baseline'!H20+1)/('Baseline'!I20-'Baseline'!H20+1))),'Baseline'!G21*MAX(0,MIN(1,(5-'Baseline'!H21+1)/('Baseline'!I21-'Baseline'!H21+1))),'Baseline'!G22*MAX(0,MIN(1,(5-'Baseline'!H22+1)/('Baseline'!I22-'Baseline'!H22+1))),'Baseline'!G23*MAX(0,MIN(1,(5-'Baseline'!H23+1)/('Baseline'!I23-'Baseline'!H23+1))),'Baseline'!G24*MAX(0,MIN(1,(5-'Baseline'!H24+1)/('Baseline'!I24-'Baseline'!H24+1))),'Baseline'!G25*MAX(0,MIN(1,(5-'Baseline'!H25+1)/('Baseline'!I25-'Baseline'!H25+1))),'Baseline'!G26*MAX(0,MIN(1,(5-'Baseline'!H26+1)/('Baseline'!I26-'Baseline'!H26+1))),'Baseline'!G27*MAX(0,MIN(1,(5-'Baseline'!H27+1)/('Baseline'!I27-'Baseline'!H27+1))),'Baseline'!G28*MAX(0,MIN(1,(5-'Baseline'!H28+1)/('Baseline'!I28-'Baseline'!H28+1))),'Baseline'!G29*MAX(0,MIN(1,(5-'Baseline'!H29+1)/('Baseline'!I29-'Baseline'!H29+1))),'Baseline'!G30*MAX(0,MIN(1,(5-'Baseline'!H30+1)/('Baseline'!I30-'Baseline'!H30+1))),'Baseline'!G31*MAX(0,MIN(1,(5-'Baseline'!H31+1)/('Baseline'!I31-'Baseline'!H31+1))),'Baseline'!G32*MAX(0,MIN(1,(5-'Baseline'!H32+1)/('Baseline'!I32-'Baseline'!H32+1))),'Baseline'!G33*MAX(0,MIN(1,(5-'Baseline'!H33+1)/('Baseline'!I33-'Baseline'!H33+1))),'Baseline'!G34*MAX(0,MIN(1,(5-'Baseline'!H34+1)/('Baseline'!I34-'Baseline'!H34+1))),'Baseline'!G35*MAX(0,MIN(1,(5-'Baseline'!H35+1)/('Baseline'!I35-'Baseline'!H35+1))),'Baseline'!G36*MAX(0,MIN(1,(5-'Baseline'!H36+1)/('Baseline'!I36-'Baseline'!H36+1))),'Baseline'!G37*MAX(0,MIN(1,(5-'Baseline'!H37+1)/('Baseline'!I37-'Baseline'!H37+1))),'Baseline'!G38*MAX(0,MIN(1,(5-'Baseline'!H38+1)/('Baseline'!I38-'Baseline'!H38+1))),'Baseline'!G39*MAX(0,MIN(1,(5-'Baseline'!H39+1)/('Baseline'!I39-'Baseline'!H39+1))))</x:f>
        <x:v>3760943.423220783</x:v>
      </x:c>
      <x:c r="C37" s="67" t="n">
        <x:f>SUMIFS('Measurements'!$H$8:$H$391,'Measurements'!$C$8:$C$391,"&lt;="&amp;5)</x:f>
        <x:v>3694007.471220784</x:v>
      </x:c>
      <x:c r="D37" s="67" t="n">
        <x:f>SUMIFS('Cost ledger'!$G$8:$G$415,'Cost ledger'!$C$8:$C$415,"&lt;="&amp;5)</x:f>
        <x:v>4134824.45639955</x:v>
      </x:c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</x:row>
    <x:row r="38">
      <x:c r="A38" s="60" t="str">
        <x:v>M06</x:v>
      </x:c>
      <x:c r="B38" s="67" t="n">
        <x:f>SUM('Baseline'!G8*MAX(0,MIN(1,(6-'Baseline'!H8+1)/('Baseline'!I8-'Baseline'!H8+1))),'Baseline'!G9*MAX(0,MIN(1,(6-'Baseline'!H9+1)/('Baseline'!I9-'Baseline'!H9+1))),'Baseline'!G10*MAX(0,MIN(1,(6-'Baseline'!H10+1)/('Baseline'!I10-'Baseline'!H10+1))),'Baseline'!G11*MAX(0,MIN(1,(6-'Baseline'!H11+1)/('Baseline'!I11-'Baseline'!H11+1))),'Baseline'!G12*MAX(0,MIN(1,(6-'Baseline'!H12+1)/('Baseline'!I12-'Baseline'!H12+1))),'Baseline'!G13*MAX(0,MIN(1,(6-'Baseline'!H13+1)/('Baseline'!I13-'Baseline'!H13+1))),'Baseline'!G14*MAX(0,MIN(1,(6-'Baseline'!H14+1)/('Baseline'!I14-'Baseline'!H14+1))),'Baseline'!G15*MAX(0,MIN(1,(6-'Baseline'!H15+1)/('Baseline'!I15-'Baseline'!H15+1))),'Baseline'!G16*MAX(0,MIN(1,(6-'Baseline'!H16+1)/('Baseline'!I16-'Baseline'!H16+1))),'Baseline'!G17*MAX(0,MIN(1,(6-'Baseline'!H17+1)/('Baseline'!I17-'Baseline'!H17+1))),'Baseline'!G18*MAX(0,MIN(1,(6-'Baseline'!H18+1)/('Baseline'!I18-'Baseline'!H18+1))),'Baseline'!G19*MAX(0,MIN(1,(6-'Baseline'!H19+1)/('Baseline'!I19-'Baseline'!H19+1))),'Baseline'!G20*MAX(0,MIN(1,(6-'Baseline'!H20+1)/('Baseline'!I20-'Baseline'!H20+1))),'Baseline'!G21*MAX(0,MIN(1,(6-'Baseline'!H21+1)/('Baseline'!I21-'Baseline'!H21+1))),'Baseline'!G22*MAX(0,MIN(1,(6-'Baseline'!H22+1)/('Baseline'!I22-'Baseline'!H22+1))),'Baseline'!G23*MAX(0,MIN(1,(6-'Baseline'!H23+1)/('Baseline'!I23-'Baseline'!H23+1))),'Baseline'!G24*MAX(0,MIN(1,(6-'Baseline'!H24+1)/('Baseline'!I24-'Baseline'!H24+1))),'Baseline'!G25*MAX(0,MIN(1,(6-'Baseline'!H25+1)/('Baseline'!I25-'Baseline'!H25+1))),'Baseline'!G26*MAX(0,MIN(1,(6-'Baseline'!H26+1)/('Baseline'!I26-'Baseline'!H26+1))),'Baseline'!G27*MAX(0,MIN(1,(6-'Baseline'!H27+1)/('Baseline'!I27-'Baseline'!H27+1))),'Baseline'!G28*MAX(0,MIN(1,(6-'Baseline'!H28+1)/('Baseline'!I28-'Baseline'!H28+1))),'Baseline'!G29*MAX(0,MIN(1,(6-'Baseline'!H29+1)/('Baseline'!I29-'Baseline'!H29+1))),'Baseline'!G30*MAX(0,MIN(1,(6-'Baseline'!H30+1)/('Baseline'!I30-'Baseline'!H30+1))),'Baseline'!G31*MAX(0,MIN(1,(6-'Baseline'!H31+1)/('Baseline'!I31-'Baseline'!H31+1))),'Baseline'!G32*MAX(0,MIN(1,(6-'Baseline'!H32+1)/('Baseline'!I32-'Baseline'!H32+1))),'Baseline'!G33*MAX(0,MIN(1,(6-'Baseline'!H33+1)/('Baseline'!I33-'Baseline'!H33+1))),'Baseline'!G34*MAX(0,MIN(1,(6-'Baseline'!H34+1)/('Baseline'!I34-'Baseline'!H34+1))),'Baseline'!G35*MAX(0,MIN(1,(6-'Baseline'!H35+1)/('Baseline'!I35-'Baseline'!H35+1))),'Baseline'!G36*MAX(0,MIN(1,(6-'Baseline'!H36+1)/('Baseline'!I36-'Baseline'!H36+1))),'Baseline'!G37*MAX(0,MIN(1,(6-'Baseline'!H37+1)/('Baseline'!I37-'Baseline'!H37+1))),'Baseline'!G38*MAX(0,MIN(1,(6-'Baseline'!H38+1)/('Baseline'!I38-'Baseline'!H38+1))),'Baseline'!G39*MAX(0,MIN(1,(6-'Baseline'!H39+1)/('Baseline'!I39-'Baseline'!H39+1))))</x:f>
        <x:v>5101751.959461043</x:v>
      </x:c>
      <x:c r="C38" s="67" t="n">
        <x:f>SUMIFS('Measurements'!$H$8:$H$391,'Measurements'!$C$8:$C$391,"&lt;="&amp;6)</x:f>
        <x:v>4890327.867561045</x:v>
      </x:c>
      <x:c r="D38" s="67" t="n">
        <x:f>SUMIFS('Cost ledger'!$G$8:$G$415,'Cost ledger'!$C$8:$C$415,"&lt;="&amp;6)</x:f>
        <x:v>5552322.260978735</x:v>
      </x:c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</x:row>
    <x:row r="39">
      <x:c r="A39" s="60" t="str">
        <x:v>M07</x:v>
      </x:c>
      <x:c r="B39" s="67" t="n">
        <x:f>SUM('Baseline'!G8*MAX(0,MIN(1,(7-'Baseline'!H8+1)/('Baseline'!I8-'Baseline'!H8+1))),'Baseline'!G9*MAX(0,MIN(1,(7-'Baseline'!H9+1)/('Baseline'!I9-'Baseline'!H9+1))),'Baseline'!G10*MAX(0,MIN(1,(7-'Baseline'!H10+1)/('Baseline'!I10-'Baseline'!H10+1))),'Baseline'!G11*MAX(0,MIN(1,(7-'Baseline'!H11+1)/('Baseline'!I11-'Baseline'!H11+1))),'Baseline'!G12*MAX(0,MIN(1,(7-'Baseline'!H12+1)/('Baseline'!I12-'Baseline'!H12+1))),'Baseline'!G13*MAX(0,MIN(1,(7-'Baseline'!H13+1)/('Baseline'!I13-'Baseline'!H13+1))),'Baseline'!G14*MAX(0,MIN(1,(7-'Baseline'!H14+1)/('Baseline'!I14-'Baseline'!H14+1))),'Baseline'!G15*MAX(0,MIN(1,(7-'Baseline'!H15+1)/('Baseline'!I15-'Baseline'!H15+1))),'Baseline'!G16*MAX(0,MIN(1,(7-'Baseline'!H16+1)/('Baseline'!I16-'Baseline'!H16+1))),'Baseline'!G17*MAX(0,MIN(1,(7-'Baseline'!H17+1)/('Baseline'!I17-'Baseline'!H17+1))),'Baseline'!G18*MAX(0,MIN(1,(7-'Baseline'!H18+1)/('Baseline'!I18-'Baseline'!H18+1))),'Baseline'!G19*MAX(0,MIN(1,(7-'Baseline'!H19+1)/('Baseline'!I19-'Baseline'!H19+1))),'Baseline'!G20*MAX(0,MIN(1,(7-'Baseline'!H20+1)/('Baseline'!I20-'Baseline'!H20+1))),'Baseline'!G21*MAX(0,MIN(1,(7-'Baseline'!H21+1)/('Baseline'!I21-'Baseline'!H21+1))),'Baseline'!G22*MAX(0,MIN(1,(7-'Baseline'!H22+1)/('Baseline'!I22-'Baseline'!H22+1))),'Baseline'!G23*MAX(0,MIN(1,(7-'Baseline'!H23+1)/('Baseline'!I23-'Baseline'!H23+1))),'Baseline'!G24*MAX(0,MIN(1,(7-'Baseline'!H24+1)/('Baseline'!I24-'Baseline'!H24+1))),'Baseline'!G25*MAX(0,MIN(1,(7-'Baseline'!H25+1)/('Baseline'!I25-'Baseline'!H25+1))),'Baseline'!G26*MAX(0,MIN(1,(7-'Baseline'!H26+1)/('Baseline'!I26-'Baseline'!H26+1))),'Baseline'!G27*MAX(0,MIN(1,(7-'Baseline'!H27+1)/('Baseline'!I27-'Baseline'!H27+1))),'Baseline'!G28*MAX(0,MIN(1,(7-'Baseline'!H28+1)/('Baseline'!I28-'Baseline'!H28+1))),'Baseline'!G29*MAX(0,MIN(1,(7-'Baseline'!H29+1)/('Baseline'!I29-'Baseline'!H29+1))),'Baseline'!G30*MAX(0,MIN(1,(7-'Baseline'!H30+1)/('Baseline'!I30-'Baseline'!H30+1))),'Baseline'!G31*MAX(0,MIN(1,(7-'Baseline'!H31+1)/('Baseline'!I31-'Baseline'!H31+1))),'Baseline'!G32*MAX(0,MIN(1,(7-'Baseline'!H32+1)/('Baseline'!I32-'Baseline'!H32+1))),'Baseline'!G33*MAX(0,MIN(1,(7-'Baseline'!H33+1)/('Baseline'!I33-'Baseline'!H33+1))),'Baseline'!G34*MAX(0,MIN(1,(7-'Baseline'!H34+1)/('Baseline'!I34-'Baseline'!H34+1))),'Baseline'!G35*MAX(0,MIN(1,(7-'Baseline'!H35+1)/('Baseline'!I35-'Baseline'!H35+1))),'Baseline'!G36*MAX(0,MIN(1,(7-'Baseline'!H36+1)/('Baseline'!I36-'Baseline'!H36+1))),'Baseline'!G37*MAX(0,MIN(1,(7-'Baseline'!H37+1)/('Baseline'!I37-'Baseline'!H37+1))),'Baseline'!G38*MAX(0,MIN(1,(7-'Baseline'!H38+1)/('Baseline'!I38-'Baseline'!H38+1))),'Baseline'!G39*MAX(0,MIN(1,(7-'Baseline'!H39+1)/('Baseline'!I39-'Baseline'!H39+1))))</x:f>
        <x:v>5929759.620701305</x:v>
      </x:c>
      <x:c r="C39" s="67" t="n">
        <x:f>SUMIFS('Measurements'!$H$8:$H$391,'Measurements'!$C$8:$C$391,"&lt;="&amp;7)</x:f>
        <x:v>5735653.603901307</x:v>
      </x:c>
      <x:c r="D39" s="67" t="n">
        <x:f>SUMIFS('Cost ledger'!$G$8:$G$415,'Cost ledger'!$C$8:$C$415,"&lt;="&amp;7)</x:f>
        <x:v>6479095.759457918</x:v>
      </x:c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</x:row>
    <x:row r="40">
      <x:c r="A40" s="60" t="str">
        <x:v>M08</x:v>
      </x:c>
      <x:c r="B40" s="67" t="n">
        <x:f>SUM('Baseline'!G8*MAX(0,MIN(1,(8-'Baseline'!H8+1)/('Baseline'!I8-'Baseline'!H8+1))),'Baseline'!G9*MAX(0,MIN(1,(8-'Baseline'!H9+1)/('Baseline'!I9-'Baseline'!H9+1))),'Baseline'!G10*MAX(0,MIN(1,(8-'Baseline'!H10+1)/('Baseline'!I10-'Baseline'!H10+1))),'Baseline'!G11*MAX(0,MIN(1,(8-'Baseline'!H11+1)/('Baseline'!I11-'Baseline'!H11+1))),'Baseline'!G12*MAX(0,MIN(1,(8-'Baseline'!H12+1)/('Baseline'!I12-'Baseline'!H12+1))),'Baseline'!G13*MAX(0,MIN(1,(8-'Baseline'!H13+1)/('Baseline'!I13-'Baseline'!H13+1))),'Baseline'!G14*MAX(0,MIN(1,(8-'Baseline'!H14+1)/('Baseline'!I14-'Baseline'!H14+1))),'Baseline'!G15*MAX(0,MIN(1,(8-'Baseline'!H15+1)/('Baseline'!I15-'Baseline'!H15+1))),'Baseline'!G16*MAX(0,MIN(1,(8-'Baseline'!H16+1)/('Baseline'!I16-'Baseline'!H16+1))),'Baseline'!G17*MAX(0,MIN(1,(8-'Baseline'!H17+1)/('Baseline'!I17-'Baseline'!H17+1))),'Baseline'!G18*MAX(0,MIN(1,(8-'Baseline'!H18+1)/('Baseline'!I18-'Baseline'!H18+1))),'Baseline'!G19*MAX(0,MIN(1,(8-'Baseline'!H19+1)/('Baseline'!I19-'Baseline'!H19+1))),'Baseline'!G20*MAX(0,MIN(1,(8-'Baseline'!H20+1)/('Baseline'!I20-'Baseline'!H20+1))),'Baseline'!G21*MAX(0,MIN(1,(8-'Baseline'!H21+1)/('Baseline'!I21-'Baseline'!H21+1))),'Baseline'!G22*MAX(0,MIN(1,(8-'Baseline'!H22+1)/('Baseline'!I22-'Baseline'!H22+1))),'Baseline'!G23*MAX(0,MIN(1,(8-'Baseline'!H23+1)/('Baseline'!I23-'Baseline'!H23+1))),'Baseline'!G24*MAX(0,MIN(1,(8-'Baseline'!H24+1)/('Baseline'!I24-'Baseline'!H24+1))),'Baseline'!G25*MAX(0,MIN(1,(8-'Baseline'!H25+1)/('Baseline'!I25-'Baseline'!H25+1))),'Baseline'!G26*MAX(0,MIN(1,(8-'Baseline'!H26+1)/('Baseline'!I26-'Baseline'!H26+1))),'Baseline'!G27*MAX(0,MIN(1,(8-'Baseline'!H27+1)/('Baseline'!I27-'Baseline'!H27+1))),'Baseline'!G28*MAX(0,MIN(1,(8-'Baseline'!H28+1)/('Baseline'!I28-'Baseline'!H28+1))),'Baseline'!G29*MAX(0,MIN(1,(8-'Baseline'!H29+1)/('Baseline'!I29-'Baseline'!H29+1))),'Baseline'!G30*MAX(0,MIN(1,(8-'Baseline'!H30+1)/('Baseline'!I30-'Baseline'!H30+1))),'Baseline'!G31*MAX(0,MIN(1,(8-'Baseline'!H31+1)/('Baseline'!I31-'Baseline'!H31+1))),'Baseline'!G32*MAX(0,MIN(1,(8-'Baseline'!H32+1)/('Baseline'!I32-'Baseline'!H32+1))),'Baseline'!G33*MAX(0,MIN(1,(8-'Baseline'!H33+1)/('Baseline'!I33-'Baseline'!H33+1))),'Baseline'!G34*MAX(0,MIN(1,(8-'Baseline'!H34+1)/('Baseline'!I34-'Baseline'!H34+1))),'Baseline'!G35*MAX(0,MIN(1,(8-'Baseline'!H35+1)/('Baseline'!I35-'Baseline'!H35+1))),'Baseline'!G36*MAX(0,MIN(1,(8-'Baseline'!H36+1)/('Baseline'!I36-'Baseline'!H36+1))),'Baseline'!G37*MAX(0,MIN(1,(8-'Baseline'!H37+1)/('Baseline'!I37-'Baseline'!H37+1))),'Baseline'!G38*MAX(0,MIN(1,(8-'Baseline'!H38+1)/('Baseline'!I38-'Baseline'!H38+1))),'Baseline'!G39*MAX(0,MIN(1,(8-'Baseline'!H39+1)/('Baseline'!I39-'Baseline'!H39+1))))</x:f>
        <x:v>6735368.081941565</x:v>
      </x:c>
      <x:c r="C40" s="67" t="n">
        <x:f>SUMIFS('Measurements'!$H$8:$H$391,'Measurements'!$C$8:$C$391,"&lt;="&amp;8)</x:f>
        <x:v>6539098.965241568</x:v>
      </x:c>
      <x:c r="D40" s="67" t="n">
        <x:f>SUMIFS('Cost ledger'!$G$8:$G$415,'Cost ledger'!$C$8:$C$415,"&lt;="&amp;8)</x:f>
        <x:v>7399912.2498121</x:v>
      </x:c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</x:row>
    <x:row r="41">
      <x:c r="A41" s="60" t="str">
        <x:v>M09</x:v>
      </x:c>
      <x:c r="B41" s="67" t="n">
        <x:f>SUM('Baseline'!G8*MAX(0,MIN(1,(9-'Baseline'!H8+1)/('Baseline'!I8-'Baseline'!H8+1))),'Baseline'!G9*MAX(0,MIN(1,(9-'Baseline'!H9+1)/('Baseline'!I9-'Baseline'!H9+1))),'Baseline'!G10*MAX(0,MIN(1,(9-'Baseline'!H10+1)/('Baseline'!I10-'Baseline'!H10+1))),'Baseline'!G11*MAX(0,MIN(1,(9-'Baseline'!H11+1)/('Baseline'!I11-'Baseline'!H11+1))),'Baseline'!G12*MAX(0,MIN(1,(9-'Baseline'!H12+1)/('Baseline'!I12-'Baseline'!H12+1))),'Baseline'!G13*MAX(0,MIN(1,(9-'Baseline'!H13+1)/('Baseline'!I13-'Baseline'!H13+1))),'Baseline'!G14*MAX(0,MIN(1,(9-'Baseline'!H14+1)/('Baseline'!I14-'Baseline'!H14+1))),'Baseline'!G15*MAX(0,MIN(1,(9-'Baseline'!H15+1)/('Baseline'!I15-'Baseline'!H15+1))),'Baseline'!G16*MAX(0,MIN(1,(9-'Baseline'!H16+1)/('Baseline'!I16-'Baseline'!H16+1))),'Baseline'!G17*MAX(0,MIN(1,(9-'Baseline'!H17+1)/('Baseline'!I17-'Baseline'!H17+1))),'Baseline'!G18*MAX(0,MIN(1,(9-'Baseline'!H18+1)/('Baseline'!I18-'Baseline'!H18+1))),'Baseline'!G19*MAX(0,MIN(1,(9-'Baseline'!H19+1)/('Baseline'!I19-'Baseline'!H19+1))),'Baseline'!G20*MAX(0,MIN(1,(9-'Baseline'!H20+1)/('Baseline'!I20-'Baseline'!H20+1))),'Baseline'!G21*MAX(0,MIN(1,(9-'Baseline'!H21+1)/('Baseline'!I21-'Baseline'!H21+1))),'Baseline'!G22*MAX(0,MIN(1,(9-'Baseline'!H22+1)/('Baseline'!I22-'Baseline'!H22+1))),'Baseline'!G23*MAX(0,MIN(1,(9-'Baseline'!H23+1)/('Baseline'!I23-'Baseline'!H23+1))),'Baseline'!G24*MAX(0,MIN(1,(9-'Baseline'!H24+1)/('Baseline'!I24-'Baseline'!H24+1))),'Baseline'!G25*MAX(0,MIN(1,(9-'Baseline'!H25+1)/('Baseline'!I25-'Baseline'!H25+1))),'Baseline'!G26*MAX(0,MIN(1,(9-'Baseline'!H26+1)/('Baseline'!I26-'Baseline'!H26+1))),'Baseline'!G27*MAX(0,MIN(1,(9-'Baseline'!H27+1)/('Baseline'!I27-'Baseline'!H27+1))),'Baseline'!G28*MAX(0,MIN(1,(9-'Baseline'!H28+1)/('Baseline'!I28-'Baseline'!H28+1))),'Baseline'!G29*MAX(0,MIN(1,(9-'Baseline'!H29+1)/('Baseline'!I29-'Baseline'!H29+1))),'Baseline'!G30*MAX(0,MIN(1,(9-'Baseline'!H30+1)/('Baseline'!I30-'Baseline'!H30+1))),'Baseline'!G31*MAX(0,MIN(1,(9-'Baseline'!H31+1)/('Baseline'!I31-'Baseline'!H31+1))),'Baseline'!G32*MAX(0,MIN(1,(9-'Baseline'!H32+1)/('Baseline'!I32-'Baseline'!H32+1))),'Baseline'!G33*MAX(0,MIN(1,(9-'Baseline'!H33+1)/('Baseline'!I33-'Baseline'!H33+1))),'Baseline'!G34*MAX(0,MIN(1,(9-'Baseline'!H34+1)/('Baseline'!I34-'Baseline'!H34+1))),'Baseline'!G35*MAX(0,MIN(1,(9-'Baseline'!H35+1)/('Baseline'!I35-'Baseline'!H35+1))),'Baseline'!G36*MAX(0,MIN(1,(9-'Baseline'!H36+1)/('Baseline'!I36-'Baseline'!H36+1))),'Baseline'!G37*MAX(0,MIN(1,(9-'Baseline'!H37+1)/('Baseline'!I37-'Baseline'!H37+1))),'Baseline'!G38*MAX(0,MIN(1,(9-'Baseline'!H38+1)/('Baseline'!I38-'Baseline'!H38+1))),'Baseline'!G39*MAX(0,MIN(1,(9-'Baseline'!H39+1)/('Baseline'!I39-'Baseline'!H39+1))))</x:f>
        <x:v>7474774.298181826</x:v>
      </x:c>
      <x:c r="C41" s="67" t="n">
        <x:f>SUMIFS('Measurements'!$H$8:$H$391,'Measurements'!$C$8:$C$391,"&lt;="&amp;9)</x:f>
        <x:v>7276342.08158183</x:v>
      </x:c>
      <x:c r="D41" s="67" t="n">
        <x:f>SUMIFS('Cost ledger'!$G$8:$G$415,'Cost ledger'!$C$8:$C$415,"&lt;="&amp;9)</x:f>
        <x:v>8231290.652716283</x:v>
      </x:c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</x:row>
    <x:row r="42">
      <x:c r="A42" s="60" t="str">
        <x:v>M10</x:v>
      </x:c>
      <x:c r="B42" s="67" t="n">
        <x:f>SUM('Baseline'!G8*MAX(0,MIN(1,(10-'Baseline'!H8+1)/('Baseline'!I8-'Baseline'!H8+1))),'Baseline'!G9*MAX(0,MIN(1,(10-'Baseline'!H9+1)/('Baseline'!I9-'Baseline'!H9+1))),'Baseline'!G10*MAX(0,MIN(1,(10-'Baseline'!H10+1)/('Baseline'!I10-'Baseline'!H10+1))),'Baseline'!G11*MAX(0,MIN(1,(10-'Baseline'!H11+1)/('Baseline'!I11-'Baseline'!H11+1))),'Baseline'!G12*MAX(0,MIN(1,(10-'Baseline'!H12+1)/('Baseline'!I12-'Baseline'!H12+1))),'Baseline'!G13*MAX(0,MIN(1,(10-'Baseline'!H13+1)/('Baseline'!I13-'Baseline'!H13+1))),'Baseline'!G14*MAX(0,MIN(1,(10-'Baseline'!H14+1)/('Baseline'!I14-'Baseline'!H14+1))),'Baseline'!G15*MAX(0,MIN(1,(10-'Baseline'!H15+1)/('Baseline'!I15-'Baseline'!H15+1))),'Baseline'!G16*MAX(0,MIN(1,(10-'Baseline'!H16+1)/('Baseline'!I16-'Baseline'!H16+1))),'Baseline'!G17*MAX(0,MIN(1,(10-'Baseline'!H17+1)/('Baseline'!I17-'Baseline'!H17+1))),'Baseline'!G18*MAX(0,MIN(1,(10-'Baseline'!H18+1)/('Baseline'!I18-'Baseline'!H18+1))),'Baseline'!G19*MAX(0,MIN(1,(10-'Baseline'!H19+1)/('Baseline'!I19-'Baseline'!H19+1))),'Baseline'!G20*MAX(0,MIN(1,(10-'Baseline'!H20+1)/('Baseline'!I20-'Baseline'!H20+1))),'Baseline'!G21*MAX(0,MIN(1,(10-'Baseline'!H21+1)/('Baseline'!I21-'Baseline'!H21+1))),'Baseline'!G22*MAX(0,MIN(1,(10-'Baseline'!H22+1)/('Baseline'!I22-'Baseline'!H22+1))),'Baseline'!G23*MAX(0,MIN(1,(10-'Baseline'!H23+1)/('Baseline'!I23-'Baseline'!H23+1))),'Baseline'!G24*MAX(0,MIN(1,(10-'Baseline'!H24+1)/('Baseline'!I24-'Baseline'!H24+1))),'Baseline'!G25*MAX(0,MIN(1,(10-'Baseline'!H25+1)/('Baseline'!I25-'Baseline'!H25+1))),'Baseline'!G26*MAX(0,MIN(1,(10-'Baseline'!H26+1)/('Baseline'!I26-'Baseline'!H26+1))),'Baseline'!G27*MAX(0,MIN(1,(10-'Baseline'!H27+1)/('Baseline'!I27-'Baseline'!H27+1))),'Baseline'!G28*MAX(0,MIN(1,(10-'Baseline'!H28+1)/('Baseline'!I28-'Baseline'!H28+1))),'Baseline'!G29*MAX(0,MIN(1,(10-'Baseline'!H29+1)/('Baseline'!I29-'Baseline'!H29+1))),'Baseline'!G30*MAX(0,MIN(1,(10-'Baseline'!H30+1)/('Baseline'!I30-'Baseline'!H30+1))),'Baseline'!G31*MAX(0,MIN(1,(10-'Baseline'!H31+1)/('Baseline'!I31-'Baseline'!H31+1))),'Baseline'!G32*MAX(0,MIN(1,(10-'Baseline'!H32+1)/('Baseline'!I32-'Baseline'!H32+1))),'Baseline'!G33*MAX(0,MIN(1,(10-'Baseline'!H33+1)/('Baseline'!I33-'Baseline'!H33+1))),'Baseline'!G34*MAX(0,MIN(1,(10-'Baseline'!H34+1)/('Baseline'!I34-'Baseline'!H34+1))),'Baseline'!G35*MAX(0,MIN(1,(10-'Baseline'!H35+1)/('Baseline'!I35-'Baseline'!H35+1))),'Baseline'!G36*MAX(0,MIN(1,(10-'Baseline'!H36+1)/('Baseline'!I36-'Baseline'!H36+1))),'Baseline'!G37*MAX(0,MIN(1,(10-'Baseline'!H37+1)/('Baseline'!I37-'Baseline'!H37+1))),'Baseline'!G38*MAX(0,MIN(1,(10-'Baseline'!H38+1)/('Baseline'!I38-'Baseline'!H38+1))),'Baseline'!G39*MAX(0,MIN(1,(10-'Baseline'!H39+1)/('Baseline'!I39-'Baseline'!H39+1))))</x:f>
        <x:v>8214180.514422085</x:v>
      </x:c>
      <x:c r="C42" s="67" t="n">
        <x:f>SUMIFS('Measurements'!$H$8:$H$391,'Measurements'!$C$8:$C$391,"&lt;="&amp;10)</x:f>
        <x:v>8013585.197922092</x:v>
      </x:c>
      <x:c r="D42" s="67" t="n">
        <x:f>SUMIFS('Cost ledger'!$G$8:$G$415,'Cost ledger'!$C$8:$C$415,"&lt;="&amp;10)</x:f>
        <x:v>9040121.165620467</x:v>
      </x:c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</x:row>
    <x:row r="43">
      <x:c r="A43" s="60" t="str">
        <x:v>M11</x:v>
      </x:c>
      <x:c r="B43" s="67" t="n">
        <x:f>SUM('Baseline'!G8*MAX(0,MIN(1,(11-'Baseline'!H8+1)/('Baseline'!I8-'Baseline'!H8+1))),'Baseline'!G9*MAX(0,MIN(1,(11-'Baseline'!H9+1)/('Baseline'!I9-'Baseline'!H9+1))),'Baseline'!G10*MAX(0,MIN(1,(11-'Baseline'!H10+1)/('Baseline'!I10-'Baseline'!H10+1))),'Baseline'!G11*MAX(0,MIN(1,(11-'Baseline'!H11+1)/('Baseline'!I11-'Baseline'!H11+1))),'Baseline'!G12*MAX(0,MIN(1,(11-'Baseline'!H12+1)/('Baseline'!I12-'Baseline'!H12+1))),'Baseline'!G13*MAX(0,MIN(1,(11-'Baseline'!H13+1)/('Baseline'!I13-'Baseline'!H13+1))),'Baseline'!G14*MAX(0,MIN(1,(11-'Baseline'!H14+1)/('Baseline'!I14-'Baseline'!H14+1))),'Baseline'!G15*MAX(0,MIN(1,(11-'Baseline'!H15+1)/('Baseline'!I15-'Baseline'!H15+1))),'Baseline'!G16*MAX(0,MIN(1,(11-'Baseline'!H16+1)/('Baseline'!I16-'Baseline'!H16+1))),'Baseline'!G17*MAX(0,MIN(1,(11-'Baseline'!H17+1)/('Baseline'!I17-'Baseline'!H17+1))),'Baseline'!G18*MAX(0,MIN(1,(11-'Baseline'!H18+1)/('Baseline'!I18-'Baseline'!H18+1))),'Baseline'!G19*MAX(0,MIN(1,(11-'Baseline'!H19+1)/('Baseline'!I19-'Baseline'!H19+1))),'Baseline'!G20*MAX(0,MIN(1,(11-'Baseline'!H20+1)/('Baseline'!I20-'Baseline'!H20+1))),'Baseline'!G21*MAX(0,MIN(1,(11-'Baseline'!H21+1)/('Baseline'!I21-'Baseline'!H21+1))),'Baseline'!G22*MAX(0,MIN(1,(11-'Baseline'!H22+1)/('Baseline'!I22-'Baseline'!H22+1))),'Baseline'!G23*MAX(0,MIN(1,(11-'Baseline'!H23+1)/('Baseline'!I23-'Baseline'!H23+1))),'Baseline'!G24*MAX(0,MIN(1,(11-'Baseline'!H24+1)/('Baseline'!I24-'Baseline'!H24+1))),'Baseline'!G25*MAX(0,MIN(1,(11-'Baseline'!H25+1)/('Baseline'!I25-'Baseline'!H25+1))),'Baseline'!G26*MAX(0,MIN(1,(11-'Baseline'!H26+1)/('Baseline'!I26-'Baseline'!H26+1))),'Baseline'!G27*MAX(0,MIN(1,(11-'Baseline'!H27+1)/('Baseline'!I27-'Baseline'!H27+1))),'Baseline'!G28*MAX(0,MIN(1,(11-'Baseline'!H28+1)/('Baseline'!I28-'Baseline'!H28+1))),'Baseline'!G29*MAX(0,MIN(1,(11-'Baseline'!H29+1)/('Baseline'!I29-'Baseline'!H29+1))),'Baseline'!G30*MAX(0,MIN(1,(11-'Baseline'!H30+1)/('Baseline'!I30-'Baseline'!H30+1))),'Baseline'!G31*MAX(0,MIN(1,(11-'Baseline'!H31+1)/('Baseline'!I31-'Baseline'!H31+1))),'Baseline'!G32*MAX(0,MIN(1,(11-'Baseline'!H32+1)/('Baseline'!I32-'Baseline'!H32+1))),'Baseline'!G33*MAX(0,MIN(1,(11-'Baseline'!H33+1)/('Baseline'!I33-'Baseline'!H33+1))),'Baseline'!G34*MAX(0,MIN(1,(11-'Baseline'!H34+1)/('Baseline'!I34-'Baseline'!H34+1))),'Baseline'!G35*MAX(0,MIN(1,(11-'Baseline'!H35+1)/('Baseline'!I35-'Baseline'!H35+1))),'Baseline'!G36*MAX(0,MIN(1,(11-'Baseline'!H36+1)/('Baseline'!I36-'Baseline'!H36+1))),'Baseline'!G37*MAX(0,MIN(1,(11-'Baseline'!H37+1)/('Baseline'!I37-'Baseline'!H37+1))),'Baseline'!G38*MAX(0,MIN(1,(11-'Baseline'!H38+1)/('Baseline'!I38-'Baseline'!H38+1))),'Baseline'!G39*MAX(0,MIN(1,(11-'Baseline'!H39+1)/('Baseline'!I39-'Baseline'!H39+1))))</x:f>
        <x:v>8953586.730662348</x:v>
      </x:c>
      <x:c r="C43" s="67" t="n">
        <x:f>SUMIFS('Measurements'!$H$8:$H$391,'Measurements'!$C$8:$C$391,"&lt;="&amp;11)</x:f>
        <x:v>8750828.314262355</x:v>
      </x:c>
      <x:c r="D43" s="67" t="n">
        <x:f>SUMIFS('Cost ledger'!$G$8:$G$415,'Cost ledger'!$C$8:$C$415,"&lt;="&amp;11)</x:f>
        <x:v>9845935.576024652</x:v>
      </x:c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</x:row>
    <x:row r="44">
      <x:c r="A44" s="60" t="str">
        <x:v>M12</x:v>
      </x:c>
      <x:c r="B44" s="67" t="n">
        <x:f>SUM('Baseline'!G8*MAX(0,MIN(1,(12-'Baseline'!H8+1)/('Baseline'!I8-'Baseline'!H8+1))),'Baseline'!G9*MAX(0,MIN(1,(12-'Baseline'!H9+1)/('Baseline'!I9-'Baseline'!H9+1))),'Baseline'!G10*MAX(0,MIN(1,(12-'Baseline'!H10+1)/('Baseline'!I10-'Baseline'!H10+1))),'Baseline'!G11*MAX(0,MIN(1,(12-'Baseline'!H11+1)/('Baseline'!I11-'Baseline'!H11+1))),'Baseline'!G12*MAX(0,MIN(1,(12-'Baseline'!H12+1)/('Baseline'!I12-'Baseline'!H12+1))),'Baseline'!G13*MAX(0,MIN(1,(12-'Baseline'!H13+1)/('Baseline'!I13-'Baseline'!H13+1))),'Baseline'!G14*MAX(0,MIN(1,(12-'Baseline'!H14+1)/('Baseline'!I14-'Baseline'!H14+1))),'Baseline'!G15*MAX(0,MIN(1,(12-'Baseline'!H15+1)/('Baseline'!I15-'Baseline'!H15+1))),'Baseline'!G16*MAX(0,MIN(1,(12-'Baseline'!H16+1)/('Baseline'!I16-'Baseline'!H16+1))),'Baseline'!G17*MAX(0,MIN(1,(12-'Baseline'!H17+1)/('Baseline'!I17-'Baseline'!H17+1))),'Baseline'!G18*MAX(0,MIN(1,(12-'Baseline'!H18+1)/('Baseline'!I18-'Baseline'!H18+1))),'Baseline'!G19*MAX(0,MIN(1,(12-'Baseline'!H19+1)/('Baseline'!I19-'Baseline'!H19+1))),'Baseline'!G20*MAX(0,MIN(1,(12-'Baseline'!H20+1)/('Baseline'!I20-'Baseline'!H20+1))),'Baseline'!G21*MAX(0,MIN(1,(12-'Baseline'!H21+1)/('Baseline'!I21-'Baseline'!H21+1))),'Baseline'!G22*MAX(0,MIN(1,(12-'Baseline'!H22+1)/('Baseline'!I22-'Baseline'!H22+1))),'Baseline'!G23*MAX(0,MIN(1,(12-'Baseline'!H23+1)/('Baseline'!I23-'Baseline'!H23+1))),'Baseline'!G24*MAX(0,MIN(1,(12-'Baseline'!H24+1)/('Baseline'!I24-'Baseline'!H24+1))),'Baseline'!G25*MAX(0,MIN(1,(12-'Baseline'!H25+1)/('Baseline'!I25-'Baseline'!H25+1))),'Baseline'!G26*MAX(0,MIN(1,(12-'Baseline'!H26+1)/('Baseline'!I26-'Baseline'!H26+1))),'Baseline'!G27*MAX(0,MIN(1,(12-'Baseline'!H27+1)/('Baseline'!I27-'Baseline'!H27+1))),'Baseline'!G28*MAX(0,MIN(1,(12-'Baseline'!H28+1)/('Baseline'!I28-'Baseline'!H28+1))),'Baseline'!G29*MAX(0,MIN(1,(12-'Baseline'!H29+1)/('Baseline'!I29-'Baseline'!H29+1))),'Baseline'!G30*MAX(0,MIN(1,(12-'Baseline'!H30+1)/('Baseline'!I30-'Baseline'!H30+1))),'Baseline'!G31*MAX(0,MIN(1,(12-'Baseline'!H31+1)/('Baseline'!I31-'Baseline'!H31+1))),'Baseline'!G32*MAX(0,MIN(1,(12-'Baseline'!H32+1)/('Baseline'!I32-'Baseline'!H32+1))),'Baseline'!G33*MAX(0,MIN(1,(12-'Baseline'!H33+1)/('Baseline'!I33-'Baseline'!H33+1))),'Baseline'!G34*MAX(0,MIN(1,(12-'Baseline'!H34+1)/('Baseline'!I34-'Baseline'!H34+1))),'Baseline'!G35*MAX(0,MIN(1,(12-'Baseline'!H35+1)/('Baseline'!I35-'Baseline'!H35+1))),'Baseline'!G36*MAX(0,MIN(1,(12-'Baseline'!H36+1)/('Baseline'!I36-'Baseline'!H36+1))),'Baseline'!G37*MAX(0,MIN(1,(12-'Baseline'!H37+1)/('Baseline'!I37-'Baseline'!H37+1))),'Baseline'!G38*MAX(0,MIN(1,(12-'Baseline'!H38+1)/('Baseline'!I38-'Baseline'!H38+1))),'Baseline'!G39*MAX(0,MIN(1,(12-'Baseline'!H39+1)/('Baseline'!I39-'Baseline'!H39+1))))</x:f>
        <x:v>9948045.061811699</x:v>
      </x:c>
      <x:c r="C44" s="67" t="n">
        <x:f>SUMIFS('Measurements'!$H$8:$H$391,'Measurements'!$C$8:$C$391,"&lt;="&amp;12)</x:f>
        <x:v>9738677.143882614</x:v>
      </x:c>
      <x:c r="D44" s="67" t="n">
        <x:f>SUMIFS('Cost ledger'!$G$8:$G$415,'Cost ledger'!$C$8:$C$415,"&lt;="&amp;12)</x:f>
        <x:v>10889343.668223083</x:v>
      </x:c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</x:row>
  </x:sheetData>
  <x:pageMargins left="0.7" right="0.7" top="0.75" bottom="0.75" header="0.3" footer="0.3"/>
  <x:drawing xmlns:r="http://schemas.openxmlformats.org/officeDocument/2006/relationships" r:id="R92ee402c826f4a6b"/>
</x:worksheet>
</file>

<file path=xl/worksheets/sheet2.xml><?xml version="1.0" encoding="utf-8"?>
<x:worksheet xmlns:x="http://schemas.openxmlformats.org/spreadsheetml/2006/main">
  <x:sheetPr>
    <x:tabColor rgb="FF255E9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15" hidden="0" customWidth="1"/>
    <x:col min="4" max="4" width="84" hidden="0" customWidth="1"/>
  </x:cols>
  <x:sheetData>
    <x:row r="2">
      <x:c r="A2" s="53" t="str">
        <x:v>Commercial reporting controls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CE-R01-CM / Rev 01 / USD excluding tax / report at M12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Driver</x:v>
      </x:c>
      <x:c r="B7" s="6" t="str">
        <x:v>Input</x:v>
      </x:c>
      <x:c r="C7" s="6" t="str">
        <x:v>Unit</x:v>
      </x:c>
      <x:c r="D7" s="6" t="str">
        <x:v>Basis</x:v>
      </x:c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Report month</x:v>
      </x:c>
      <x:c r="B8" s="68" t="n">
        <x:v>12</x:v>
      </x:c>
      <x:c r="C8" s="58" t="str">
        <x:v>month</x:v>
      </x:c>
      <x:c r="D8" s="58" t="str">
        <x:v>Reporting cutoff within the 24-month baseline</x:v>
      </x:c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Contract factor</x:v>
      </x:c>
      <x:c r="B9" s="69" t="n">
        <x:v>1.2198</x:v>
      </x:c>
      <x:c r="C9" s="60" t="str">
        <x:v>ratio</x:v>
      </x:c>
      <x:c r="D9" s="60" t="str">
        <x:v>Original contract / direct BOQ budget</x:v>
      </x:c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Retention rate</x:v>
      </x:c>
      <x:c r="B10" s="69" t="n">
        <x:v>0.05</x:v>
      </x:c>
      <x:c r="C10" s="58" t="str">
        <x:v>ratio</x:v>
      </x:c>
      <x:c r="D10" s="58" t="str">
        <x:v>5% of cumulative gross certification</x:v>
      </x:c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Retention cap</x:v>
      </x:c>
      <x:c r="B11" s="69" t="n">
        <x:v>0.05</x:v>
      </x:c>
      <x:c r="C11" s="60" t="str">
        <x:v>ratio</x:v>
      </x:c>
      <x:c r="D11" s="60" t="str">
        <x:v>5% of original contract</x:v>
      </x:c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Advance rate</x:v>
      </x:c>
      <x:c r="B12" s="69" t="n">
        <x:v>0.1</x:v>
      </x:c>
      <x:c r="C12" s="58" t="str">
        <x:v>ratio</x:v>
      </x:c>
      <x:c r="D12" s="58" t="str">
        <x:v>Original contract advance</x:v>
      </x:c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Recovery rate</x:v>
      </x:c>
      <x:c r="B13" s="69" t="n">
        <x:v>0.1</x:v>
      </x:c>
      <x:c r="C13" s="60" t="str">
        <x:v>ratio</x:v>
      </x:c>
      <x:c r="D13" s="60" t="str">
        <x:v>10% of gross certificate, capped at advance</x:v>
      </x:c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Original contract</x:v>
      </x:c>
      <x:c r="B14" s="68" t="n">
        <x:v>27588064.60541112</x:v>
      </x:c>
      <x:c r="C14" s="58" t="str">
        <x:v>USD</x:v>
      </x:c>
      <x:c r="D14" s="58" t="str">
        <x:v>CE-R01 controlled BOQ baseline</x:v>
      </x:c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Base budget</x:v>
      </x:c>
      <x:c r="B15" s="68" t="n">
        <x:v>22616875.393844172</x:v>
      </x:c>
      <x:c r="C15" s="60" t="str">
        <x:v>USD</x:v>
      </x:c>
      <x:c r="D15" s="60" t="str">
        <x:v>Direct costs only; excludes preliminaries and financing</x:v>
      </x:c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Forecast rate factor</x:v>
      </x:c>
      <x:c r="B16" s="69" t="n">
        <x:v>1.04</x:v>
      </x:c>
      <x:c r="C16" s="58" t="str">
        <x:v>ratio</x:v>
      </x:c>
      <x:c r="D16" s="58" t="str">
        <x:v>Remaining base quantities at 104% of budget rate</x:v>
      </x:c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Original start</x:v>
      </x:c>
      <x:c r="B17" s="70" t="d">
        <x:v>2026-11-01T00:00:00.000Z</x:v>
      </x:c>
      <x:c r="C17" s="60" t="str">
        <x:v>date</x:v>
      </x:c>
      <x:c r="D17" s="60" t="str">
        <x:v>Independent portfolio baseline</x:v>
      </x:c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Original duration</x:v>
      </x:c>
      <x:c r="B18" s="68" t="n">
        <x:v>24</x:v>
      </x:c>
      <x:c r="C18" s="58" t="str">
        <x:v>months</x:v>
      </x:c>
      <x:c r="D18" s="58" t="str">
        <x:v>Baseline construction duration</x:v>
      </x:c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str">
        <x:v>Gross floor area</x:v>
      </x:c>
      <x:c r="B19" s="68" t="n">
        <x:v>70560</x:v>
      </x:c>
      <x:c r="C19" s="60" t="str">
        <x:v>m2</x:v>
      </x:c>
      <x:c r="D19" s="60" t="str">
        <x:v>Six towers, 288 apartments</x:v>
      </x:c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</x:sheetData>
  <x:dataValidations count="1">
    <x:dataValidation type="whole" operator="between" sqref="B8">
      <x:formula1>1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4" hidden="0" customWidth="1"/>
    <x:col min="17" max="17" width="14" hidden="0" customWidth="1"/>
    <x:col min="18" max="18" width="25" hidden="0" customWidth="1"/>
  </x:cols>
  <x:sheetData>
    <x:row r="2">
      <x:c r="A2" s="53" t="str">
        <x:v>Cost value reconciliation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Direct-cost basis. Positive budget less EAC = forecast underspend. Base SPI excludes change scope.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Code</x:v>
      </x:c>
      <x:c r="B7" s="6" t="str">
        <x:v>Trade</x:v>
      </x:c>
      <x:c r="C7" s="6" t="str">
        <x:v>Original BAC</x:v>
      </x:c>
      <x:c r="D7" s="6" t="str">
        <x:v>Approved change BAC</x:v>
      </x:c>
      <x:c r="E7" s="6" t="str">
        <x:v>Revised BAC</x:v>
      </x:c>
      <x:c r="F7" s="6" t="str">
        <x:v>Base PV</x:v>
      </x:c>
      <x:c r="G7" s="6" t="str">
        <x:v>Base EV</x:v>
      </x:c>
      <x:c r="H7" s="6" t="str">
        <x:v>Change EV</x:v>
      </x:c>
      <x:c r="I7" s="6" t="str">
        <x:v>Total EV</x:v>
      </x:c>
      <x:c r="J7" s="6" t="str">
        <x:v>Actual cost</x:v>
      </x:c>
      <x:c r="K7" s="6" t="str">
        <x:v>Remaining base cost</x:v>
      </x:c>
      <x:c r="L7" s="6" t="str">
        <x:v>Remaining change cost</x:v>
      </x:c>
      <x:c r="M7" s="6" t="str">
        <x:v>ETC</x:v>
      </x:c>
      <x:c r="N7" s="6" t="str">
        <x:v>EAC</x:v>
      </x:c>
      <x:c r="O7" s="6" t="str">
        <x:v>Budget less EAC</x:v>
      </x:c>
      <x:c r="P7" s="6" t="str">
        <x:v>CPI</x:v>
      </x:c>
      <x:c r="Q7" s="6" t="str">
        <x:v>Base SPI</x:v>
      </x:c>
      <x:c r="R7" s="6" t="str">
        <x:v>Accepted base qty</x:v>
      </x:c>
      <x:c r="S7" s="54"/>
    </x:row>
    <x:row r="8" ht="23" customHeight="1">
      <x:c r="A8" s="58" t="str">
        <x:v>EW01</x:v>
      </x:c>
      <x:c r="B8" s="58" t="str">
        <x:v>Earthworks</x:v>
      </x:c>
      <x:c r="C8" s="71" t="n">
        <x:f>'Baseline'!G8</x:f>
        <x:v>512020.80000000005</x:v>
      </x:c>
      <x:c r="D8" s="71" t="n">
        <x:f>SUMIFS('Variations'!$H$8:$H$31,'Variations'!$B$8:$B$31,A8,'Variations'!$D$8:$D$31,"Approved")</x:f>
        <x:v>0</x:v>
      </x:c>
      <x:c r="E8" s="72" t="n">
        <x:f>C8+D8</x:f>
        <x:v>512020.80000000005</x:v>
      </x:c>
      <x:c r="F8" s="71" t="n">
        <x:f>'Baseline'!K8*'Baseline'!F8</x:f>
        <x:v>512020.80000000005</x:v>
      </x:c>
      <x:c r="G8" s="71" t="n">
        <x:f>SUMIFS('Measurements'!$H$8:$H$391,'Measurements'!$B$8:$B$391,A8,'Measurements'!$C$8:$C$391,"&lt;="&amp;'Controls'!$B$8)</x:f>
        <x:v>496660.1760000001</x:v>
      </x:c>
      <x:c r="H8" s="71" t="n">
        <x:f>SUMIFS('Variations'!$K$8:$K$31,'Variations'!$B$8:$B$31,A8)</x:f>
        <x:v>0</x:v>
      </x:c>
      <x:c r="I8" s="72" t="n">
        <x:f>G8+H8</x:f>
        <x:v>496660.1760000001</x:v>
      </x:c>
      <x:c r="J8" s="71" t="n">
        <x:f>SUMIFS('Cost ledger'!$G$8:$G$415,'Cost ledger'!$B$8:$B$415,A8,'Cost ledger'!$C$8:$C$415,"&lt;="&amp;'Controls'!$B$8)</x:f>
        <x:v>476793.76896</x:v>
      </x:c>
      <x:c r="K8" s="71" t="n">
        <x:f>MAX(0,'Baseline'!E8-R8)*'Baseline'!F8*'Controls'!$B$16</x:f>
        <x:v>15975.04895999996</x:v>
      </x:c>
      <x:c r="L8" s="71" t="n">
        <x:f>SUMIFS('Variations'!$O$8:$O$31,'Variations'!$B$8:$B$31,A8)</x:f>
        <x:v>0</x:v>
      </x:c>
      <x:c r="M8" s="72" t="n">
        <x:f>K8+L8</x:f>
        <x:v>15975.04895999996</x:v>
      </x:c>
      <x:c r="N8" s="72" t="n">
        <x:f>J8+M8</x:f>
        <x:v>492768.81792</x:v>
      </x:c>
      <x:c r="O8" s="72" t="n">
        <x:f>E8-N8</x:f>
        <x:v>19251.982080000045</x:v>
      </x:c>
      <x:c r="P8" s="73" t="n">
        <x:f>IF(J8=0,"n.a.",I8/J8)</x:f>
        <x:v>1.0416666666666667</x:v>
      </x:c>
      <x:c r="Q8" s="73" t="n">
        <x:f>IF(F8=0,"n.a.",G8/F8)</x:f>
        <x:v>0.9700000000000001</x:v>
      </x:c>
      <x:c r="R8" s="74" t="n">
        <x:f>SUMIFS('Measurements'!$F$8:$F$391,'Measurements'!$B$8:$B$391,A8,'Measurements'!$C$8:$C$391,"&lt;="&amp;'Controls'!$B$8)</x:f>
        <x:v>67116.24</x:v>
      </x:c>
      <x:c r="S8" s="54"/>
    </x:row>
    <x:row r="9" ht="23" customHeight="1">
      <x:c r="A9" s="60" t="str">
        <x:v>EW02</x:v>
      </x:c>
      <x:c r="B9" s="60" t="str">
        <x:v>Earthworks</x:v>
      </x:c>
      <x:c r="C9" s="75" t="n">
        <x:f>'Baseline'!G9</x:f>
        <x:v>497664</x:v>
      </x:c>
      <x:c r="D9" s="75" t="n">
        <x:f>SUMIFS('Variations'!$H$8:$H$31,'Variations'!$B$8:$B$31,A9,'Variations'!$D$8:$D$31,"Approved")</x:f>
        <x:v>0</x:v>
      </x:c>
      <x:c r="E9" s="76" t="n">
        <x:f>C9+D9</x:f>
        <x:v>497664</x:v>
      </x:c>
      <x:c r="F9" s="75" t="n">
        <x:f>'Baseline'!K9*'Baseline'!F9</x:f>
        <x:v>497664</x:v>
      </x:c>
      <x:c r="G9" s="75" t="n">
        <x:f>SUMIFS('Measurements'!$H$8:$H$391,'Measurements'!$B$8:$B$391,A9,'Measurements'!$C$8:$C$391,"&lt;="&amp;'Controls'!$B$8)</x:f>
        <x:v>497664</x:v>
      </x:c>
      <x:c r="H9" s="75" t="n">
        <x:f>SUMIFS('Variations'!$K$8:$K$31,'Variations'!$B$8:$B$31,A9)</x:f>
        <x:v>0</x:v>
      </x:c>
      <x:c r="I9" s="76" t="n">
        <x:f>G9+H9</x:f>
        <x:v>497664</x:v>
      </x:c>
      <x:c r="J9" s="75" t="n">
        <x:f>SUMIFS('Cost ledger'!$G$8:$G$415,'Cost ledger'!$B$8:$B$415,A9,'Cost ledger'!$C$8:$C$415,"&lt;="&amp;'Controls'!$B$8)</x:f>
        <x:v>490199.04</x:v>
      </x:c>
      <x:c r="K9" s="75" t="n">
        <x:f>MAX(0,'Baseline'!E9-R9)*'Baseline'!F9*'Controls'!$B$16</x:f>
        <x:v>0</x:v>
      </x:c>
      <x:c r="L9" s="75" t="n">
        <x:f>SUMIFS('Variations'!$O$8:$O$31,'Variations'!$B$8:$B$31,A9)</x:f>
        <x:v>0</x:v>
      </x:c>
      <x:c r="M9" s="76" t="n">
        <x:f>K9+L9</x:f>
        <x:v>0</x:v>
      </x:c>
      <x:c r="N9" s="76" t="n">
        <x:f>J9+M9</x:f>
        <x:v>490199.04</x:v>
      </x:c>
      <x:c r="O9" s="76" t="n">
        <x:f>E9-N9</x:f>
        <x:v>7464.960000000021</x:v>
      </x:c>
      <x:c r="P9" s="77" t="n">
        <x:f>IF(J9=0,"n.a.",I9/J9)</x:f>
        <x:v>1.015228426395939</x:v>
      </x:c>
      <x:c r="Q9" s="77" t="n">
        <x:f>IF(F9=0,"n.a.",G9/F9)</x:f>
        <x:v>1</x:v>
      </x:c>
      <x:c r="R9" s="78" t="n">
        <x:f>SUMIFS('Measurements'!$F$8:$F$391,'Measurements'!$B$8:$B$391,A9,'Measurements'!$C$8:$C$391,"&lt;="&amp;'Controls'!$B$8)</x:f>
        <x:v>77760</x:v>
      </x:c>
      <x:c r="S9" s="54"/>
    </x:row>
    <x:row r="10" ht="23" customHeight="1">
      <x:c r="A10" s="58" t="str">
        <x:v>EW03</x:v>
      </x:c>
      <x:c r="B10" s="58" t="str">
        <x:v>Earthworks</x:v>
      </x:c>
      <x:c r="C10" s="71" t="n">
        <x:f>'Baseline'!G10</x:f>
        <x:v>67197.6</x:v>
      </x:c>
      <x:c r="D10" s="71" t="n">
        <x:f>SUMIFS('Variations'!$H$8:$H$31,'Variations'!$B$8:$B$31,A10,'Variations'!$D$8:$D$31,"Approved")</x:f>
        <x:v>0</x:v>
      </x:c>
      <x:c r="E10" s="72" t="n">
        <x:f>C10+D10</x:f>
        <x:v>67197.6</x:v>
      </x:c>
      <x:c r="F10" s="71" t="n">
        <x:f>'Baseline'!K10*'Baseline'!F10</x:f>
        <x:v>67197.6</x:v>
      </x:c>
      <x:c r="G10" s="71" t="n">
        <x:f>SUMIFS('Measurements'!$H$8:$H$391,'Measurements'!$B$8:$B$391,A10,'Measurements'!$C$8:$C$391,"&lt;="&amp;'Controls'!$B$8)</x:f>
        <x:v>67197.6</x:v>
      </x:c>
      <x:c r="H10" s="71" t="n">
        <x:f>SUMIFS('Variations'!$K$8:$K$31,'Variations'!$B$8:$B$31,A10)</x:f>
        <x:v>0</x:v>
      </x:c>
      <x:c r="I10" s="72" t="n">
        <x:f>G10+H10</x:f>
        <x:v>67197.6</x:v>
      </x:c>
      <x:c r="J10" s="71" t="n">
        <x:f>SUMIFS('Cost ledger'!$G$8:$G$415,'Cost ledger'!$B$8:$B$415,A10,'Cost ledger'!$C$8:$C$415,"&lt;="&amp;'Controls'!$B$8)</x:f>
        <x:v>67869.576</x:v>
      </x:c>
      <x:c r="K10" s="71" t="n">
        <x:f>MAX(0,'Baseline'!E10-R10)*'Baseline'!F10*'Controls'!$B$16</x:f>
        <x:v>0</x:v>
      </x:c>
      <x:c r="L10" s="71" t="n">
        <x:f>SUMIFS('Variations'!$O$8:$O$31,'Variations'!$B$8:$B$31,A10)</x:f>
        <x:v>0</x:v>
      </x:c>
      <x:c r="M10" s="72" t="n">
        <x:f>K10+L10</x:f>
        <x:v>0</x:v>
      </x:c>
      <x:c r="N10" s="72" t="n">
        <x:f>J10+M10</x:f>
        <x:v>67869.576</x:v>
      </x:c>
      <x:c r="O10" s="72" t="n">
        <x:f>E10-N10</x:f>
        <x:v>-671.9759999999951</x:v>
      </x:c>
      <x:c r="P10" s="73" t="n">
        <x:f>IF(J10=0,"n.a.",I10/J10)</x:f>
        <x:v>0.9900990099009902</x:v>
      </x:c>
      <x:c r="Q10" s="73" t="n">
        <x:f>IF(F10=0,"n.a.",G10/F10)</x:f>
        <x:v>1</x:v>
      </x:c>
      <x:c r="R10" s="74" t="n">
        <x:f>SUMIFS('Measurements'!$F$8:$F$391,'Measurements'!$B$8:$B$391,A10,'Measurements'!$C$8:$C$391,"&lt;="&amp;'Controls'!$B$8)</x:f>
        <x:v>4392</x:v>
      </x:c>
      <x:c r="S10" s="54"/>
    </x:row>
    <x:row r="11" ht="23" customHeight="1">
      <x:c r="A11" s="60" t="str">
        <x:v>RC01</x:v>
      </x:c>
      <x:c r="B11" s="60" t="str">
        <x:v>Concrete</x:v>
      </x:c>
      <x:c r="C11" s="75" t="n">
        <x:f>'Baseline'!G11</x:f>
        <x:v>135360</x:v>
      </x:c>
      <x:c r="D11" s="75" t="n">
        <x:f>SUMIFS('Variations'!$H$8:$H$31,'Variations'!$B$8:$B$31,A11,'Variations'!$D$8:$D$31,"Approved")</x:f>
        <x:v>0</x:v>
      </x:c>
      <x:c r="E11" s="76" t="n">
        <x:f>C11+D11</x:f>
        <x:v>135360</x:v>
      </x:c>
      <x:c r="F11" s="75" t="n">
        <x:f>'Baseline'!K11*'Baseline'!F11</x:f>
        <x:v>135360</x:v>
      </x:c>
      <x:c r="G11" s="75" t="n">
        <x:f>SUMIFS('Measurements'!$H$8:$H$391,'Measurements'!$B$8:$B$391,A11,'Measurements'!$C$8:$C$391,"&lt;="&amp;'Controls'!$B$8)</x:f>
        <x:v>135360</x:v>
      </x:c>
      <x:c r="H11" s="75" t="n">
        <x:f>SUMIFS('Variations'!$K$8:$K$31,'Variations'!$B$8:$B$31,A11)</x:f>
        <x:v>0</x:v>
      </x:c>
      <x:c r="I11" s="76" t="n">
        <x:f>G11+H11</x:f>
        <x:v>135360</x:v>
      </x:c>
      <x:c r="J11" s="75" t="n">
        <x:f>SUMIFS('Cost ledger'!$G$8:$G$415,'Cost ledger'!$B$8:$B$415,A11,'Cost ledger'!$C$8:$C$415,"&lt;="&amp;'Controls'!$B$8)</x:f>
        <x:v>140097.59999999998</x:v>
      </x:c>
      <x:c r="K11" s="75" t="n">
        <x:f>MAX(0,'Baseline'!E11-R11)*'Baseline'!F11*'Controls'!$B$16</x:f>
        <x:v>0</x:v>
      </x:c>
      <x:c r="L11" s="75" t="n">
        <x:f>SUMIFS('Variations'!$O$8:$O$31,'Variations'!$B$8:$B$31,A11)</x:f>
        <x:v>0</x:v>
      </x:c>
      <x:c r="M11" s="76" t="n">
        <x:f>K11+L11</x:f>
        <x:v>0</x:v>
      </x:c>
      <x:c r="N11" s="76" t="n">
        <x:f>J11+M11</x:f>
        <x:v>140097.59999999998</x:v>
      </x:c>
      <x:c r="O11" s="76" t="n">
        <x:f>E11-N11</x:f>
        <x:v>-4737.599999999977</x:v>
      </x:c>
      <x:c r="P11" s="77" t="n">
        <x:f>IF(J11=0,"n.a.",I11/J11)</x:f>
        <x:v>0.9661835748792272</x:v>
      </x:c>
      <x:c r="Q11" s="77" t="n">
        <x:f>IF(F11=0,"n.a.",G11/F11)</x:f>
        <x:v>1</x:v>
      </x:c>
      <x:c r="R11" s="78" t="n">
        <x:f>SUMIFS('Measurements'!$F$8:$F$391,'Measurements'!$B$8:$B$391,A11,'Measurements'!$C$8:$C$391,"&lt;="&amp;'Controls'!$B$8)</x:f>
        <x:v>1440</x:v>
      </x:c>
      <x:c r="S11" s="54"/>
    </x:row>
    <x:row r="12" ht="23" customHeight="1">
      <x:c r="A12" s="58" t="str">
        <x:v>RC02</x:v>
      </x:c>
      <x:c r="B12" s="58" t="str">
        <x:v>Concrete</x:v>
      </x:c>
      <x:c r="C12" s="71" t="n">
        <x:f>'Baseline'!G12</x:f>
        <x:v>1664640</x:v>
      </x:c>
      <x:c r="D12" s="71" t="n">
        <x:f>SUMIFS('Variations'!$H$8:$H$31,'Variations'!$B$8:$B$31,A12,'Variations'!$D$8:$D$31,"Approved")</x:f>
        <x:v>0</x:v>
      </x:c>
      <x:c r="E12" s="72" t="n">
        <x:f>C12+D12</x:f>
        <x:v>1664640</x:v>
      </x:c>
      <x:c r="F12" s="71" t="n">
        <x:f>'Baseline'!K12*'Baseline'!F12</x:f>
        <x:v>1664640</x:v>
      </x:c>
      <x:c r="G12" s="71" t="n">
        <x:f>SUMIFS('Measurements'!$H$8:$H$391,'Measurements'!$B$8:$B$391,A12,'Measurements'!$C$8:$C$391,"&lt;="&amp;'Controls'!$B$8)</x:f>
        <x:v>1664640</x:v>
      </x:c>
      <x:c r="H12" s="71" t="n">
        <x:f>SUMIFS('Variations'!$K$8:$K$31,'Variations'!$B$8:$B$31,A12)</x:f>
        <x:v>0</x:v>
      </x:c>
      <x:c r="I12" s="72" t="n">
        <x:f>G12+H12</x:f>
        <x:v>1664640</x:v>
      </x:c>
      <x:c r="J12" s="71" t="n">
        <x:f>SUMIFS('Cost ledger'!$G$8:$G$415,'Cost ledger'!$B$8:$B$415,A12,'Cost ledger'!$C$8:$C$415,"&lt;="&amp;'Controls'!$B$8)</x:f>
        <x:v>1884891.2399999998</x:v>
      </x:c>
      <x:c r="K12" s="71" t="n">
        <x:f>MAX(0,'Baseline'!E12-R12)*'Baseline'!F12*'Controls'!$B$16</x:f>
        <x:v>0</x:v>
      </x:c>
      <x:c r="L12" s="71" t="n">
        <x:f>SUMIFS('Variations'!$O$8:$O$31,'Variations'!$B$8:$B$31,A12)</x:f>
        <x:v>0</x:v>
      </x:c>
      <x:c r="M12" s="72" t="n">
        <x:f>K12+L12</x:f>
        <x:v>0</x:v>
      </x:c>
      <x:c r="N12" s="72" t="n">
        <x:f>J12+M12</x:f>
        <x:v>1884891.2399999998</x:v>
      </x:c>
      <x:c r="O12" s="72" t="n">
        <x:f>E12-N12</x:f>
        <x:v>-220251.23999999976</x:v>
      </x:c>
      <x:c r="P12" s="73" t="n">
        <x:f>IF(J12=0,"n.a.",I12/J12)</x:f>
        <x:v>0.8831490988307634</x:v>
      </x:c>
      <x:c r="Q12" s="73" t="n">
        <x:f>IF(F12=0,"n.a.",G12/F12)</x:f>
        <x:v>1</x:v>
      </x:c>
      <x:c r="R12" s="74" t="n">
        <x:f>SUMIFS('Measurements'!$F$8:$F$391,'Measurements'!$B$8:$B$391,A12,'Measurements'!$C$8:$C$391,"&lt;="&amp;'Controls'!$B$8)</x:f>
        <x:v>12240</x:v>
      </x:c>
      <x:c r="S12" s="54"/>
    </x:row>
    <x:row r="13" ht="23" customHeight="1">
      <x:c r="A13" s="60" t="str">
        <x:v>RC03</x:v>
      </x:c>
      <x:c r="B13" s="60" t="str">
        <x:v>Concrete</x:v>
      </x:c>
      <x:c r="C13" s="75" t="n">
        <x:f>'Baseline'!G13</x:f>
        <x:v>1707900.479999996</x:v>
      </x:c>
      <x:c r="D13" s="75" t="n">
        <x:f>SUMIFS('Variations'!$H$8:$H$31,'Variations'!$B$8:$B$31,A13,'Variations'!$D$8:$D$31,"Approved")</x:f>
        <x:v>0</x:v>
      </x:c>
      <x:c r="E13" s="76" t="n">
        <x:f>C13+D13</x:f>
        <x:v>1707900.479999996</x:v>
      </x:c>
      <x:c r="F13" s="75" t="n">
        <x:f>'Baseline'!K13*'Baseline'!F13</x:f>
        <x:v>996275.2799999977</x:v>
      </x:c>
      <x:c r="G13" s="75" t="n">
        <x:f>SUMIFS('Measurements'!$H$8:$H$391,'Measurements'!$B$8:$B$391,A13,'Measurements'!$C$8:$C$391,"&lt;="&amp;'Controls'!$B$8)</x:f>
        <x:v>853950.2399999979</x:v>
      </x:c>
      <x:c r="H13" s="75" t="n">
        <x:f>SUMIFS('Variations'!$K$8:$K$31,'Variations'!$B$8:$B$31,A13)</x:f>
        <x:v>0</x:v>
      </x:c>
      <x:c r="I13" s="76" t="n">
        <x:f>G13+H13</x:f>
        <x:v>853950.2399999979</x:v>
      </x:c>
      <x:c r="J13" s="75" t="n">
        <x:f>SUMIFS('Cost ledger'!$G$8:$G$415,'Cost ledger'!$B$8:$B$415,A13,'Cost ledger'!$C$8:$C$415,"&lt;="&amp;'Controls'!$B$8)</x:f>
        <x:v>926536.0103999977</x:v>
      </x:c>
      <x:c r="K13" s="75" t="n">
        <x:f>MAX(0,'Baseline'!E13-R13)*'Baseline'!F13*'Controls'!$B$16</x:f>
        <x:v>888108.249599998</x:v>
      </x:c>
      <x:c r="L13" s="75" t="n">
        <x:f>SUMIFS('Variations'!$O$8:$O$31,'Variations'!$B$8:$B$31,A13)</x:f>
        <x:v>0</x:v>
      </x:c>
      <x:c r="M13" s="76" t="n">
        <x:f>K13+L13</x:f>
        <x:v>888108.249599998</x:v>
      </x:c>
      <x:c r="N13" s="76" t="n">
        <x:f>J13+M13</x:f>
        <x:v>1814644.2599999956</x:v>
      </x:c>
      <x:c r="O13" s="76" t="n">
        <x:f>E13-N13</x:f>
        <x:v>-106743.77999999956</x:v>
      </x:c>
      <x:c r="P13" s="77" t="n">
        <x:f>IF(J13=0,"n.a.",I13/J13)</x:f>
        <x:v>0.9216589861751152</x:v>
      </x:c>
      <x:c r="Q13" s="77" t="n">
        <x:f>IF(F13=0,"n.a.",G13/F13)</x:f>
        <x:v>0.857142857142857</x:v>
      </x:c>
      <x:c r="R13" s="78" t="n">
        <x:f>SUMIFS('Measurements'!$F$8:$F$391,'Measurements'!$B$8:$B$391,A13,'Measurements'!$C$8:$C$391,"&lt;="&amp;'Controls'!$B$8)</x:f>
        <x:v>5971.679999999986</x:v>
      </x:c>
      <x:c r="S13" s="54"/>
    </x:row>
    <x:row r="14" ht="23" customHeight="1">
      <x:c r="A14" s="58" t="str">
        <x:v>RC04</x:v>
      </x:c>
      <x:c r="B14" s="58" t="str">
        <x:v>Concrete</x:v>
      </x:c>
      <x:c r="C14" s="71" t="n">
        <x:f>'Baseline'!G14</x:f>
        <x:v>361855.4939999996</x:v>
      </x:c>
      <x:c r="D14" s="71" t="n">
        <x:f>SUMIFS('Variations'!$H$8:$H$31,'Variations'!$B$8:$B$31,A14,'Variations'!$D$8:$D$31,"Approved")</x:f>
        <x:v>0</x:v>
      </x:c>
      <x:c r="E14" s="72" t="n">
        <x:f>C14+D14</x:f>
        <x:v>361855.4939999996</x:v>
      </x:c>
      <x:c r="F14" s="71" t="n">
        <x:f>'Baseline'!K14*'Baseline'!F14</x:f>
        <x:v>211082.3714999998</x:v>
      </x:c>
      <x:c r="G14" s="71" t="n">
        <x:f>SUMIFS('Measurements'!$H$8:$H$391,'Measurements'!$B$8:$B$391,A14,'Measurements'!$C$8:$C$391,"&lt;="&amp;'Controls'!$B$8)</x:f>
        <x:v>211082.37149999978</x:v>
      </x:c>
      <x:c r="H14" s="71" t="n">
        <x:f>SUMIFS('Variations'!$K$8:$K$31,'Variations'!$B$8:$B$31,A14)</x:f>
        <x:v>0</x:v>
      </x:c>
      <x:c r="I14" s="72" t="n">
        <x:f>G14+H14</x:f>
        <x:v>211082.37149999978</x:v>
      </x:c>
      <x:c r="J14" s="71" t="n">
        <x:f>SUMIFS('Cost ledger'!$G$8:$G$415,'Cost ledger'!$B$8:$B$415,A14,'Cost ledger'!$C$8:$C$415,"&lt;="&amp;'Controls'!$B$8)</x:f>
        <x:v>234301.43236499978</x:v>
      </x:c>
      <x:c r="K14" s="71" t="n">
        <x:f>MAX(0,'Baseline'!E14-R14)*'Baseline'!F14*'Controls'!$B$16</x:f>
        <x:v>156804.04739999984</x:v>
      </x:c>
      <x:c r="L14" s="71" t="n">
        <x:f>SUMIFS('Variations'!$O$8:$O$31,'Variations'!$B$8:$B$31,A14)</x:f>
        <x:v>0</x:v>
      </x:c>
      <x:c r="M14" s="72" t="n">
        <x:f>K14+L14</x:f>
        <x:v>156804.04739999984</x:v>
      </x:c>
      <x:c r="N14" s="72" t="n">
        <x:f>J14+M14</x:f>
        <x:v>391105.4797649996</x:v>
      </x:c>
      <x:c r="O14" s="72" t="n">
        <x:f>E14-N14</x:f>
        <x:v>-29249.98576499999</x:v>
      </x:c>
      <x:c r="P14" s="73" t="n">
        <x:f>IF(J14=0,"n.a.",I14/J14)</x:f>
        <x:v>0.9009009009009008</x:v>
      </x:c>
      <x:c r="Q14" s="73" t="n">
        <x:f>IF(F14=0,"n.a.",G14/F14)</x:f>
        <x:v>0.9999999999999999</x:v>
      </x:c>
      <x:c r="R14" s="74" t="n">
        <x:f>SUMIFS('Measurements'!$F$8:$F$391,'Measurements'!$B$8:$B$391,A14,'Measurements'!$C$8:$C$391,"&lt;="&amp;'Controls'!$B$8)</x:f>
        <x:v>1397.8964999999987</x:v>
      </x:c>
      <x:c r="S14" s="54"/>
    </x:row>
    <x:row r="15" ht="23" customHeight="1">
      <x:c r="A15" s="60" t="str">
        <x:v>RC05</x:v>
      </x:c>
      <x:c r="B15" s="60" t="str">
        <x:v>Concrete</x:v>
      </x:c>
      <x:c r="C15" s="75" t="n">
        <x:f>'Baseline'!G15</x:f>
        <x:v>285901.1999999996</x:v>
      </x:c>
      <x:c r="D15" s="75" t="n">
        <x:f>SUMIFS('Variations'!$H$8:$H$31,'Variations'!$B$8:$B$31,A15,'Variations'!$D$8:$D$31,"Approved")</x:f>
        <x:v>0</x:v>
      </x:c>
      <x:c r="E15" s="76" t="n">
        <x:f>C15+D15</x:f>
        <x:v>285901.1999999996</x:v>
      </x:c>
      <x:c r="F15" s="75" t="n">
        <x:f>'Baseline'!K15*'Baseline'!F15</x:f>
        <x:v>190600.79999999976</x:v>
      </x:c>
      <x:c r="G15" s="75" t="n">
        <x:f>SUMIFS('Measurements'!$H$8:$H$391,'Measurements'!$B$8:$B$391,A15,'Measurements'!$C$8:$C$391,"&lt;="&amp;'Controls'!$B$8)</x:f>
        <x:v>184882.77599999975</x:v>
      </x:c>
      <x:c r="H15" s="75" t="n">
        <x:f>SUMIFS('Variations'!$K$8:$K$31,'Variations'!$B$8:$B$31,A15)</x:f>
        <x:v>0</x:v>
      </x:c>
      <x:c r="I15" s="76" t="n">
        <x:f>G15+H15</x:f>
        <x:v>184882.77599999975</x:v>
      </x:c>
      <x:c r="J15" s="75" t="n">
        <x:f>SUMIFS('Cost ledger'!$G$8:$G$415,'Cost ledger'!$B$8:$B$415,A15,'Cost ledger'!$C$8:$C$415,"&lt;="&amp;'Controls'!$B$8)</x:f>
        <x:v>177487.46495999978</x:v>
      </x:c>
      <x:c r="K15" s="75" t="n">
        <x:f>MAX(0,'Baseline'!E15-R15)*'Baseline'!F15*'Controls'!$B$16</x:f>
        <x:v>105059.16095999986</x:v>
      </x:c>
      <x:c r="L15" s="75" t="n">
        <x:f>SUMIFS('Variations'!$O$8:$O$31,'Variations'!$B$8:$B$31,A15)</x:f>
        <x:v>0</x:v>
      </x:c>
      <x:c r="M15" s="76" t="n">
        <x:f>K15+L15</x:f>
        <x:v>105059.16095999986</x:v>
      </x:c>
      <x:c r="N15" s="76" t="n">
        <x:f>J15+M15</x:f>
        <x:v>282546.6259199997</x:v>
      </x:c>
      <x:c r="O15" s="76" t="n">
        <x:f>E15-N15</x:f>
        <x:v>3354.574079999933</x:v>
      </x:c>
      <x:c r="P15" s="77" t="n">
        <x:f>IF(J15=0,"n.a.",I15/J15)</x:f>
        <x:v>1.0416666666666665</x:v>
      </x:c>
      <x:c r="Q15" s="77" t="n">
        <x:f>IF(F15=0,"n.a.",G15/F15)</x:f>
        <x:v>0.97</x:v>
      </x:c>
      <x:c r="R15" s="78" t="n">
        <x:f>SUMIFS('Measurements'!$F$8:$F$391,'Measurements'!$B$8:$B$391,A15,'Measurements'!$C$8:$C$391,"&lt;="&amp;'Controls'!$B$8)</x:f>
        <x:v>1127.3339999999985</x:v>
      </x:c>
      <x:c r="S15" s="54"/>
    </x:row>
    <x:row r="16" ht="23" customHeight="1">
      <x:c r="A16" s="58" t="str">
        <x:v>RC06</x:v>
      </x:c>
      <x:c r="B16" s="58" t="str">
        <x:v>Concrete</x:v>
      </x:c>
      <x:c r="C16" s="71" t="n">
        <x:f>'Baseline'!G16</x:f>
        <x:v>224537.04000000036</x:v>
      </x:c>
      <x:c r="D16" s="71" t="n">
        <x:f>SUMIFS('Variations'!$H$8:$H$31,'Variations'!$B$8:$B$31,A16,'Variations'!$D$8:$D$31,"Approved")</x:f>
        <x:v>59371.2</x:v>
      </x:c>
      <x:c r="E16" s="72" t="n">
        <x:f>C16+D16</x:f>
        <x:v>283908.24000000034</x:v>
      </x:c>
      <x:c r="F16" s="71" t="n">
        <x:f>'Baseline'!K16*'Baseline'!F16</x:f>
        <x:v>149691.36000000022</x:v>
      </x:c>
      <x:c r="G16" s="71" t="n">
        <x:f>SUMIFS('Measurements'!$H$8:$H$391,'Measurements'!$B$8:$B$391,A16,'Measurements'!$C$8:$C$391,"&lt;="&amp;'Controls'!$B$8)</x:f>
        <x:v>149691.36000000022</x:v>
      </x:c>
      <x:c r="H16" s="71" t="n">
        <x:f>SUMIFS('Variations'!$K$8:$K$31,'Variations'!$B$8:$B$31,A16)</x:f>
        <x:v>42938.1</x:v>
      </x:c>
      <x:c r="I16" s="72" t="n">
        <x:f>G16+H16</x:f>
        <x:v>192629.46000000022</x:v>
      </x:c>
      <x:c r="J16" s="71" t="n">
        <x:f>SUMIFS('Cost ledger'!$G$8:$G$415,'Cost ledger'!$B$8:$B$415,A16,'Cost ledger'!$C$8:$C$415,"&lt;="&amp;'Controls'!$B$8)</x:f>
        <x:v>191678.41710000022</x:v>
      </x:c>
      <x:c r="K16" s="71" t="n">
        <x:f>MAX(0,'Baseline'!E16-R16)*'Baseline'!F16*'Controls'!$B$16</x:f>
        <x:v>77839.50720000014</x:v>
      </x:c>
      <x:c r="L16" s="71" t="n">
        <x:f>SUMIFS('Variations'!$O$8:$O$31,'Variations'!$B$8:$B$31,A16)</x:f>
        <x:v>17419.086</x:v>
      </x:c>
      <x:c r="M16" s="72" t="n">
        <x:f>K16+L16</x:f>
        <x:v>95258.59320000013</x:v>
      </x:c>
      <x:c r="N16" s="72" t="n">
        <x:f>J16+M16</x:f>
        <x:v>286937.0103000004</x:v>
      </x:c>
      <x:c r="O16" s="72" t="n">
        <x:f>E16-N16</x:f>
        <x:v>-3028.770300000033</x:v>
      </x:c>
      <x:c r="P16" s="73" t="n">
        <x:f>IF(J16=0,"n.a.",I16/J16)</x:f>
        <x:v>1.0049616587740489</x:v>
      </x:c>
      <x:c r="Q16" s="73" t="n">
        <x:f>IF(F16=0,"n.a.",G16/F16)</x:f>
        <x:v>1</x:v>
      </x:c>
      <x:c r="R16" s="74" t="n">
        <x:f>SUMIFS('Measurements'!$F$8:$F$391,'Measurements'!$B$8:$B$391,A16,'Measurements'!$C$8:$C$391,"&lt;="&amp;'Controls'!$B$8)</x:f>
        <x:v>929.7600000000014</x:v>
      </x:c>
      <x:c r="S16" s="54"/>
    </x:row>
    <x:row r="17" ht="23" customHeight="1">
      <x:c r="A17" s="60" t="str">
        <x:v>RC07</x:v>
      </x:c>
      <x:c r="B17" s="60" t="str">
        <x:v>Concrete</x:v>
      </x:c>
      <x:c r="C17" s="75" t="n">
        <x:f>'Baseline'!G17</x:f>
        <x:v>34942.75199999998</x:v>
      </x:c>
      <x:c r="D17" s="75" t="n">
        <x:f>SUMIFS('Variations'!$H$8:$H$31,'Variations'!$B$8:$B$31,A17,'Variations'!$D$8:$D$31,"Approved")</x:f>
        <x:v>0</x:v>
      </x:c>
      <x:c r="E17" s="76" t="n">
        <x:f>C17+D17</x:f>
        <x:v>34942.75199999998</x:v>
      </x:c>
      <x:c r="F17" s="75" t="n">
        <x:f>'Baseline'!K17*'Baseline'!F17</x:f>
        <x:v>18815.327999999987</x:v>
      </x:c>
      <x:c r="G17" s="75" t="n">
        <x:f>SUMIFS('Measurements'!$H$8:$H$391,'Measurements'!$B$8:$B$391,A17,'Measurements'!$C$8:$C$391,"&lt;="&amp;'Controls'!$B$8)</x:f>
        <x:v>18815.327999999987</x:v>
      </x:c>
      <x:c r="H17" s="75" t="n">
        <x:f>SUMIFS('Variations'!$K$8:$K$31,'Variations'!$B$8:$B$31,A17)</x:f>
        <x:v>0</x:v>
      </x:c>
      <x:c r="I17" s="76" t="n">
        <x:f>G17+H17</x:f>
        <x:v>18815.327999999987</x:v>
      </x:c>
      <x:c r="J17" s="75" t="n">
        <x:f>SUMIFS('Cost ledger'!$G$8:$G$415,'Cost ledger'!$B$8:$B$415,A17,'Cost ledger'!$C$8:$C$415,"&lt;="&amp;'Controls'!$B$8)</x:f>
        <x:v>19003.481279999985</x:v>
      </x:c>
      <x:c r="K17" s="75" t="n">
        <x:f>MAX(0,'Baseline'!E17-R17)*'Baseline'!F17*'Controls'!$B$16</x:f>
        <x:v>16772.52095999999</x:v>
      </x:c>
      <x:c r="L17" s="75" t="n">
        <x:f>SUMIFS('Variations'!$O$8:$O$31,'Variations'!$B$8:$B$31,A17)</x:f>
        <x:v>0</x:v>
      </x:c>
      <x:c r="M17" s="76" t="n">
        <x:f>K17+L17</x:f>
        <x:v>16772.52095999999</x:v>
      </x:c>
      <x:c r="N17" s="76" t="n">
        <x:f>J17+M17</x:f>
        <x:v>35776.00223999997</x:v>
      </x:c>
      <x:c r="O17" s="76" t="n">
        <x:f>E17-N17</x:f>
        <x:v>-833.2502399999939</x:v>
      </x:c>
      <x:c r="P17" s="77" t="n">
        <x:f>IF(J17=0,"n.a.",I17/J17)</x:f>
        <x:v>0.9900990099009902</x:v>
      </x:c>
      <x:c r="Q17" s="77" t="n">
        <x:f>IF(F17=0,"n.a.",G17/F17)</x:f>
        <x:v>1</x:v>
      </x:c>
      <x:c r="R17" s="78" t="n">
        <x:f>SUMIFS('Measurements'!$F$8:$F$391,'Measurements'!$B$8:$B$391,A17,'Measurements'!$C$8:$C$391,"&lt;="&amp;'Controls'!$B$8)</x:f>
        <x:v>110.67839999999993</x:v>
      </x:c>
      <x:c r="S17" s="54"/>
    </x:row>
    <x:row r="18" ht="23" customHeight="1">
      <x:c r="A18" s="58" t="str">
        <x:v>RC08</x:v>
      </x:c>
      <x:c r="B18" s="58" t="str">
        <x:v>Concrete</x:v>
      </x:c>
      <x:c r="C18" s="71" t="n">
        <x:f>'Baseline'!G18</x:f>
        <x:v>77924.7</x:v>
      </x:c>
      <x:c r="D18" s="71" t="n">
        <x:f>SUMIFS('Variations'!$H$8:$H$31,'Variations'!$B$8:$B$31,A18,'Variations'!$D$8:$D$31,"Approved")</x:f>
        <x:v>0</x:v>
      </x:c>
      <x:c r="E18" s="72" t="n">
        <x:f>C18+D18</x:f>
        <x:v>77924.7</x:v>
      </x:c>
      <x:c r="F18" s="71" t="n">
        <x:f>'Baseline'!K18*'Baseline'!F18</x:f>
        <x:v>77924.7</x:v>
      </x:c>
      <x:c r="G18" s="71" t="n">
        <x:f>SUMIFS('Measurements'!$H$8:$H$391,'Measurements'!$B$8:$B$391,A18,'Measurements'!$C$8:$C$391,"&lt;="&amp;'Controls'!$B$8)</x:f>
        <x:v>77924.7</x:v>
      </x:c>
      <x:c r="H18" s="71" t="n">
        <x:f>SUMIFS('Variations'!$K$8:$K$31,'Variations'!$B$8:$B$31,A18)</x:f>
        <x:v>0</x:v>
      </x:c>
      <x:c r="I18" s="72" t="n">
        <x:f>G18+H18</x:f>
        <x:v>77924.7</x:v>
      </x:c>
      <x:c r="J18" s="71" t="n">
        <x:f>SUMIFS('Cost ledger'!$G$8:$G$415,'Cost ledger'!$B$8:$B$415,A18,'Cost ledger'!$C$8:$C$415,"&lt;="&amp;'Controls'!$B$8)</x:f>
        <x:v>80652.06449999998</x:v>
      </x:c>
      <x:c r="K18" s="71" t="n">
        <x:f>MAX(0,'Baseline'!E18-R18)*'Baseline'!F18*'Controls'!$B$16</x:f>
        <x:v>0</x:v>
      </x:c>
      <x:c r="L18" s="71" t="n">
        <x:f>SUMIFS('Variations'!$O$8:$O$31,'Variations'!$B$8:$B$31,A18)</x:f>
        <x:v>0</x:v>
      </x:c>
      <x:c r="M18" s="72" t="n">
        <x:f>K18+L18</x:f>
        <x:v>0</x:v>
      </x:c>
      <x:c r="N18" s="72" t="n">
        <x:f>J18+M18</x:f>
        <x:v>80652.06449999998</x:v>
      </x:c>
      <x:c r="O18" s="72" t="n">
        <x:f>E18-N18</x:f>
        <x:v>-2727.3644999999815</x:v>
      </x:c>
      <x:c r="P18" s="73" t="n">
        <x:f>IF(J18=0,"n.a.",I18/J18)</x:f>
        <x:v>0.9661835748792272</x:v>
      </x:c>
      <x:c r="Q18" s="73" t="n">
        <x:f>IF(F18=0,"n.a.",G18/F18)</x:f>
        <x:v>1</x:v>
      </x:c>
      <x:c r="R18" s="74" t="n">
        <x:f>SUMIFS('Measurements'!$F$8:$F$391,'Measurements'!$B$8:$B$391,A18,'Measurements'!$C$8:$C$391,"&lt;="&amp;'Controls'!$B$8)</x:f>
        <x:v>502.73999999999995</x:v>
      </x:c>
      <x:c r="S18" s="54"/>
    </x:row>
    <x:row r="19" ht="23" customHeight="1">
      <x:c r="A19" s="60" t="str">
        <x:v>RC09</x:v>
      </x:c>
      <x:c r="B19" s="60" t="str">
        <x:v>Concrete</x:v>
      </x:c>
      <x:c r="C19" s="75" t="n">
        <x:f>'Baseline'!G19</x:f>
        <x:v>360360</x:v>
      </x:c>
      <x:c r="D19" s="75" t="n">
        <x:f>SUMIFS('Variations'!$H$8:$H$31,'Variations'!$B$8:$B$31,A19,'Variations'!$D$8:$D$31,"Approved")</x:f>
        <x:v>0</x:v>
      </x:c>
      <x:c r="E19" s="76" t="n">
        <x:f>C19+D19</x:f>
        <x:v>360360</x:v>
      </x:c>
      <x:c r="F19" s="75" t="n">
        <x:f>'Baseline'!K19*'Baseline'!F19</x:f>
        <x:v>360360</x:v>
      </x:c>
      <x:c r="G19" s="75" t="n">
        <x:f>SUMIFS('Measurements'!$H$8:$H$391,'Measurements'!$B$8:$B$391,A19,'Measurements'!$C$8:$C$391,"&lt;="&amp;'Controls'!$B$8)</x:f>
        <x:v>360360</x:v>
      </x:c>
      <x:c r="H19" s="75" t="n">
        <x:f>SUMIFS('Variations'!$K$8:$K$31,'Variations'!$B$8:$B$31,A19)</x:f>
        <x:v>0</x:v>
      </x:c>
      <x:c r="I19" s="76" t="n">
        <x:f>G19+H19</x:f>
        <x:v>360360</x:v>
      </x:c>
      <x:c r="J19" s="75" t="n">
        <x:f>SUMIFS('Cost ledger'!$G$8:$G$415,'Cost ledger'!$B$8:$B$415,A19,'Cost ledger'!$C$8:$C$415,"&lt;="&amp;'Controls'!$B$8)</x:f>
        <x:v>381981.60000000003</x:v>
      </x:c>
      <x:c r="K19" s="75" t="n">
        <x:f>MAX(0,'Baseline'!E19-R19)*'Baseline'!F19*'Controls'!$B$16</x:f>
        <x:v>0</x:v>
      </x:c>
      <x:c r="L19" s="75" t="n">
        <x:f>SUMIFS('Variations'!$O$8:$O$31,'Variations'!$B$8:$B$31,A19)</x:f>
        <x:v>0</x:v>
      </x:c>
      <x:c r="M19" s="76" t="n">
        <x:f>K19+L19</x:f>
        <x:v>0</x:v>
      </x:c>
      <x:c r="N19" s="76" t="n">
        <x:f>J19+M19</x:f>
        <x:v>381981.60000000003</x:v>
      </x:c>
      <x:c r="O19" s="76" t="n">
        <x:f>E19-N19</x:f>
        <x:v>-21621.600000000035</x:v>
      </x:c>
      <x:c r="P19" s="77" t="n">
        <x:f>IF(J19=0,"n.a.",I19/J19)</x:f>
        <x:v>0.9433962264150942</x:v>
      </x:c>
      <x:c r="Q19" s="77" t="n">
        <x:f>IF(F19=0,"n.a.",G19/F19)</x:f>
        <x:v>1</x:v>
      </x:c>
      <x:c r="R19" s="78" t="n">
        <x:f>SUMIFS('Measurements'!$F$8:$F$391,'Measurements'!$B$8:$B$391,A19,'Measurements'!$C$8:$C$391,"&lt;="&amp;'Controls'!$B$8)</x:f>
        <x:v>2520</x:v>
      </x:c>
      <x:c r="S19" s="54"/>
    </x:row>
    <x:row r="20" ht="23" customHeight="1">
      <x:c r="A20" s="58" t="str">
        <x:v>RB01</x:v>
      </x:c>
      <x:c r="B20" s="58" t="str">
        <x:v>Reinforcement</x:v>
      </x:c>
      <x:c r="C20" s="71" t="n">
        <x:f>'Baseline'!G20</x:f>
        <x:v>4024100.6838441757</x:v>
      </x:c>
      <x:c r="D20" s="71" t="n">
        <x:f>SUMIFS('Variations'!$H$8:$H$31,'Variations'!$B$8:$B$31,A20,'Variations'!$D$8:$D$31,"Approved")</x:f>
        <x:v>135979.19999999998</x:v>
      </x:c>
      <x:c r="E20" s="72" t="n">
        <x:f>C20+D20</x:f>
        <x:v>4160079.883844176</x:v>
      </x:c>
      <x:c r="F20" s="71" t="n">
        <x:f>'Baseline'!K20*'Baseline'!F20</x:f>
        <x:v>2515062.92740261</x:v>
      </x:c>
      <x:c r="G20" s="71" t="n">
        <x:f>SUMIFS('Measurements'!$H$8:$H$391,'Measurements'!$B$8:$B$391,A20,'Measurements'!$C$8:$C$391,"&lt;="&amp;'Controls'!$B$8)</x:f>
        <x:v>2515062.92740261</x:v>
      </x:c>
      <x:c r="H20" s="71" t="n">
        <x:f>SUMIFS('Variations'!$K$8:$K$31,'Variations'!$B$8:$B$31,A20)</x:f>
        <x:v>64954.350000000006</x:v>
      </x:c>
      <x:c r="I20" s="72" t="n">
        <x:f>G20+H20</x:f>
        <x:v>2580017.27740261</x:v>
      </x:c>
      <x:c r="J20" s="71" t="n">
        <x:f>SUMIFS('Cost ledger'!$G$8:$G$415,'Cost ledger'!$B$8:$B$415,A20,'Cost ledger'!$C$8:$C$415,"&lt;="&amp;'Controls'!$B$8)</x:f>
        <x:v>2796316.883731832</x:v>
      </x:c>
      <x:c r="K20" s="71" t="n">
        <x:f>MAX(0,'Baseline'!E20-R20)*'Baseline'!F20*'Controls'!$B$16</x:f>
        <x:v>1569399.266699229</x:v>
      </x:c>
      <x:c r="L20" s="71" t="n">
        <x:f>SUMIFS('Variations'!$O$8:$O$31,'Variations'!$B$8:$B$31,A20)</x:f>
        <x:v>75286.34099999999</x:v>
      </x:c>
      <x:c r="M20" s="72" t="n">
        <x:f>K20+L20</x:f>
        <x:v>1644685.607699229</x:v>
      </x:c>
      <x:c r="N20" s="72" t="n">
        <x:f>J20+M20</x:f>
        <x:v>4441002.491431061</x:v>
      </x:c>
      <x:c r="O20" s="72" t="n">
        <x:f>E20-N20</x:f>
        <x:v>-280922.60758688534</x:v>
      </x:c>
      <x:c r="P20" s="73" t="n">
        <x:f>IF(J20=0,"n.a.",I20/J20)</x:f>
        <x:v>0.9226483923951571</x:v>
      </x:c>
      <x:c r="Q20" s="73" t="n">
        <x:f>IF(F20=0,"n.a.",G20/F20)</x:f>
        <x:v>1</x:v>
      </x:c>
      <x:c r="R20" s="74" t="n">
        <x:f>SUMIFS('Measurements'!$F$8:$F$391,'Measurements'!$B$8:$B$391,A20,'Measurements'!$C$8:$C$391,"&lt;="&amp;'Controls'!$B$8)</x:f>
        <x:v>2894.2035988522553</x:v>
      </x:c>
      <x:c r="S20" s="54"/>
    </x:row>
    <x:row r="21" ht="23" customHeight="1">
      <x:c r="A21" s="60" t="str">
        <x:v>FW01</x:v>
      </x:c>
      <x:c r="B21" s="60" t="str">
        <x:v>Formwork</x:v>
      </x:c>
      <x:c r="C21" s="75" t="n">
        <x:f>'Baseline'!G21</x:f>
        <x:v>1055597.4000000015</x:v>
      </x:c>
      <x:c r="D21" s="75" t="n">
        <x:f>SUMIFS('Variations'!$H$8:$H$31,'Variations'!$B$8:$B$31,A21,'Variations'!$D$8:$D$31,"Approved")</x:f>
        <x:v>0</x:v>
      </x:c>
      <x:c r="E21" s="76" t="n">
        <x:f>C21+D21</x:f>
        <x:v>1055597.4000000015</x:v>
      </x:c>
      <x:c r="F21" s="75" t="n">
        <x:f>'Baseline'!K21*'Baseline'!F21</x:f>
        <x:v>615765.1500000008</x:v>
      </x:c>
      <x:c r="G21" s="75" t="n">
        <x:f>SUMIFS('Measurements'!$H$8:$H$391,'Measurements'!$B$8:$B$391,A21,'Measurements'!$C$8:$C$391,"&lt;="&amp;'Controls'!$B$8)</x:f>
        <x:v>615765.1500000008</x:v>
      </x:c>
      <x:c r="H21" s="75" t="n">
        <x:f>SUMIFS('Variations'!$K$8:$K$31,'Variations'!$B$8:$B$31,A21)</x:f>
        <x:v>0</x:v>
      </x:c>
      <x:c r="I21" s="76" t="n">
        <x:f>G21+H21</x:f>
        <x:v>615765.1500000008</x:v>
      </x:c>
      <x:c r="J21" s="75" t="n">
        <x:f>SUMIFS('Cost ledger'!$G$8:$G$415,'Cost ledger'!$B$8:$B$415,A21,'Cost ledger'!$C$8:$C$415,"&lt;="&amp;'Controls'!$B$8)</x:f>
        <x:v>683499.316500001</x:v>
      </x:c>
      <x:c r="K21" s="75" t="n">
        <x:f>MAX(0,'Baseline'!E21-R21)*'Baseline'!F21*'Controls'!$B$16</x:f>
        <x:v>457425.5400000007</x:v>
      </x:c>
      <x:c r="L21" s="75" t="n">
        <x:f>SUMIFS('Variations'!$O$8:$O$31,'Variations'!$B$8:$B$31,A21)</x:f>
        <x:v>0</x:v>
      </x:c>
      <x:c r="M21" s="76" t="n">
        <x:f>K21+L21</x:f>
        <x:v>457425.5400000007</x:v>
      </x:c>
      <x:c r="N21" s="76" t="n">
        <x:f>J21+M21</x:f>
        <x:v>1140924.8565000016</x:v>
      </x:c>
      <x:c r="O21" s="76" t="n">
        <x:f>E21-N21</x:f>
        <x:v>-85327.45650000009</x:v>
      </x:c>
      <x:c r="P21" s="77" t="n">
        <x:f>IF(J21=0,"n.a.",I21/J21)</x:f>
        <x:v>0.9009009009009008</x:v>
      </x:c>
      <x:c r="Q21" s="77" t="n">
        <x:f>IF(F21=0,"n.a.",G21/F21)</x:f>
        <x:v>1</x:v>
      </x:c>
      <x:c r="R21" s="78" t="n">
        <x:f>SUMIFS('Measurements'!$F$8:$F$391,'Measurements'!$B$8:$B$391,A21,'Measurements'!$C$8:$C$391,"&lt;="&amp;'Controls'!$B$8)</x:f>
        <x:v>27989.32500000004</x:v>
      </x:c>
      <x:c r="S21" s="54"/>
    </x:row>
    <x:row r="22" ht="23" customHeight="1">
      <x:c r="A22" s="58" t="str">
        <x:v>FW02</x:v>
      </x:c>
      <x:c r="B22" s="58" t="str">
        <x:v>Formwork</x:v>
      </x:c>
      <x:c r="C22" s="71" t="n">
        <x:f>'Baseline'!G22</x:f>
        <x:v>579338.7599999991</x:v>
      </x:c>
      <x:c r="D22" s="71" t="n">
        <x:f>SUMIFS('Variations'!$H$8:$H$31,'Variations'!$B$8:$B$31,A22,'Variations'!$D$8:$D$31,"Approved")</x:f>
        <x:v>0</x:v>
      </x:c>
      <x:c r="E22" s="72" t="n">
        <x:f>C22+D22</x:f>
        <x:v>579338.7599999991</x:v>
      </x:c>
      <x:c r="F22" s="71" t="n">
        <x:f>'Baseline'!K22*'Baseline'!F22</x:f>
        <x:v>337947.6099999995</x:v>
      </x:c>
      <x:c r="G22" s="71" t="n">
        <x:f>SUMIFS('Measurements'!$H$8:$H$391,'Measurements'!$B$8:$B$391,A22,'Measurements'!$C$8:$C$391,"&lt;="&amp;'Controls'!$B$8)</x:f>
        <x:v>327809.1816999995</x:v>
      </x:c>
      <x:c r="H22" s="71" t="n">
        <x:f>SUMIFS('Variations'!$K$8:$K$31,'Variations'!$B$8:$B$31,A22)</x:f>
        <x:v>0</x:v>
      </x:c>
      <x:c r="I22" s="72" t="n">
        <x:f>G22+H22</x:f>
        <x:v>327809.1816999995</x:v>
      </x:c>
      <x:c r="J22" s="71" t="n">
        <x:f>SUMIFS('Cost ledger'!$G$8:$G$415,'Cost ledger'!$B$8:$B$415,A22,'Cost ledger'!$C$8:$C$415,"&lt;="&amp;'Controls'!$B$8)</x:f>
        <x:v>314696.8144319995</x:v>
      </x:c>
      <x:c r="K22" s="71" t="n">
        <x:f>MAX(0,'Baseline'!E22-R22)*'Baseline'!F22*'Controls'!$B$16</x:f>
        <x:v>261590.7614319996</x:v>
      </x:c>
      <x:c r="L22" s="71" t="n">
        <x:f>SUMIFS('Variations'!$O$8:$O$31,'Variations'!$B$8:$B$31,A22)</x:f>
        <x:v>0</x:v>
      </x:c>
      <x:c r="M22" s="72" t="n">
        <x:f>K22+L22</x:f>
        <x:v>261590.7614319996</x:v>
      </x:c>
      <x:c r="N22" s="72" t="n">
        <x:f>J22+M22</x:f>
        <x:v>576287.5758639991</x:v>
      </x:c>
      <x:c r="O22" s="72" t="n">
        <x:f>E22-N22</x:f>
        <x:v>3051.184135999996</x:v>
      </x:c>
      <x:c r="P22" s="73" t="n">
        <x:f>IF(J22=0,"n.a.",I22/J22)</x:f>
        <x:v>1.0416666666666667</x:v>
      </x:c>
      <x:c r="Q22" s="73" t="n">
        <x:f>IF(F22=0,"n.a.",G22/F22)</x:f>
        <x:v>0.9699999999999999</x:v>
      </x:c>
      <x:c r="R22" s="74" t="n">
        <x:f>SUMIFS('Measurements'!$F$8:$F$391,'Measurements'!$B$8:$B$391,A22,'Measurements'!$C$8:$C$391,"&lt;="&amp;'Controls'!$B$8)</x:f>
        <x:v>12608.045449999981</x:v>
      </x:c>
      <x:c r="S22" s="54"/>
    </x:row>
    <x:row r="23" ht="23" customHeight="1">
      <x:c r="A23" s="60" t="str">
        <x:v>FW03</x:v>
      </x:c>
      <x:c r="B23" s="60" t="str">
        <x:v>Formwork</x:v>
      </x:c>
      <x:c r="C23" s="75" t="n">
        <x:f>'Baseline'!G23</x:f>
        <x:v>376552.7999999995</x:v>
      </x:c>
      <x:c r="D23" s="75" t="n">
        <x:f>SUMIFS('Variations'!$H$8:$H$31,'Variations'!$B$8:$B$31,A23,'Variations'!$D$8:$D$31,"Approved")</x:f>
        <x:v>0</x:v>
      </x:c>
      <x:c r="E23" s="76" t="n">
        <x:f>C23+D23</x:f>
        <x:v>376552.7999999995</x:v>
      </x:c>
      <x:c r="F23" s="75" t="n">
        <x:f>'Baseline'!K23*'Baseline'!F23</x:f>
        <x:v>251035.19999999966</x:v>
      </x:c>
      <x:c r="G23" s="75" t="n">
        <x:f>SUMIFS('Measurements'!$H$8:$H$391,'Measurements'!$B$8:$B$391,A23,'Measurements'!$C$8:$C$391,"&lt;="&amp;'Controls'!$B$8)</x:f>
        <x:v>219655.7999999997</x:v>
      </x:c>
      <x:c r="H23" s="75" t="n">
        <x:f>SUMIFS('Variations'!$K$8:$K$31,'Variations'!$B$8:$B$31,A23)</x:f>
        <x:v>0</x:v>
      </x:c>
      <x:c r="I23" s="76" t="n">
        <x:f>G23+H23</x:f>
        <x:v>219655.7999999997</x:v>
      </x:c>
      <x:c r="J23" s="75" t="n">
        <x:f>SUMIFS('Cost ledger'!$G$8:$G$415,'Cost ledger'!$B$8:$B$415,A23,'Cost ledger'!$C$8:$C$415,"&lt;="&amp;'Controls'!$B$8)</x:f>
        <x:v>216360.96299999973</x:v>
      </x:c>
      <x:c r="K23" s="75" t="n">
        <x:f>MAX(0,'Baseline'!E23-R23)*'Baseline'!F23*'Controls'!$B$16</x:f>
        <x:v>163172.87999999977</x:v>
      </x:c>
      <x:c r="L23" s="75" t="n">
        <x:f>SUMIFS('Variations'!$O$8:$O$31,'Variations'!$B$8:$B$31,A23)</x:f>
        <x:v>0</x:v>
      </x:c>
      <x:c r="M23" s="76" t="n">
        <x:f>K23+L23</x:f>
        <x:v>163172.87999999977</x:v>
      </x:c>
      <x:c r="N23" s="76" t="n">
        <x:f>J23+M23</x:f>
        <x:v>379533.8429999995</x:v>
      </x:c>
      <x:c r="O23" s="76" t="n">
        <x:f>E23-N23</x:f>
        <x:v>-2981.043000000005</x:v>
      </x:c>
      <x:c r="P23" s="77" t="n">
        <x:f>IF(J23=0,"n.a.",I23/J23)</x:f>
        <x:v>1.015228426395939</x:v>
      </x:c>
      <x:c r="Q23" s="77" t="n">
        <x:f>IF(F23=0,"n.a.",G23/F23)</x:f>
        <x:v>0.875</x:v>
      </x:c>
      <x:c r="R23" s="78" t="n">
        <x:f>SUMIFS('Measurements'!$F$8:$F$391,'Measurements'!$B$8:$B$391,A23,'Measurements'!$C$8:$C$391,"&lt;="&amp;'Controls'!$B$8)</x:f>
        <x:v>8135.39999999999</x:v>
      </x:c>
      <x:c r="S23" s="54"/>
    </x:row>
    <x:row r="24" ht="23" customHeight="1">
      <x:c r="A24" s="58" t="str">
        <x:v>FW04</x:v>
      </x:c>
      <x:c r="B24" s="58" t="str">
        <x:v>Formwork</x:v>
      </x:c>
      <x:c r="C24" s="71" t="n">
        <x:f>'Baseline'!G24</x:f>
        <x:v>278928.0000000004</x:v>
      </x:c>
      <x:c r="D24" s="71" t="n">
        <x:f>SUMIFS('Variations'!$H$8:$H$31,'Variations'!$B$8:$B$31,A24,'Variations'!$D$8:$D$31,"Approved")</x:f>
        <x:v>0</x:v>
      </x:c>
      <x:c r="E24" s="72" t="n">
        <x:f>C24+D24</x:f>
        <x:v>278928.0000000004</x:v>
      </x:c>
      <x:c r="F24" s="71" t="n">
        <x:f>'Baseline'!K24*'Baseline'!F24</x:f>
        <x:v>185952.00000000023</x:v>
      </x:c>
      <x:c r="G24" s="71" t="n">
        <x:f>SUMIFS('Measurements'!$H$8:$H$391,'Measurements'!$B$8:$B$391,A24,'Measurements'!$C$8:$C$391,"&lt;="&amp;'Controls'!$B$8)</x:f>
        <x:v>185952.00000000023</x:v>
      </x:c>
      <x:c r="H24" s="71" t="n">
        <x:f>SUMIFS('Variations'!$K$8:$K$31,'Variations'!$B$8:$B$31,A24)</x:f>
        <x:v>0</x:v>
      </x:c>
      <x:c r="I24" s="72" t="n">
        <x:f>G24+H24</x:f>
        <x:v>185952.00000000023</x:v>
      </x:c>
      <x:c r="J24" s="71" t="n">
        <x:f>SUMIFS('Cost ledger'!$G$8:$G$415,'Cost ledger'!$B$8:$B$415,A24,'Cost ledger'!$C$8:$C$415,"&lt;="&amp;'Controls'!$B$8)</x:f>
        <x:v>187811.52000000025</x:v>
      </x:c>
      <x:c r="K24" s="71" t="n">
        <x:f>MAX(0,'Baseline'!E24-R24)*'Baseline'!F24*'Controls'!$B$16</x:f>
        <x:v>96695.04000000015</x:v>
      </x:c>
      <x:c r="L24" s="71" t="n">
        <x:f>SUMIFS('Variations'!$O$8:$O$31,'Variations'!$B$8:$B$31,A24)</x:f>
        <x:v>0</x:v>
      </x:c>
      <x:c r="M24" s="72" t="n">
        <x:f>K24+L24</x:f>
        <x:v>96695.04000000015</x:v>
      </x:c>
      <x:c r="N24" s="72" t="n">
        <x:f>J24+M24</x:f>
        <x:v>284506.5600000004</x:v>
      </x:c>
      <x:c r="O24" s="72" t="n">
        <x:f>E24-N24</x:f>
        <x:v>-5578.559999999998</x:v>
      </x:c>
      <x:c r="P24" s="73" t="n">
        <x:f>IF(J24=0,"n.a.",I24/J24)</x:f>
        <x:v>0.99009900990099</x:v>
      </x:c>
      <x:c r="Q24" s="73" t="n">
        <x:f>IF(F24=0,"n.a.",G24/F24)</x:f>
        <x:v>1</x:v>
      </x:c>
      <x:c r="R24" s="74" t="n">
        <x:f>SUMIFS('Measurements'!$F$8:$F$391,'Measurements'!$B$8:$B$391,A24,'Measurements'!$C$8:$C$391,"&lt;="&amp;'Controls'!$B$8)</x:f>
        <x:v>7438.080000000011</x:v>
      </x:c>
      <x:c r="S24" s="54"/>
    </x:row>
    <x:row r="25" ht="23" customHeight="1">
      <x:c r="A25" s="60" t="str">
        <x:v>FW05</x:v>
      </x:c>
      <x:c r="B25" s="60" t="str">
        <x:v>Formwork</x:v>
      </x:c>
      <x:c r="C25" s="75" t="n">
        <x:f>'Baseline'!G25</x:f>
        <x:v>77086.8</x:v>
      </x:c>
      <x:c r="D25" s="75" t="n">
        <x:f>SUMIFS('Variations'!$H$8:$H$31,'Variations'!$B$8:$B$31,A25,'Variations'!$D$8:$D$31,"Approved")</x:f>
        <x:v>0</x:v>
      </x:c>
      <x:c r="E25" s="76" t="n">
        <x:f>C25+D25</x:f>
        <x:v>77086.8</x:v>
      </x:c>
      <x:c r="F25" s="75" t="n">
        <x:f>'Baseline'!K25*'Baseline'!F25</x:f>
        <x:v>77086.8</x:v>
      </x:c>
      <x:c r="G25" s="75" t="n">
        <x:f>SUMIFS('Measurements'!$H$8:$H$391,'Measurements'!$B$8:$B$391,A25,'Measurements'!$C$8:$C$391,"&lt;="&amp;'Controls'!$B$8)</x:f>
        <x:v>77086.8</x:v>
      </x:c>
      <x:c r="H25" s="75" t="n">
        <x:f>SUMIFS('Variations'!$K$8:$K$31,'Variations'!$B$8:$B$31,A25)</x:f>
        <x:v>0</x:v>
      </x:c>
      <x:c r="I25" s="76" t="n">
        <x:f>G25+H25</x:f>
        <x:v>77086.8</x:v>
      </x:c>
      <x:c r="J25" s="75" t="n">
        <x:f>SUMIFS('Cost ledger'!$G$8:$G$415,'Cost ledger'!$B$8:$B$415,A25,'Cost ledger'!$C$8:$C$415,"&lt;="&amp;'Controls'!$B$8)</x:f>
        <x:v>79784.838</x:v>
      </x:c>
      <x:c r="K25" s="75" t="n">
        <x:f>MAX(0,'Baseline'!E25-R25)*'Baseline'!F25*'Controls'!$B$16</x:f>
        <x:v>0</x:v>
      </x:c>
      <x:c r="L25" s="75" t="n">
        <x:f>SUMIFS('Variations'!$O$8:$O$31,'Variations'!$B$8:$B$31,A25)</x:f>
        <x:v>0</x:v>
      </x:c>
      <x:c r="M25" s="76" t="n">
        <x:f>K25+L25</x:f>
        <x:v>0</x:v>
      </x:c>
      <x:c r="N25" s="76" t="n">
        <x:f>J25+M25</x:f>
        <x:v>79784.838</x:v>
      </x:c>
      <x:c r="O25" s="76" t="n">
        <x:f>E25-N25</x:f>
        <x:v>-2698.0380000000005</x:v>
      </x:c>
      <x:c r="P25" s="77" t="n">
        <x:f>IF(J25=0,"n.a.",I25/J25)</x:f>
        <x:v>0.966183574879227</x:v>
      </x:c>
      <x:c r="Q25" s="77" t="n">
        <x:f>IF(F25=0,"n.a.",G25/F25)</x:f>
        <x:v>1</x:v>
      </x:c>
      <x:c r="R25" s="78" t="n">
        <x:f>SUMIFS('Measurements'!$F$8:$F$391,'Measurements'!$B$8:$B$391,A25,'Measurements'!$C$8:$C$391,"&lt;="&amp;'Controls'!$B$8)</x:f>
        <x:v>3351.6</x:v>
      </x:c>
      <x:c r="S25" s="54"/>
    </x:row>
    <x:row r="26" ht="23" customHeight="1">
      <x:c r="A26" s="58" t="str">
        <x:v>FW06</x:v>
      </x:c>
      <x:c r="B26" s="58" t="str">
        <x:v>Formwork</x:v>
      </x:c>
      <x:c r="C26" s="71" t="n">
        <x:f>'Baseline'!G26</x:f>
        <x:v>221760</x:v>
      </x:c>
      <x:c r="D26" s="71" t="n">
        <x:f>SUMIFS('Variations'!$H$8:$H$31,'Variations'!$B$8:$B$31,A26,'Variations'!$D$8:$D$31,"Approved")</x:f>
        <x:v>0</x:v>
      </x:c>
      <x:c r="E26" s="72" t="n">
        <x:f>C26+D26</x:f>
        <x:v>221760</x:v>
      </x:c>
      <x:c r="F26" s="71" t="n">
        <x:f>'Baseline'!K26*'Baseline'!F26</x:f>
        <x:v>221760</x:v>
      </x:c>
      <x:c r="G26" s="71" t="n">
        <x:f>SUMIFS('Measurements'!$H$8:$H$391,'Measurements'!$B$8:$B$391,A26,'Measurements'!$C$8:$C$391,"&lt;="&amp;'Controls'!$B$8)</x:f>
        <x:v>221760</x:v>
      </x:c>
      <x:c r="H26" s="71" t="n">
        <x:f>SUMIFS('Variations'!$K$8:$K$31,'Variations'!$B$8:$B$31,A26)</x:f>
        <x:v>0</x:v>
      </x:c>
      <x:c r="I26" s="72" t="n">
        <x:f>G26+H26</x:f>
        <x:v>221760</x:v>
      </x:c>
      <x:c r="J26" s="71" t="n">
        <x:f>SUMIFS('Cost ledger'!$G$8:$G$415,'Cost ledger'!$B$8:$B$415,A26,'Cost ledger'!$C$8:$C$415,"&lt;="&amp;'Controls'!$B$8)</x:f>
        <x:v>235065.6</x:v>
      </x:c>
      <x:c r="K26" s="71" t="n">
        <x:f>MAX(0,'Baseline'!E26-R26)*'Baseline'!F26*'Controls'!$B$16</x:f>
        <x:v>0</x:v>
      </x:c>
      <x:c r="L26" s="71" t="n">
        <x:f>SUMIFS('Variations'!$O$8:$O$31,'Variations'!$B$8:$B$31,A26)</x:f>
        <x:v>0</x:v>
      </x:c>
      <x:c r="M26" s="72" t="n">
        <x:f>K26+L26</x:f>
        <x:v>0</x:v>
      </x:c>
      <x:c r="N26" s="72" t="n">
        <x:f>J26+M26</x:f>
        <x:v>235065.6</x:v>
      </x:c>
      <x:c r="O26" s="72" t="n">
        <x:f>E26-N26</x:f>
        <x:v>-13305.600000000006</x:v>
      </x:c>
      <x:c r="P26" s="73" t="n">
        <x:f>IF(J26=0,"n.a.",I26/J26)</x:f>
        <x:v>0.9433962264150944</x:v>
      </x:c>
      <x:c r="Q26" s="73" t="n">
        <x:f>IF(F26=0,"n.a.",G26/F26)</x:f>
        <x:v>1</x:v>
      </x:c>
      <x:c r="R26" s="74" t="n">
        <x:f>SUMIFS('Measurements'!$F$8:$F$391,'Measurements'!$B$8:$B$391,A26,'Measurements'!$C$8:$C$391,"&lt;="&amp;'Controls'!$B$8)</x:f>
        <x:v>10080</x:v>
      </x:c>
      <x:c r="S26" s="54"/>
    </x:row>
    <x:row r="27" ht="23" customHeight="1">
      <x:c r="A27" s="60" t="str">
        <x:v>EN01</x:v>
      </x:c>
      <x:c r="B27" s="60" t="str">
        <x:v>Envelope</x:v>
      </x:c>
      <x:c r="C27" s="75" t="n">
        <x:f>'Baseline'!G27</x:f>
        <x:v>289440</x:v>
      </x:c>
      <x:c r="D27" s="75" t="n">
        <x:f>SUMIFS('Variations'!$H$8:$H$31,'Variations'!$B$8:$B$31,A27,'Variations'!$D$8:$D$31,"Approved")</x:f>
        <x:v>145152</x:v>
      </x:c>
      <x:c r="E27" s="76" t="n">
        <x:f>C27+D27</x:f>
        <x:v>434592</x:v>
      </x:c>
      <x:c r="F27" s="75" t="n">
        <x:f>'Baseline'!K27*'Baseline'!F27</x:f>
        <x:v>289440</x:v>
      </x:c>
      <x:c r="G27" s="75" t="n">
        <x:f>SUMIFS('Measurements'!$H$8:$H$391,'Measurements'!$B$8:$B$391,A27,'Measurements'!$C$8:$C$391,"&lt;="&amp;'Controls'!$B$8)</x:f>
        <x:v>289440</x:v>
      </x:c>
      <x:c r="H27" s="75" t="n">
        <x:f>SUMIFS('Variations'!$K$8:$K$31,'Variations'!$B$8:$B$31,A27)</x:f>
        <x:v>92880</x:v>
      </x:c>
      <x:c r="I27" s="76" t="n">
        <x:f>G27+H27</x:f>
        <x:v>382320</x:v>
      </x:c>
      <x:c r="J27" s="75" t="n">
        <x:f>SUMIFS('Cost ledger'!$G$8:$G$415,'Cost ledger'!$B$8:$B$415,A27,'Cost ledger'!$C$8:$C$415,"&lt;="&amp;'Controls'!$B$8)</x:f>
        <x:v>411636.6</x:v>
      </x:c>
      <x:c r="K27" s="75" t="n">
        <x:f>MAX(0,'Baseline'!E27-R27)*'Baseline'!F27*'Controls'!$B$16</x:f>
        <x:v>0</x:v>
      </x:c>
      <x:c r="L27" s="75" t="n">
        <x:f>SUMIFS('Variations'!$O$8:$O$31,'Variations'!$B$8:$B$31,A27)</x:f>
        <x:v>55408.32</x:v>
      </x:c>
      <x:c r="M27" s="76" t="n">
        <x:f>K27+L27</x:f>
        <x:v>55408.32</x:v>
      </x:c>
      <x:c r="N27" s="76" t="n">
        <x:f>J27+M27</x:f>
        <x:v>467044.92</x:v>
      </x:c>
      <x:c r="O27" s="76" t="n">
        <x:f>E27-N27</x:f>
        <x:v>-32452.919999999984</x:v>
      </x:c>
      <x:c r="P27" s="77" t="n">
        <x:f>IF(J27=0,"n.a.",I27/J27)</x:f>
        <x:v>0.9287803854176233</x:v>
      </x:c>
      <x:c r="Q27" s="77" t="n">
        <x:f>IF(F27=0,"n.a.",G27/F27)</x:f>
        <x:v>1</x:v>
      </x:c>
      <x:c r="R27" s="78" t="n">
        <x:f>SUMIFS('Measurements'!$F$8:$F$391,'Measurements'!$B$8:$B$391,A27,'Measurements'!$C$8:$C$391,"&lt;="&amp;'Controls'!$B$8)</x:f>
        <x:v>16080</x:v>
      </x:c>
      <x:c r="S27" s="54"/>
    </x:row>
    <x:row r="28" ht="23" customHeight="1">
      <x:c r="A28" s="58" t="str">
        <x:v>EN02</x:v>
      </x:c>
      <x:c r="B28" s="58" t="str">
        <x:v>Envelope</x:v>
      </x:c>
      <x:c r="C28" s="71" t="n">
        <x:f>'Baseline'!G28</x:f>
        <x:v>288000</x:v>
      </x:c>
      <x:c r="D28" s="71" t="n">
        <x:f>SUMIFS('Variations'!$H$8:$H$31,'Variations'!$B$8:$B$31,A28,'Variations'!$D$8:$D$31,"Approved")</x:f>
        <x:v>46592</x:v>
      </x:c>
      <x:c r="E28" s="72" t="n">
        <x:f>C28+D28</x:f>
        <x:v>334592</x:v>
      </x:c>
      <x:c r="F28" s="71" t="n">
        <x:f>'Baseline'!K28*'Baseline'!F28</x:f>
        <x:v>0</x:v>
      </x:c>
      <x:c r="G28" s="71" t="n">
        <x:f>SUMIFS('Measurements'!$H$8:$H$391,'Measurements'!$B$8:$B$391,A28,'Measurements'!$C$8:$C$391,"&lt;="&amp;'Controls'!$B$8)</x:f>
        <x:v>0</x:v>
      </x:c>
      <x:c r="H28" s="71" t="n">
        <x:f>SUMIFS('Variations'!$K$8:$K$31,'Variations'!$B$8:$B$31,A28)</x:f>
        <x:v>36192</x:v>
      </x:c>
      <x:c r="I28" s="72" t="n">
        <x:f>G28+H28</x:f>
        <x:v>36192</x:v>
      </x:c>
      <x:c r="J28" s="71" t="n">
        <x:f>SUMIFS('Cost ledger'!$G$8:$G$415,'Cost ledger'!$B$8:$B$415,A28,'Cost ledger'!$C$8:$C$415,"&lt;="&amp;'Controls'!$B$8)</x:f>
        <x:v>42546.4</x:v>
      </x:c>
      <x:c r="K28" s="71" t="n">
        <x:f>MAX(0,'Baseline'!E28-R28)*'Baseline'!F28*'Controls'!$B$16</x:f>
        <x:v>299520</x:v>
      </x:c>
      <x:c r="L28" s="71" t="n">
        <x:f>SUMIFS('Variations'!$O$8:$O$31,'Variations'!$B$8:$B$31,A28)</x:f>
        <x:v>11024</x:v>
      </x:c>
      <x:c r="M28" s="72" t="n">
        <x:f>K28+L28</x:f>
        <x:v>310544</x:v>
      </x:c>
      <x:c r="N28" s="72" t="n">
        <x:f>J28+M28</x:f>
        <x:v>353090.4</x:v>
      </x:c>
      <x:c r="O28" s="72" t="n">
        <x:f>E28-N28</x:f>
        <x:v>-18498.400000000023</x:v>
      </x:c>
      <x:c r="P28" s="73" t="n">
        <x:f>IF(J28=0,"n.a.",I28/J28)</x:f>
        <x:v>0.8506477633830359</x:v>
      </x:c>
      <x:c r="Q28" s="73" t="str">
        <x:f>IF(F28=0,"n.a.",G28/F28)</x:f>
        <x:v>n.a.</x:v>
      </x:c>
      <x:c r="R28" s="74" t="n">
        <x:f>SUMIFS('Measurements'!$F$8:$F$391,'Measurements'!$B$8:$B$391,A28,'Measurements'!$C$8:$C$391,"&lt;="&amp;'Controls'!$B$8)</x:f>
        <x:v>0</x:v>
      </x:c>
      <x:c r="S28" s="54"/>
    </x:row>
    <x:row r="29" ht="23" customHeight="1">
      <x:c r="A29" s="60" t="str">
        <x:v>EN03</x:v>
      </x:c>
      <x:c r="B29" s="60" t="str">
        <x:v>Envelope</x:v>
      </x:c>
      <x:c r="C29" s="75" t="n">
        <x:f>'Baseline'!G29</x:f>
        <x:v>1630347.2639999997</x:v>
      </x:c>
      <x:c r="D29" s="75" t="n">
        <x:f>SUMIFS('Variations'!$H$8:$H$31,'Variations'!$B$8:$B$31,A29,'Variations'!$D$8:$D$31,"Approved")</x:f>
        <x:v>0</x:v>
      </x:c>
      <x:c r="E29" s="76" t="n">
        <x:f>C29+D29</x:f>
        <x:v>1630347.2639999997</x:v>
      </x:c>
      <x:c r="F29" s="75" t="n">
        <x:f>'Baseline'!K29*'Baseline'!F29</x:f>
        <x:v>148213.38763636362</x:v>
      </x:c>
      <x:c r="G29" s="75" t="n">
        <x:f>SUMIFS('Measurements'!$H$8:$H$391,'Measurements'!$B$8:$B$391,A29,'Measurements'!$C$8:$C$391,"&lt;="&amp;'Controls'!$B$8)</x:f>
        <x:v>143766.9860072727</x:v>
      </x:c>
      <x:c r="H29" s="75" t="n">
        <x:f>SUMIFS('Variations'!$K$8:$K$31,'Variations'!$B$8:$B$31,A29)</x:f>
        <x:v>0</x:v>
      </x:c>
      <x:c r="I29" s="76" t="n">
        <x:f>G29+H29</x:f>
        <x:v>143766.9860072727</x:v>
      </x:c>
      <x:c r="J29" s="75" t="n">
        <x:f>SUMIFS('Cost ledger'!$G$8:$G$415,'Cost ledger'!$B$8:$B$415,A29,'Cost ledger'!$C$8:$C$415,"&lt;="&amp;'Controls'!$B$8)</x:f>
        <x:v>231616.3865669818</x:v>
      </x:c>
      <x:c r="K29" s="75" t="n">
        <x:f>MAX(0,'Baseline'!E29-R29)*'Baseline'!F29*'Controls'!$B$16</x:f>
        <x:v>1546043.4891124363</x:v>
      </x:c>
      <x:c r="L29" s="75" t="n">
        <x:f>SUMIFS('Variations'!$O$8:$O$31,'Variations'!$B$8:$B$31,A29)</x:f>
        <x:v>0</x:v>
      </x:c>
      <x:c r="M29" s="76" t="n">
        <x:f>K29+L29</x:f>
        <x:v>1546043.4891124363</x:v>
      </x:c>
      <x:c r="N29" s="76" t="n">
        <x:f>J29+M29</x:f>
        <x:v>1777659.875679418</x:v>
      </x:c>
      <x:c r="O29" s="76" t="n">
        <x:f>E29-N29</x:f>
        <x:v>-147312.61167941825</x:v>
      </x:c>
      <x:c r="P29" s="77" t="n">
        <x:f>IF(J29=0,"n.a.",I29/J29)</x:f>
        <x:v>0.6207116350366528</x:v>
      </x:c>
      <x:c r="Q29" s="77" t="n">
        <x:f>IF(F29=0,"n.a.",G29/F29)</x:f>
        <x:v>0.97</x:v>
      </x:c>
      <x:c r="R29" s="78" t="n">
        <x:f>SUMIFS('Measurements'!$F$8:$F$391,'Measurements'!$B$8:$B$391,A29,'Measurements'!$C$8:$C$391,"&lt;="&amp;'Controls'!$B$8)</x:f>
        <x:v>1711.511738181818</x:v>
      </x:c>
      <x:c r="S29" s="54"/>
    </x:row>
    <x:row r="30" ht="23" customHeight="1">
      <x:c r="A30" s="58" t="str">
        <x:v>EN04</x:v>
      </x:c>
      <x:c r="B30" s="58" t="str">
        <x:v>Envelope</x:v>
      </x:c>
      <x:c r="C30" s="71" t="n">
        <x:f>'Baseline'!G30</x:f>
        <x:v>1660538.8800000004</x:v>
      </x:c>
      <x:c r="D30" s="71" t="n">
        <x:f>SUMIFS('Variations'!$H$8:$H$31,'Variations'!$B$8:$B$31,A30,'Variations'!$D$8:$D$31,"Approved")</x:f>
        <x:v>0</x:v>
      </x:c>
      <x:c r="E30" s="72" t="n">
        <x:f>C30+D30</x:f>
        <x:v>1660538.8800000004</x:v>
      </x:c>
      <x:c r="F30" s="71" t="n">
        <x:f>'Baseline'!K30*'Baseline'!F30</x:f>
        <x:v>0</x:v>
      </x:c>
      <x:c r="G30" s="71" t="n">
        <x:f>SUMIFS('Measurements'!$H$8:$H$391,'Measurements'!$B$8:$B$391,A30,'Measurements'!$C$8:$C$391,"&lt;="&amp;'Controls'!$B$8)</x:f>
        <x:v>0</x:v>
      </x:c>
      <x:c r="H30" s="71" t="n">
        <x:f>SUMIFS('Variations'!$K$8:$K$31,'Variations'!$B$8:$B$31,A30)</x:f>
        <x:v>0</x:v>
      </x:c>
      <x:c r="I30" s="72" t="n">
        <x:f>G30+H30</x:f>
        <x:v>0</x:v>
      </x:c>
      <x:c r="J30" s="71" t="n">
        <x:f>SUMIFS('Cost ledger'!$G$8:$G$415,'Cost ledger'!$B$8:$B$415,A30,'Cost ledger'!$C$8:$C$415,"&lt;="&amp;'Controls'!$B$8)</x:f>
        <x:v>0</x:v>
      </x:c>
      <x:c r="K30" s="71" t="n">
        <x:f>MAX(0,'Baseline'!E30-R30)*'Baseline'!F30*'Controls'!$B$16</x:f>
        <x:v>1726960.4352000004</x:v>
      </x:c>
      <x:c r="L30" s="71" t="n">
        <x:f>SUMIFS('Variations'!$O$8:$O$31,'Variations'!$B$8:$B$31,A30)</x:f>
        <x:v>0</x:v>
      </x:c>
      <x:c r="M30" s="72" t="n">
        <x:f>K30+L30</x:f>
        <x:v>1726960.4352000004</x:v>
      </x:c>
      <x:c r="N30" s="72" t="n">
        <x:f>J30+M30</x:f>
        <x:v>1726960.4352000004</x:v>
      </x:c>
      <x:c r="O30" s="72" t="n">
        <x:f>E30-N30</x:f>
        <x:v>-66421.55520000006</x:v>
      </x:c>
      <x:c r="P30" s="73" t="str">
        <x:f>IF(J30=0,"n.a.",I30/J30)</x:f>
        <x:v>n.a.</x:v>
      </x:c>
      <x:c r="Q30" s="73" t="str">
        <x:f>IF(F30=0,"n.a.",G30/F30)</x:f>
        <x:v>n.a.</x:v>
      </x:c>
      <x:c r="R30" s="74" t="n">
        <x:f>SUMIFS('Measurements'!$F$8:$F$391,'Measurements'!$B$8:$B$391,A30,'Measurements'!$C$8:$C$391,"&lt;="&amp;'Controls'!$B$8)</x:f>
        <x:v>0</x:v>
      </x:c>
      <x:c r="S30" s="54"/>
    </x:row>
    <x:row r="31" ht="23" customHeight="1">
      <x:c r="A31" s="60" t="str">
        <x:v>AR01</x:v>
      </x:c>
      <x:c r="B31" s="60" t="str">
        <x:v>Finishes</x:v>
      </x:c>
      <x:c r="C31" s="75" t="n">
        <x:f>'Baseline'!G31</x:f>
        <x:v>951933.06</x:v>
      </x:c>
      <x:c r="D31" s="75" t="n">
        <x:f>SUMIFS('Variations'!$H$8:$H$31,'Variations'!$B$8:$B$31,A31,'Variations'!$D$8:$D$31,"Approved")</x:f>
        <x:v>0</x:v>
      </x:c>
      <x:c r="E31" s="76" t="n">
        <x:f>C31+D31</x:f>
        <x:v>951933.06</x:v>
      </x:c>
      <x:c r="F31" s="75" t="n">
        <x:f>'Baseline'!K31*'Baseline'!F31</x:f>
        <x:v>317311.02</x:v>
      </x:c>
      <x:c r="G31" s="75" t="n">
        <x:f>SUMIFS('Measurements'!$H$8:$H$391,'Measurements'!$B$8:$B$391,A31,'Measurements'!$C$8:$C$391,"&lt;="&amp;'Controls'!$B$8)</x:f>
        <x:v>317311.02</x:v>
      </x:c>
      <x:c r="H31" s="75" t="n">
        <x:f>SUMIFS('Variations'!$K$8:$K$31,'Variations'!$B$8:$B$31,A31)</x:f>
        <x:v>0</x:v>
      </x:c>
      <x:c r="I31" s="76" t="n">
        <x:f>G31+H31</x:f>
        <x:v>317311.02</x:v>
      </x:c>
      <x:c r="J31" s="75" t="n">
        <x:f>SUMIFS('Cost ledger'!$G$8:$G$415,'Cost ledger'!$B$8:$B$415,A31,'Cost ledger'!$C$8:$C$415,"&lt;="&amp;'Controls'!$B$8)</x:f>
        <x:v>320484.1302</x:v>
      </x:c>
      <x:c r="K31" s="75" t="n">
        <x:f>MAX(0,'Baseline'!E31-R31)*'Baseline'!F31*'Controls'!$B$16</x:f>
        <x:v>660006.9216000001</x:v>
      </x:c>
      <x:c r="L31" s="75" t="n">
        <x:f>SUMIFS('Variations'!$O$8:$O$31,'Variations'!$B$8:$B$31,A31)</x:f>
        <x:v>0</x:v>
      </x:c>
      <x:c r="M31" s="76" t="n">
        <x:f>K31+L31</x:f>
        <x:v>660006.9216000001</x:v>
      </x:c>
      <x:c r="N31" s="76" t="n">
        <x:f>J31+M31</x:f>
        <x:v>980491.0518000001</x:v>
      </x:c>
      <x:c r="O31" s="76" t="n">
        <x:f>E31-N31</x:f>
        <x:v>-28557.991800000076</x:v>
      </x:c>
      <x:c r="P31" s="77" t="n">
        <x:f>IF(J31=0,"n.a.",I31/J31)</x:f>
        <x:v>0.9900990099009901</x:v>
      </x:c>
      <x:c r="Q31" s="77" t="n">
        <x:f>IF(F31=0,"n.a.",G31/F31)</x:f>
        <x:v>1</x:v>
      </x:c>
      <x:c r="R31" s="78" t="n">
        <x:f>SUMIFS('Measurements'!$F$8:$F$391,'Measurements'!$B$8:$B$391,A31,'Measurements'!$C$8:$C$391,"&lt;="&amp;'Controls'!$B$8)</x:f>
        <x:v>2350.452</x:v>
      </x:c>
      <x:c r="S31" s="54"/>
    </x:row>
    <x:row r="32" ht="23" customHeight="1">
      <x:c r="A32" s="58" t="str">
        <x:v>AR02</x:v>
      </x:c>
      <x:c r="B32" s="58" t="str">
        <x:v>Finishes</x:v>
      </x:c>
      <x:c r="C32" s="71" t="n">
        <x:f>'Baseline'!G32</x:f>
        <x:v>1175226.0000000005</x:v>
      </x:c>
      <x:c r="D32" s="71" t="n">
        <x:f>SUMIFS('Variations'!$H$8:$H$31,'Variations'!$B$8:$B$31,A32,'Variations'!$D$8:$D$31,"Approved")</x:f>
        <x:v>0</x:v>
      </x:c>
      <x:c r="E32" s="72" t="n">
        <x:f>C32+D32</x:f>
        <x:v>1175226.0000000005</x:v>
      </x:c>
      <x:c r="F32" s="71" t="n">
        <x:f>'Baseline'!K32*'Baseline'!F32</x:f>
        <x:v>106838.72727272731</x:v>
      </x:c>
      <x:c r="G32" s="71" t="n">
        <x:f>SUMIFS('Measurements'!$H$8:$H$391,'Measurements'!$B$8:$B$391,A32,'Measurements'!$C$8:$C$391,"&lt;="&amp;'Controls'!$B$8)</x:f>
        <x:v>106838.72727272731</x:v>
      </x:c>
      <x:c r="H32" s="71" t="n">
        <x:f>SUMIFS('Variations'!$K$8:$K$31,'Variations'!$B$8:$B$31,A32)</x:f>
        <x:v>0</x:v>
      </x:c>
      <x:c r="I32" s="72" t="n">
        <x:f>G32+H32</x:f>
        <x:v>106838.72727272731</x:v>
      </x:c>
      <x:c r="J32" s="71" t="n">
        <x:f>SUMIFS('Cost ledger'!$G$8:$G$415,'Cost ledger'!$B$8:$B$415,A32,'Cost ledger'!$C$8:$C$415,"&lt;="&amp;'Controls'!$B$8)</x:f>
        <x:v>110578.08272727275</x:v>
      </x:c>
      <x:c r="K32" s="71" t="n">
        <x:f>MAX(0,'Baseline'!E32-R32)*'Baseline'!F32*'Controls'!$B$16</x:f>
        <x:v>1111122.763636364</x:v>
      </x:c>
      <x:c r="L32" s="71" t="n">
        <x:f>SUMIFS('Variations'!$O$8:$O$31,'Variations'!$B$8:$B$31,A32)</x:f>
        <x:v>0</x:v>
      </x:c>
      <x:c r="M32" s="72" t="n">
        <x:f>K32+L32</x:f>
        <x:v>1111122.763636364</x:v>
      </x:c>
      <x:c r="N32" s="72" t="n">
        <x:f>J32+M32</x:f>
        <x:v>1221700.8463636367</x:v>
      </x:c>
      <x:c r="O32" s="72" t="n">
        <x:f>E32-N32</x:f>
        <x:v>-46474.8463636362</x:v>
      </x:c>
      <x:c r="P32" s="73" t="n">
        <x:f>IF(J32=0,"n.a.",I32/J32)</x:f>
        <x:v>0.9661835748792272</x:v>
      </x:c>
      <x:c r="Q32" s="73" t="n">
        <x:f>IF(F32=0,"n.a.",G32/F32)</x:f>
        <x:v>1</x:v>
      </x:c>
      <x:c r="R32" s="74" t="n">
        <x:f>SUMIFS('Measurements'!$F$8:$F$391,'Measurements'!$B$8:$B$391,A32,'Measurements'!$C$8:$C$391,"&lt;="&amp;'Controls'!$B$8)</x:f>
        <x:v>8547.098181818186</x:v>
      </x:c>
      <x:c r="S32" s="54"/>
    </x:row>
    <x:row r="33" ht="23" customHeight="1">
      <x:c r="A33" s="60" t="str">
        <x:v>AR03</x:v>
      </x:c>
      <x:c r="B33" s="60" t="str">
        <x:v>Finishes</x:v>
      </x:c>
      <x:c r="C33" s="75" t="n">
        <x:f>'Baseline'!G33</x:f>
        <x:v>705744</x:v>
      </x:c>
      <x:c r="D33" s="75" t="n">
        <x:f>SUMIFS('Variations'!$H$8:$H$31,'Variations'!$B$8:$B$31,A33,'Variations'!$D$8:$D$31,"Approved")</x:f>
        <x:v>0</x:v>
      </x:c>
      <x:c r="E33" s="76" t="n">
        <x:f>C33+D33</x:f>
        <x:v>705744</x:v>
      </x:c>
      <x:c r="F33" s="75" t="n">
        <x:f>'Baseline'!K33*'Baseline'!F33</x:f>
        <x:v>0</x:v>
      </x:c>
      <x:c r="G33" s="75" t="n">
        <x:f>SUMIFS('Measurements'!$H$8:$H$391,'Measurements'!$B$8:$B$391,A33,'Measurements'!$C$8:$C$391,"&lt;="&amp;'Controls'!$B$8)</x:f>
        <x:v>0</x:v>
      </x:c>
      <x:c r="H33" s="75" t="n">
        <x:f>SUMIFS('Variations'!$K$8:$K$31,'Variations'!$B$8:$B$31,A33)</x:f>
        <x:v>0</x:v>
      </x:c>
      <x:c r="I33" s="76" t="n">
        <x:f>G33+H33</x:f>
        <x:v>0</x:v>
      </x:c>
      <x:c r="J33" s="75" t="n">
        <x:f>SUMIFS('Cost ledger'!$G$8:$G$415,'Cost ledger'!$B$8:$B$415,A33,'Cost ledger'!$C$8:$C$415,"&lt;="&amp;'Controls'!$B$8)</x:f>
        <x:v>0</x:v>
      </x:c>
      <x:c r="K33" s="75" t="n">
        <x:f>MAX(0,'Baseline'!E33-R33)*'Baseline'!F33*'Controls'!$B$16</x:f>
        <x:v>733973.76</x:v>
      </x:c>
      <x:c r="L33" s="75" t="n">
        <x:f>SUMIFS('Variations'!$O$8:$O$31,'Variations'!$B$8:$B$31,A33)</x:f>
        <x:v>0</x:v>
      </x:c>
      <x:c r="M33" s="76" t="n">
        <x:f>K33+L33</x:f>
        <x:v>733973.76</x:v>
      </x:c>
      <x:c r="N33" s="76" t="n">
        <x:f>J33+M33</x:f>
        <x:v>733973.76</x:v>
      </x:c>
      <x:c r="O33" s="76" t="n">
        <x:f>E33-N33</x:f>
        <x:v>-28229.76000000001</x:v>
      </x:c>
      <x:c r="P33" s="77" t="str">
        <x:f>IF(J33=0,"n.a.",I33/J33)</x:f>
        <x:v>n.a.</x:v>
      </x:c>
      <x:c r="Q33" s="77" t="str">
        <x:f>IF(F33=0,"n.a.",G33/F33)</x:f>
        <x:v>n.a.</x:v>
      </x:c>
      <x:c r="R33" s="78" t="n">
        <x:f>SUMIFS('Measurements'!$F$8:$F$391,'Measurements'!$B$8:$B$391,A33,'Measurements'!$C$8:$C$391,"&lt;="&amp;'Controls'!$B$8)</x:f>
        <x:v>0</x:v>
      </x:c>
      <x:c r="S33" s="54"/>
    </x:row>
    <x:row r="34" ht="23" customHeight="1">
      <x:c r="A34" s="58" t="str">
        <x:v>AR04</x:v>
      </x:c>
      <x:c r="B34" s="58" t="str">
        <x:v>Finishes</x:v>
      </x:c>
      <x:c r="C34" s="71" t="n">
        <x:f>'Baseline'!G34</x:f>
        <x:v>1872936</x:v>
      </x:c>
      <x:c r="D34" s="71" t="n">
        <x:f>SUMIFS('Variations'!$H$8:$H$31,'Variations'!$B$8:$B$31,A34,'Variations'!$D$8:$D$31,"Approved")</x:f>
        <x:v>0</x:v>
      </x:c>
      <x:c r="E34" s="72" t="n">
        <x:f>C34+D34</x:f>
        <x:v>1872936</x:v>
      </x:c>
      <x:c r="F34" s="71" t="n">
        <x:f>'Baseline'!K34*'Baseline'!F34</x:f>
        <x:v>0</x:v>
      </x:c>
      <x:c r="G34" s="71" t="n">
        <x:f>SUMIFS('Measurements'!$H$8:$H$391,'Measurements'!$B$8:$B$391,A34,'Measurements'!$C$8:$C$391,"&lt;="&amp;'Controls'!$B$8)</x:f>
        <x:v>0</x:v>
      </x:c>
      <x:c r="H34" s="71" t="n">
        <x:f>SUMIFS('Variations'!$K$8:$K$31,'Variations'!$B$8:$B$31,A34)</x:f>
        <x:v>0</x:v>
      </x:c>
      <x:c r="I34" s="72" t="n">
        <x:f>G34+H34</x:f>
        <x:v>0</x:v>
      </x:c>
      <x:c r="J34" s="71" t="n">
        <x:f>SUMIFS('Cost ledger'!$G$8:$G$415,'Cost ledger'!$B$8:$B$415,A34,'Cost ledger'!$C$8:$C$415,"&lt;="&amp;'Controls'!$B$8)</x:f>
        <x:v>0</x:v>
      </x:c>
      <x:c r="K34" s="71" t="n">
        <x:f>MAX(0,'Baseline'!E34-R34)*'Baseline'!F34*'Controls'!$B$16</x:f>
        <x:v>1947853.4400000002</x:v>
      </x:c>
      <x:c r="L34" s="71" t="n">
        <x:f>SUMIFS('Variations'!$O$8:$O$31,'Variations'!$B$8:$B$31,A34)</x:f>
        <x:v>0</x:v>
      </x:c>
      <x:c r="M34" s="72" t="n">
        <x:f>K34+L34</x:f>
        <x:v>1947853.4400000002</x:v>
      </x:c>
      <x:c r="N34" s="72" t="n">
        <x:f>J34+M34</x:f>
        <x:v>1947853.4400000002</x:v>
      </x:c>
      <x:c r="O34" s="72" t="n">
        <x:f>E34-N34</x:f>
        <x:v>-74917.44000000018</x:v>
      </x:c>
      <x:c r="P34" s="73" t="str">
        <x:f>IF(J34=0,"n.a.",I34/J34)</x:f>
        <x:v>n.a.</x:v>
      </x:c>
      <x:c r="Q34" s="73" t="str">
        <x:f>IF(F34=0,"n.a.",G34/F34)</x:f>
        <x:v>n.a.</x:v>
      </x:c>
      <x:c r="R34" s="74" t="n">
        <x:f>SUMIFS('Measurements'!$F$8:$F$391,'Measurements'!$B$8:$B$391,A34,'Measurements'!$C$8:$C$391,"&lt;="&amp;'Controls'!$B$8)</x:f>
        <x:v>0</x:v>
      </x:c>
      <x:c r="S34" s="54"/>
    </x:row>
    <x:row r="35" ht="23" customHeight="1">
      <x:c r="A35" s="60" t="str">
        <x:v>AR05</x:v>
      </x:c>
      <x:c r="B35" s="60" t="str">
        <x:v>Finishes</x:v>
      </x:c>
      <x:c r="C35" s="75" t="n">
        <x:f>'Baseline'!G35</x:f>
        <x:v>799153.6800000003</x:v>
      </x:c>
      <x:c r="D35" s="75" t="n">
        <x:f>SUMIFS('Variations'!$H$8:$H$31,'Variations'!$B$8:$B$31,A35,'Variations'!$D$8:$D$31,"Approved")</x:f>
        <x:v>0</x:v>
      </x:c>
      <x:c r="E35" s="76" t="n">
        <x:f>C35+D35</x:f>
        <x:v>799153.6800000003</x:v>
      </x:c>
      <x:c r="F35" s="75" t="n">
        <x:f>'Baseline'!K35*'Baseline'!F35</x:f>
        <x:v>0</x:v>
      </x:c>
      <x:c r="G35" s="75" t="n">
        <x:f>SUMIFS('Measurements'!$H$8:$H$391,'Measurements'!$B$8:$B$391,A35,'Measurements'!$C$8:$C$391,"&lt;="&amp;'Controls'!$B$8)</x:f>
        <x:v>0</x:v>
      </x:c>
      <x:c r="H35" s="75" t="n">
        <x:f>SUMIFS('Variations'!$K$8:$K$31,'Variations'!$B$8:$B$31,A35)</x:f>
        <x:v>0</x:v>
      </x:c>
      <x:c r="I35" s="76" t="n">
        <x:f>G35+H35</x:f>
        <x:v>0</x:v>
      </x:c>
      <x:c r="J35" s="75" t="n">
        <x:f>SUMIFS('Cost ledger'!$G$8:$G$415,'Cost ledger'!$B$8:$B$415,A35,'Cost ledger'!$C$8:$C$415,"&lt;="&amp;'Controls'!$B$8)</x:f>
        <x:v>0</x:v>
      </x:c>
      <x:c r="K35" s="75" t="n">
        <x:f>MAX(0,'Baseline'!E35-R35)*'Baseline'!F35*'Controls'!$B$16</x:f>
        <x:v>831119.8272000003</x:v>
      </x:c>
      <x:c r="L35" s="75" t="n">
        <x:f>SUMIFS('Variations'!$O$8:$O$31,'Variations'!$B$8:$B$31,A35)</x:f>
        <x:v>0</x:v>
      </x:c>
      <x:c r="M35" s="76" t="n">
        <x:f>K35+L35</x:f>
        <x:v>831119.8272000003</x:v>
      </x:c>
      <x:c r="N35" s="76" t="n">
        <x:f>J35+M35</x:f>
        <x:v>831119.8272000003</x:v>
      </x:c>
      <x:c r="O35" s="76" t="n">
        <x:f>E35-N35</x:f>
        <x:v>-31966.147200000007</x:v>
      </x:c>
      <x:c r="P35" s="77" t="str">
        <x:f>IF(J35=0,"n.a.",I35/J35)</x:f>
        <x:v>n.a.</x:v>
      </x:c>
      <x:c r="Q35" s="77" t="str">
        <x:f>IF(F35=0,"n.a.",G35/F35)</x:f>
        <x:v>n.a.</x:v>
      </x:c>
      <x:c r="R35" s="78" t="n">
        <x:f>SUMIFS('Measurements'!$F$8:$F$391,'Measurements'!$B$8:$B$391,A35,'Measurements'!$C$8:$C$391,"&lt;="&amp;'Controls'!$B$8)</x:f>
        <x:v>0</x:v>
      </x:c>
      <x:c r="S35" s="54"/>
    </x:row>
    <x:row r="36" ht="23" customHeight="1">
      <x:c r="A36" s="58" t="str">
        <x:v>AR06</x:v>
      </x:c>
      <x:c r="B36" s="58" t="str">
        <x:v>Finishes</x:v>
      </x:c>
      <x:c r="C36" s="71" t="n">
        <x:f>'Baseline'!G36</x:f>
        <x:v>452088</x:v>
      </x:c>
      <x:c r="D36" s="71" t="n">
        <x:f>SUMIFS('Variations'!$H$8:$H$31,'Variations'!$B$8:$B$31,A36,'Variations'!$D$8:$D$31,"Approved")</x:f>
        <x:v>0</x:v>
      </x:c>
      <x:c r="E36" s="72" t="n">
        <x:f>C36+D36</x:f>
        <x:v>452088</x:v>
      </x:c>
      <x:c r="F36" s="71" t="n">
        <x:f>'Baseline'!K36*'Baseline'!F36</x:f>
        <x:v>0</x:v>
      </x:c>
      <x:c r="G36" s="71" t="n">
        <x:f>SUMIFS('Measurements'!$H$8:$H$391,'Measurements'!$B$8:$B$391,A36,'Measurements'!$C$8:$C$391,"&lt;="&amp;'Controls'!$B$8)</x:f>
        <x:v>0</x:v>
      </x:c>
      <x:c r="H36" s="71" t="n">
        <x:f>SUMIFS('Variations'!$K$8:$K$31,'Variations'!$B$8:$B$31,A36)</x:f>
        <x:v>0</x:v>
      </x:c>
      <x:c r="I36" s="72" t="n">
        <x:f>G36+H36</x:f>
        <x:v>0</x:v>
      </x:c>
      <x:c r="J36" s="71" t="n">
        <x:f>SUMIFS('Cost ledger'!$G$8:$G$415,'Cost ledger'!$B$8:$B$415,A36,'Cost ledger'!$C$8:$C$415,"&lt;="&amp;'Controls'!$B$8)</x:f>
        <x:v>0</x:v>
      </x:c>
      <x:c r="K36" s="71" t="n">
        <x:f>MAX(0,'Baseline'!E36-R36)*'Baseline'!F36*'Controls'!$B$16</x:f>
        <x:v>470171.52</x:v>
      </x:c>
      <x:c r="L36" s="71" t="n">
        <x:f>SUMIFS('Variations'!$O$8:$O$31,'Variations'!$B$8:$B$31,A36)</x:f>
        <x:v>0</x:v>
      </x:c>
      <x:c r="M36" s="72" t="n">
        <x:f>K36+L36</x:f>
        <x:v>470171.52</x:v>
      </x:c>
      <x:c r="N36" s="72" t="n">
        <x:f>J36+M36</x:f>
        <x:v>470171.52</x:v>
      </x:c>
      <x:c r="O36" s="72" t="n">
        <x:f>E36-N36</x:f>
        <x:v>-18083.52000000002</x:v>
      </x:c>
      <x:c r="P36" s="73" t="str">
        <x:f>IF(J36=0,"n.a.",I36/J36)</x:f>
        <x:v>n.a.</x:v>
      </x:c>
      <x:c r="Q36" s="73" t="str">
        <x:f>IF(F36=0,"n.a.",G36/F36)</x:f>
        <x:v>n.a.</x:v>
      </x:c>
      <x:c r="R36" s="74" t="n">
        <x:f>SUMIFS('Measurements'!$F$8:$F$391,'Measurements'!$B$8:$B$391,A36,'Measurements'!$C$8:$C$391,"&lt;="&amp;'Controls'!$B$8)</x:f>
        <x:v>0</x:v>
      </x:c>
      <x:c r="S36" s="54"/>
    </x:row>
    <x:row r="37" ht="23" customHeight="1">
      <x:c r="A37" s="60" t="str">
        <x:v>EX01</x:v>
      </x:c>
      <x:c r="B37" s="60" t="str">
        <x:v>External</x:v>
      </x:c>
      <x:c r="C37" s="75" t="n">
        <x:f>'Baseline'!G37</x:f>
        <x:v>171000</x:v>
      </x:c>
      <x:c r="D37" s="75" t="n">
        <x:f>SUMIFS('Variations'!$H$8:$H$31,'Variations'!$B$8:$B$31,A37,'Variations'!$D$8:$D$31,"Approved")</x:f>
        <x:v>188328</x:v>
      </x:c>
      <x:c r="E37" s="76" t="n">
        <x:f>C37+D37</x:f>
        <x:v>359328</x:v>
      </x:c>
      <x:c r="F37" s="75" t="n">
        <x:f>'Baseline'!K37*'Baseline'!F37</x:f>
        <x:v>0</x:v>
      </x:c>
      <x:c r="G37" s="75" t="n">
        <x:f>SUMIFS('Measurements'!$H$8:$H$391,'Measurements'!$B$8:$B$391,A37,'Measurements'!$C$8:$C$391,"&lt;="&amp;'Controls'!$B$8)</x:f>
        <x:v>0</x:v>
      </x:c>
      <x:c r="H37" s="75" t="n">
        <x:f>SUMIFS('Variations'!$K$8:$K$31,'Variations'!$B$8:$B$31,A37)</x:f>
        <x:v>142443</x:v>
      </x:c>
      <x:c r="I37" s="76" t="n">
        <x:f>G37+H37</x:f>
        <x:v>142443</x:v>
      </x:c>
      <x:c r="J37" s="75" t="n">
        <x:f>SUMIFS('Cost ledger'!$G$8:$G$415,'Cost ledger'!$B$8:$B$415,A37,'Cost ledger'!$C$8:$C$415,"&lt;="&amp;'Controls'!$B$8)</x:f>
        <x:v>156792.0375</x:v>
      </x:c>
      <x:c r="K37" s="75" t="n">
        <x:f>MAX(0,'Baseline'!E37-R37)*'Baseline'!F37*'Controls'!$B$16</x:f>
        <x:v>177840</x:v>
      </x:c>
      <x:c r="L37" s="75" t="n">
        <x:f>SUMIFS('Variations'!$O$8:$O$31,'Variations'!$B$8:$B$31,A37)</x:f>
        <x:v>48638.100000000006</x:v>
      </x:c>
      <x:c r="M37" s="76" t="n">
        <x:f>K37+L37</x:f>
        <x:v>226478.1</x:v>
      </x:c>
      <x:c r="N37" s="76" t="n">
        <x:f>J37+M37</x:f>
        <x:v>383270.1375</x:v>
      </x:c>
      <x:c r="O37" s="76" t="n">
        <x:f>E37-N37</x:f>
        <x:v>-23942.13750000001</x:v>
      </x:c>
      <x:c r="P37" s="77" t="n">
        <x:f>IF(J37=0,"n.a.",I37/J37)</x:f>
        <x:v>0.9084836339345357</x:v>
      </x:c>
      <x:c r="Q37" s="77" t="str">
        <x:f>IF(F37=0,"n.a.",G37/F37)</x:f>
        <x:v>n.a.</x:v>
      </x:c>
      <x:c r="R37" s="78" t="n">
        <x:f>SUMIFS('Measurements'!$F$8:$F$391,'Measurements'!$B$8:$B$391,A37,'Measurements'!$C$8:$C$391,"&lt;="&amp;'Controls'!$B$8)</x:f>
        <x:v>0</x:v>
      </x:c>
      <x:c r="S37" s="54"/>
    </x:row>
    <x:row r="38" ht="23" customHeight="1">
      <x:c r="A38" s="58" t="str">
        <x:v>EX02</x:v>
      </x:c>
      <x:c r="B38" s="58" t="str">
        <x:v>External</x:v>
      </x:c>
      <x:c r="C38" s="71" t="n">
        <x:f>'Baseline'!G38</x:f>
        <x:v>63360</x:v>
      </x:c>
      <x:c r="D38" s="71" t="n">
        <x:f>SUMIFS('Variations'!$H$8:$H$31,'Variations'!$B$8:$B$31,A38,'Variations'!$D$8:$D$31,"Approved")</x:f>
        <x:v>0</x:v>
      </x:c>
      <x:c r="E38" s="72" t="n">
        <x:f>C38+D38</x:f>
        <x:v>63360</x:v>
      </x:c>
      <x:c r="F38" s="71" t="n">
        <x:f>'Baseline'!K38*'Baseline'!F38</x:f>
        <x:v>0</x:v>
      </x:c>
      <x:c r="G38" s="71" t="n">
        <x:f>SUMIFS('Measurements'!$H$8:$H$391,'Measurements'!$B$8:$B$391,A38,'Measurements'!$C$8:$C$391,"&lt;="&amp;'Controls'!$B$8)</x:f>
        <x:v>0</x:v>
      </x:c>
      <x:c r="H38" s="71" t="n">
        <x:f>SUMIFS('Variations'!$K$8:$K$31,'Variations'!$B$8:$B$31,A38)</x:f>
        <x:v>0</x:v>
      </x:c>
      <x:c r="I38" s="72" t="n">
        <x:f>G38+H38</x:f>
        <x:v>0</x:v>
      </x:c>
      <x:c r="J38" s="71" t="n">
        <x:f>SUMIFS('Cost ledger'!$G$8:$G$415,'Cost ledger'!$B$8:$B$415,A38,'Cost ledger'!$C$8:$C$415,"&lt;="&amp;'Controls'!$B$8)</x:f>
        <x:v>0</x:v>
      </x:c>
      <x:c r="K38" s="71" t="n">
        <x:f>MAX(0,'Baseline'!E38-R38)*'Baseline'!F38*'Controls'!$B$16</x:f>
        <x:v>65894.40000000001</x:v>
      </x:c>
      <x:c r="L38" s="71" t="n">
        <x:f>SUMIFS('Variations'!$O$8:$O$31,'Variations'!$B$8:$B$31,A38)</x:f>
        <x:v>0</x:v>
      </x:c>
      <x:c r="M38" s="72" t="n">
        <x:f>K38+L38</x:f>
        <x:v>65894.40000000001</x:v>
      </x:c>
      <x:c r="N38" s="72" t="n">
        <x:f>J38+M38</x:f>
        <x:v>65894.40000000001</x:v>
      </x:c>
      <x:c r="O38" s="72" t="n">
        <x:f>E38-N38</x:f>
        <x:v>-2534.4000000000087</x:v>
      </x:c>
      <x:c r="P38" s="73" t="str">
        <x:f>IF(J38=0,"n.a.",I38/J38)</x:f>
        <x:v>n.a.</x:v>
      </x:c>
      <x:c r="Q38" s="73" t="str">
        <x:f>IF(F38=0,"n.a.",G38/F38)</x:f>
        <x:v>n.a.</x:v>
      </x:c>
      <x:c r="R38" s="74" t="n">
        <x:f>SUMIFS('Measurements'!$F$8:$F$391,'Measurements'!$B$8:$B$391,A38,'Measurements'!$C$8:$C$391,"&lt;="&amp;'Controls'!$B$8)</x:f>
        <x:v>0</x:v>
      </x:c>
      <x:c r="S38" s="54"/>
    </x:row>
    <x:row r="39" ht="23" customHeight="1">
      <x:c r="A39" s="60" t="str">
        <x:v>EX03</x:v>
      </x:c>
      <x:c r="B39" s="60" t="str">
        <x:v>External</x:v>
      </x:c>
      <x:c r="C39" s="75" t="n">
        <x:f>'Baseline'!G39</x:f>
        <x:v>13440</x:v>
      </x:c>
      <x:c r="D39" s="75" t="n">
        <x:f>SUMIFS('Variations'!$H$8:$H$31,'Variations'!$B$8:$B$31,A39,'Variations'!$D$8:$D$31,"Approved")</x:f>
        <x:v>32563.2</x:v>
      </x:c>
      <x:c r="E39" s="76" t="n">
        <x:f>C39+D39</x:f>
        <x:v>46003.2</x:v>
      </x:c>
      <x:c r="F39" s="75" t="n">
        <x:f>'Baseline'!K39*'Baseline'!F39</x:f>
        <x:v>0</x:v>
      </x:c>
      <x:c r="G39" s="75" t="n">
        <x:f>SUMIFS('Measurements'!$H$8:$H$391,'Measurements'!$B$8:$B$391,A39,'Measurements'!$C$8:$C$391,"&lt;="&amp;'Controls'!$B$8)</x:f>
        <x:v>0</x:v>
      </x:c>
      <x:c r="H39" s="75" t="n">
        <x:f>SUMIFS('Variations'!$K$8:$K$31,'Variations'!$B$8:$B$31,A39)</x:f>
        <x:v>24652.800000000003</x:v>
      </x:c>
      <x:c r="I39" s="76" t="n">
        <x:f>G39+H39</x:f>
        <x:v>24652.800000000003</x:v>
      </x:c>
      <x:c r="J39" s="75" t="n">
        <x:f>SUMIFS('Cost ledger'!$G$8:$G$415,'Cost ledger'!$B$8:$B$415,A39,'Cost ledger'!$C$8:$C$415,"&lt;="&amp;'Controls'!$B$8)</x:f>
        <x:v>30662.4</x:v>
      </x:c>
      <x:c r="K39" s="75" t="n">
        <x:f>MAX(0,'Baseline'!E39-R39)*'Baseline'!F39*'Controls'!$B$16</x:f>
        <x:v>13977.6</x:v>
      </x:c>
      <x:c r="L39" s="75" t="n">
        <x:f>SUMIFS('Variations'!$O$8:$O$31,'Variations'!$B$8:$B$31,A39)</x:f>
        <x:v>8385.024</x:v>
      </x:c>
      <x:c r="M39" s="76" t="n">
        <x:f>K39+L39</x:f>
        <x:v>22362.624</x:v>
      </x:c>
      <x:c r="N39" s="76" t="n">
        <x:f>J39+M39</x:f>
        <x:v>53025.024000000005</x:v>
      </x:c>
      <x:c r="O39" s="76" t="n">
        <x:f>E39-N39</x:f>
        <x:v>-7021.824000000008</x:v>
      </x:c>
      <x:c r="P39" s="77" t="n">
        <x:f>IF(J39=0,"n.a.",I39/J39)</x:f>
        <x:v>0.8040075140889168</x:v>
      </x:c>
      <x:c r="Q39" s="77" t="str">
        <x:f>IF(F39=0,"n.a.",G39/F39)</x:f>
        <x:v>n.a.</x:v>
      </x:c>
      <x:c r="R39" s="78" t="n">
        <x:f>SUMIFS('Measurements'!$F$8:$F$391,'Measurements'!$B$8:$B$391,A39,'Measurements'!$C$8:$C$391,"&lt;="&amp;'Controls'!$B$8)</x:f>
        <x:v>0</x:v>
      </x:c>
      <x:c r="S39" s="54"/>
    </x:row>
  </x:sheetData>
  <x:conditionalFormatting sqref="O8:O3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2">
      <x:c r="A2" s="53" t="str">
        <x:v>Interim payment certificates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Separate monthly certification, cumulative deductions and outstanding advance. USD excluding VAT.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Month</x:v>
      </x:c>
      <x:c r="B7" s="6" t="str">
        <x:v>Base gross USD</x:v>
      </x:c>
      <x:c r="C7" s="6" t="str">
        <x:v>Approved VO gross</x:v>
      </x:c>
      <x:c r="D7" s="6" t="str">
        <x:v>Gross current</x:v>
      </x:c>
      <x:c r="E7" s="6" t="str">
        <x:v>Gross cumulative</x:v>
      </x:c>
      <x:c r="F7" s="6" t="str">
        <x:v>Retention cum</x:v>
      </x:c>
      <x:c r="G7" s="6" t="str">
        <x:v>Retention current</x:v>
      </x:c>
      <x:c r="H7" s="6" t="str">
        <x:v>Recovery cum</x:v>
      </x:c>
      <x:c r="I7" s="6" t="str">
        <x:v>Recovery current</x:v>
      </x:c>
      <x:c r="J7" s="6" t="str">
        <x:v>Net certificate</x:v>
      </x:c>
      <x:c r="K7" s="6" t="str">
        <x:v>Net cumulative</x:v>
      </x:c>
      <x:c r="L7" s="6" t="str">
        <x:v>Advance balance</x:v>
      </x:c>
      <x:c r="M7" s="54"/>
      <x:c r="N7" s="54"/>
      <x:c r="O7" s="54"/>
      <x:c r="P7" s="54"/>
      <x:c r="Q7" s="54"/>
      <x:c r="R7" s="54"/>
      <x:c r="S7" s="54"/>
    </x:row>
    <x:row r="8" ht="23" customHeight="1">
      <x:c r="A8" s="58" t="n">
        <x:v>1</x:v>
      </x:c>
      <x:c r="B8" s="71" t="n">
        <x:f>SUMIFS('Measurements'!$H$8:$H$391,'Measurements'!$C$8:$C$391,A8)*'Controls'!$B$9</x:f>
        <x:v>202350.1824</x:v>
      </x:c>
      <x:c r="C8" s="71" t="n">
        <x:f>SUMIFS('Variations'!$L$8:$L$31,'Variations'!$E$8:$E$31,A8)</x:f>
        <x:v>0</x:v>
      </x:c>
      <x:c r="D8" s="72" t="n">
        <x:f>B8+C8</x:f>
        <x:v>202350.1824</x:v>
      </x:c>
      <x:c r="E8" s="72" t="n">
        <x:f>SUM($D$8:D8)</x:f>
        <x:v>202350.1824</x:v>
      </x:c>
      <x:c r="F8" s="71" t="n">
        <x:f>MIN(E8*'Controls'!$B$10,'Controls'!$B$14*'Controls'!$B$11)</x:f>
        <x:v>10117.50912</x:v>
      </x:c>
      <x:c r="G8" s="72" t="n">
        <x:f>F8</x:f>
        <x:v>10117.50912</x:v>
      </x:c>
      <x:c r="H8" s="71" t="n">
        <x:f>MIN(E8*'Controls'!$B$13,'Controls'!$B$14*'Controls'!$B$12)</x:f>
        <x:v>20235.01824</x:v>
      </x:c>
      <x:c r="I8" s="72" t="n">
        <x:f>H8</x:f>
        <x:v>20235.01824</x:v>
      </x:c>
      <x:c r="J8" s="72" t="n">
        <x:f>D8-G8-I8</x:f>
        <x:v>171997.65503999998</x:v>
      </x:c>
      <x:c r="K8" s="72" t="n">
        <x:f>SUM($J$8:J8)</x:f>
        <x:v>171997.65503999998</x:v>
      </x:c>
      <x:c r="L8" s="71" t="n">
        <x:f>'Controls'!$B$14*'Controls'!$B$12-H8</x:f>
        <x:v>2738571.442301112</x:v>
      </x:c>
      <x:c r="M8" s="54"/>
      <x:c r="N8" s="54"/>
      <x:c r="O8" s="54"/>
      <x:c r="P8" s="54"/>
      <x:c r="Q8" s="54"/>
      <x:c r="R8" s="54"/>
      <x:c r="S8" s="54"/>
    </x:row>
    <x:row r="9" ht="23" customHeight="1">
      <x:c r="A9" s="60" t="n">
        <x:v>2</x:v>
      </x:c>
      <x:c r="B9" s="75" t="n">
        <x:f>SUMIFS('Measurements'!$H$8:$H$391,'Measurements'!$C$8:$C$391,A9)*'Controls'!$B$9</x:f>
        <x:v>557460.0563615999</x:v>
      </x:c>
      <x:c r="C9" s="75" t="n">
        <x:f>SUMIFS('Variations'!$L$8:$L$31,'Variations'!$E$8:$E$31,A9)</x:f>
        <x:v>0</x:v>
      </x:c>
      <x:c r="D9" s="76" t="n">
        <x:f>B9+C9</x:f>
        <x:v>557460.0563615999</x:v>
      </x:c>
      <x:c r="E9" s="76" t="n">
        <x:f>SUM($D$8:D9)</x:f>
        <x:v>759810.2387615999</x:v>
      </x:c>
      <x:c r="F9" s="75" t="n">
        <x:f>MIN(E9*'Controls'!$B$10,'Controls'!$B$14*'Controls'!$B$11)</x:f>
        <x:v>37990.511938079995</x:v>
      </x:c>
      <x:c r="G9" s="76" t="n">
        <x:f>F9-F8</x:f>
        <x:v>27873.002818079993</x:v>
      </x:c>
      <x:c r="H9" s="75" t="n">
        <x:f>MIN(E9*'Controls'!$B$13,'Controls'!$B$14*'Controls'!$B$12)</x:f>
        <x:v>75981.02387615999</x:v>
      </x:c>
      <x:c r="I9" s="76" t="n">
        <x:f>H9-H8</x:f>
        <x:v>55746.005636159985</x:v>
      </x:c>
      <x:c r="J9" s="76" t="n">
        <x:f>D9-G9-I9</x:f>
        <x:v>473841.04790735996</x:v>
      </x:c>
      <x:c r="K9" s="76" t="n">
        <x:f>SUM($J$8:J9)</x:f>
        <x:v>645838.70294736</x:v>
      </x:c>
      <x:c r="L9" s="75" t="n">
        <x:f>'Controls'!$B$14*'Controls'!$B$12-H9</x:f>
        <x:v>2682825.4366649524</x:v>
      </x:c>
      <x:c r="M9" s="54"/>
      <x:c r="N9" s="54"/>
      <x:c r="O9" s="54"/>
      <x:c r="P9" s="54"/>
      <x:c r="Q9" s="54"/>
      <x:c r="R9" s="54"/>
      <x:c r="S9" s="54"/>
    </x:row>
    <x:row r="10" ht="23" customHeight="1">
      <x:c r="A10" s="58" t="n">
        <x:v>3</x:v>
      </x:c>
      <x:c r="B10" s="71" t="n">
        <x:f>SUMIFS('Measurements'!$H$8:$H$391,'Measurements'!$C$8:$C$391,A10)*'Controls'!$B$9</x:f>
        <x:v>1395387.0199061702</x:v>
      </x:c>
      <x:c r="C10" s="71" t="n">
        <x:f>SUMIFS('Variations'!$L$8:$L$31,'Variations'!$E$8:$E$31,A10)</x:f>
        <x:v>24140.32992</x:v>
      </x:c>
      <x:c r="D10" s="72" t="n">
        <x:f>B10+C10</x:f>
        <x:v>1419527.3498261701</x:v>
      </x:c>
      <x:c r="E10" s="72" t="n">
        <x:f>SUM($D$8:D10)</x:f>
        <x:v>2179337.5885877702</x:v>
      </x:c>
      <x:c r="F10" s="71" t="n">
        <x:f>MIN(E10*'Controls'!$B$10,'Controls'!$B$14*'Controls'!$B$11)</x:f>
        <x:v>108966.87942938851</x:v>
      </x:c>
      <x:c r="G10" s="72" t="n">
        <x:f>F10-F9</x:f>
        <x:v>70976.36749130851</x:v>
      </x:c>
      <x:c r="H10" s="71" t="n">
        <x:f>MIN(E10*'Controls'!$B$13,'Controls'!$B$14*'Controls'!$B$12)</x:f>
        <x:v>217933.75885877703</x:v>
      </x:c>
      <x:c r="I10" s="72" t="n">
        <x:f>H10-H9</x:f>
        <x:v>141952.73498261702</x:v>
      </x:c>
      <x:c r="J10" s="72" t="n">
        <x:f>D10-G10-I10</x:f>
        <x:v>1206598.2473522446</x:v>
      </x:c>
      <x:c r="K10" s="72" t="n">
        <x:f>SUM($J$8:J10)</x:f>
        <x:v>1852436.9502996046</x:v>
      </x:c>
      <x:c r="L10" s="71" t="n">
        <x:f>'Controls'!$B$14*'Controls'!$B$12-H10</x:f>
        <x:v>2540872.701682335</x:v>
      </x:c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n">
        <x:v>4</x:v>
      </x:c>
      <x:c r="B11" s="75" t="n">
        <x:f>SUMIFS('Measurements'!$H$8:$H$391,'Measurements'!$C$8:$C$391,A11)*'Controls'!$B$9</x:f>
        <x:v>1134243.9107711704</x:v>
      </x:c>
      <x:c r="C11" s="75" t="n">
        <x:f>SUMIFS('Variations'!$L$8:$L$31,'Variations'!$E$8:$E$31,A11)</x:f>
        <x:v>108384.1092</x:v>
      </x:c>
      <x:c r="D11" s="76" t="n">
        <x:f>B11+C11</x:f>
        <x:v>1242628.0199711705</x:v>
      </x:c>
      <x:c r="E11" s="76" t="n">
        <x:f>SUM($D$8:D11)</x:f>
        <x:v>3421965.6085589407</x:v>
      </x:c>
      <x:c r="F11" s="75" t="n">
        <x:f>MIN(E11*'Controls'!$B$10,'Controls'!$B$14*'Controls'!$B$11)</x:f>
        <x:v>171098.28042794706</x:v>
      </x:c>
      <x:c r="G11" s="76" t="n">
        <x:f>F11-F10</x:f>
        <x:v>62131.40099855854</x:v>
      </x:c>
      <x:c r="H11" s="75" t="n">
        <x:f>MIN(E11*'Controls'!$B$13,'Controls'!$B$14*'Controls'!$B$12)</x:f>
        <x:v>342196.5608558941</x:v>
      </x:c>
      <x:c r="I11" s="76" t="n">
        <x:f>H11-H10</x:f>
        <x:v>124262.80199711709</x:v>
      </x:c>
      <x:c r="J11" s="76" t="n">
        <x:f>D11-G11-I11</x:f>
        <x:v>1056233.8169754948</x:v>
      </x:c>
      <x:c r="K11" s="76" t="n">
        <x:f>SUM($J$8:J11)</x:f>
        <x:v>2908670.7672750996</x:v>
      </x:c>
      <x:c r="L11" s="75" t="n">
        <x:f>'Controls'!$B$14*'Controls'!$B$12-H11</x:f>
        <x:v>2416609.899685218</x:v>
      </x:c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n">
        <x:v>5</x:v>
      </x:c>
      <x:c r="B12" s="71" t="n">
        <x:f>SUMIFS('Measurements'!$H$8:$H$391,'Measurements'!$C$8:$C$391,A12)*'Controls'!$B$9</x:f>
        <x:v>1216509.1439561704</x:v>
      </x:c>
      <x:c r="C12" s="71" t="n">
        <x:f>SUMIFS('Variations'!$L$8:$L$31,'Variations'!$E$8:$E$31,A12)</x:f>
        <x:v>53014.9476</x:v>
      </x:c>
      <x:c r="D12" s="72" t="n">
        <x:f>B12+C12</x:f>
        <x:v>1269524.0915561705</x:v>
      </x:c>
      <x:c r="E12" s="72" t="n">
        <x:f>SUM($D$8:D12)</x:f>
        <x:v>4691489.700115111</x:v>
      </x:c>
      <x:c r="F12" s="71" t="n">
        <x:f>MIN(E12*'Controls'!$B$10,'Controls'!$B$14*'Controls'!$B$11)</x:f>
        <x:v>234574.48500575556</x:v>
      </x:c>
      <x:c r="G12" s="72" t="n">
        <x:f>F12-F11</x:f>
        <x:v>63476.2045778085</x:v>
      </x:c>
      <x:c r="H12" s="71" t="n">
        <x:f>MIN(E12*'Controls'!$B$13,'Controls'!$B$14*'Controls'!$B$12)</x:f>
        <x:v>469148.9700115111</x:v>
      </x:c>
      <x:c r="I12" s="72" t="n">
        <x:f>H12-H11</x:f>
        <x:v>126952.409155617</x:v>
      </x:c>
      <x:c r="J12" s="72" t="n">
        <x:f>D12-G12-I12</x:f>
        <x:v>1079095.477822745</x:v>
      </x:c>
      <x:c r="K12" s="72" t="n">
        <x:f>SUM($J$8:J12)</x:f>
        <x:v>3987766.245097845</x:v>
      </x:c>
      <x:c r="L12" s="71" t="n">
        <x:f>'Controls'!$B$14*'Controls'!$B$12-H12</x:f>
        <x:v>2289657.4905296015</x:v>
      </x:c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n">
        <x:v>6</x:v>
      </x:c>
      <x:c r="B13" s="75" t="n">
        <x:f>SUMIFS('Measurements'!$H$8:$H$391,'Measurements'!$C$8:$C$391,A13)*'Controls'!$B$9</x:f>
        <x:v>1459271.6194558505</x:v>
      </x:c>
      <x:c r="C13" s="75" t="n">
        <x:f>SUMIFS('Variations'!$L$8:$L$31,'Variations'!$E$8:$E$31,A13)</x:f>
        <x:v>170083.78884</x:v>
      </x:c>
      <x:c r="D13" s="76" t="n">
        <x:f>B13+C13</x:f>
        <x:v>1629355.4082958505</x:v>
      </x:c>
      <x:c r="E13" s="76" t="n">
        <x:f>SUM($D$8:D13)</x:f>
        <x:v>6320845.108410961</x:v>
      </x:c>
      <x:c r="F13" s="75" t="n">
        <x:f>MIN(E13*'Controls'!$B$10,'Controls'!$B$14*'Controls'!$B$11)</x:f>
        <x:v>316042.2554205481</x:v>
      </x:c>
      <x:c r="G13" s="76" t="n">
        <x:f>F13-F12</x:f>
        <x:v>81467.77041479253</x:v>
      </x:c>
      <x:c r="H13" s="75" t="n">
        <x:f>MIN(E13*'Controls'!$B$13,'Controls'!$B$14*'Controls'!$B$12)</x:f>
        <x:v>632084.5108410962</x:v>
      </x:c>
      <x:c r="I13" s="76" t="n">
        <x:f>H13-H12</x:f>
        <x:v>162935.54082958505</x:v>
      </x:c>
      <x:c r="J13" s="76" t="n">
        <x:f>D13-G13-I13</x:f>
        <x:v>1384952.0970514729</x:v>
      </x:c>
      <x:c r="K13" s="76" t="n">
        <x:f>SUM($J$8:J13)</x:f>
        <x:v>5372718.342149317</x:v>
      </x:c>
      <x:c r="L13" s="75" t="n">
        <x:f>'Controls'!$B$14*'Controls'!$B$12-H13</x:f>
        <x:v>2126721.949700016</x:v>
      </x:c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n">
        <x:v>7</x:v>
      </x:c>
      <x:c r="B14" s="71" t="n">
        <x:f>SUMIFS('Measurements'!$H$8:$H$391,'Measurements'!$C$8:$C$391,A14)*'Controls'!$B$9</x:f>
        <x:v>1031128.3331878498</x:v>
      </x:c>
      <x:c r="C14" s="71" t="n">
        <x:f>SUMIFS('Variations'!$L$8:$L$31,'Variations'!$E$8:$E$31,A14)</x:f>
        <x:v>0</x:v>
      </x:c>
      <x:c r="D14" s="72" t="n">
        <x:f>B14+C14</x:f>
        <x:v>1031128.3331878498</x:v>
      </x:c>
      <x:c r="E14" s="72" t="n">
        <x:f>SUM($D$8:D14)</x:f>
        <x:v>7351973.441598811</x:v>
      </x:c>
      <x:c r="F14" s="71" t="n">
        <x:f>MIN(E14*'Controls'!$B$10,'Controls'!$B$14*'Controls'!$B$11)</x:f>
        <x:v>367598.67207994056</x:v>
      </x:c>
      <x:c r="G14" s="72" t="n">
        <x:f>F14-F13</x:f>
        <x:v>51556.416659392475</x:v>
      </x:c>
      <x:c r="H14" s="71" t="n">
        <x:f>MIN(E14*'Controls'!$B$13,'Controls'!$B$14*'Controls'!$B$12)</x:f>
        <x:v>735197.3441598811</x:v>
      </x:c>
      <x:c r="I14" s="72" t="n">
        <x:f>H14-H13</x:f>
        <x:v>103112.83331878495</x:v>
      </x:c>
      <x:c r="J14" s="72" t="n">
        <x:f>D14-G14-I14</x:f>
        <x:v>876459.0832096724</x:v>
      </x:c>
      <x:c r="K14" s="72" t="n">
        <x:f>SUM($J$8:J14)</x:f>
        <x:v>6249177.425358989</x:v>
      </x:c>
      <x:c r="L14" s="71" t="n">
        <x:f>'Controls'!$B$14*'Controls'!$B$12-H14</x:f>
        <x:v>2023609.1163812312</x:v>
      </x:c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n">
        <x:v>8</x:v>
      </x:c>
      <x:c r="B15" s="75" t="n">
        <x:f>SUMIFS('Measurements'!$H$8:$H$391,'Measurements'!$C$8:$C$391,A15)*'Controls'!$B$9</x:f>
        <x:v>980042.6517628501</x:v>
      </x:c>
      <x:c r="C15" s="75" t="n">
        <x:f>SUMIFS('Variations'!$L$8:$L$31,'Variations'!$E$8:$E$31,A15)</x:f>
        <x:v>79848.10800000001</x:v>
      </x:c>
      <x:c r="D15" s="76" t="n">
        <x:f>B15+C15</x:f>
        <x:v>1059890.7597628501</x:v>
      </x:c>
      <x:c r="E15" s="76" t="n">
        <x:f>SUM($D$8:D15)</x:f>
        <x:v>8411864.201361662</x:v>
      </x:c>
      <x:c r="F15" s="75" t="n">
        <x:f>MIN(E15*'Controls'!$B$10,'Controls'!$B$14*'Controls'!$B$11)</x:f>
        <x:v>420593.21006808314</x:v>
      </x:c>
      <x:c r="G15" s="76" t="n">
        <x:f>F15-F14</x:f>
        <x:v>52994.537988142576</x:v>
      </x:c>
      <x:c r="H15" s="75" t="n">
        <x:f>MIN(E15*'Controls'!$B$13,'Controls'!$B$14*'Controls'!$B$12)</x:f>
        <x:v>841186.4201361663</x:v>
      </x:c>
      <x:c r="I15" s="76" t="n">
        <x:f>H15-H14</x:f>
        <x:v>105989.07597628515</x:v>
      </x:c>
      <x:c r="J15" s="76" t="n">
        <x:f>D15-G15-I15</x:f>
        <x:v>900907.1457984224</x:v>
      </x:c>
      <x:c r="K15" s="76" t="n">
        <x:f>SUM($J$8:J15)</x:f>
        <x:v>7150084.571157412</x:v>
      </x:c>
      <x:c r="L15" s="75" t="n">
        <x:f>'Controls'!$B$14*'Controls'!$B$12-H15</x:f>
        <x:v>1917620.040404946</x:v>
      </x:c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n">
        <x:v>9</x:v>
      </x:c>
      <x:c r="B16" s="71" t="n">
        <x:f>SUMIFS('Measurements'!$H$8:$H$391,'Measurements'!$C$8:$C$391,A16)*'Controls'!$B$9</x:f>
        <x:v>899289.1533118499</x:v>
      </x:c>
      <x:c r="C16" s="71" t="n">
        <x:f>SUMIFS('Variations'!$L$8:$L$31,'Variations'!$E$8:$E$31,A16)</x:f>
        <x:v>12685.92</x:v>
      </x:c>
      <x:c r="D16" s="72" t="n">
        <x:f>B16+C16</x:f>
        <x:v>911975.07331185</x:v>
      </x:c>
      <x:c r="E16" s="72" t="n">
        <x:f>SUM($D$8:D16)</x:f>
        <x:v>9323839.274673512</x:v>
      </x:c>
      <x:c r="F16" s="71" t="n">
        <x:f>MIN(E16*'Controls'!$B$10,'Controls'!$B$14*'Controls'!$B$11)</x:f>
        <x:v>466191.96373367566</x:v>
      </x:c>
      <x:c r="G16" s="72" t="n">
        <x:f>F16-F15</x:f>
        <x:v>45598.75366559252</x:v>
      </x:c>
      <x:c r="H16" s="71" t="n">
        <x:f>MIN(E16*'Controls'!$B$13,'Controls'!$B$14*'Controls'!$B$12)</x:f>
        <x:v>932383.9274673513</x:v>
      </x:c>
      <x:c r="I16" s="72" t="n">
        <x:f>H16-H15</x:f>
        <x:v>91197.50733118504</x:v>
      </x:c>
      <x:c r="J16" s="72" t="n">
        <x:f>D16-G16-I16</x:f>
        <x:v>775178.8123150724</x:v>
      </x:c>
      <x:c r="K16" s="72" t="n">
        <x:f>SUM($J$8:J16)</x:f>
        <x:v>7925263.383472484</x:v>
      </x:c>
      <x:c r="L16" s="71" t="n">
        <x:f>'Controls'!$B$14*'Controls'!$B$12-H16</x:f>
        <x:v>1826422.533073761</x:v>
      </x:c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n">
        <x:v>10</x:v>
      </x:c>
      <x:c r="B17" s="75" t="n">
        <x:f>SUMIFS('Measurements'!$H$8:$H$391,'Measurements'!$C$8:$C$391,A17)*'Controls'!$B$9</x:f>
        <x:v>899289.15331185</x:v>
      </x:c>
      <x:c r="C17" s="75" t="n">
        <x:f>SUMIFS('Variations'!$L$8:$L$31,'Variations'!$E$8:$E$31,A17)</x:f>
        <x:v>22954.86729</x:v>
      </x:c>
      <x:c r="D17" s="76" t="n">
        <x:f>B17+C17</x:f>
        <x:v>922244.02060185</x:v>
      </x:c>
      <x:c r="E17" s="76" t="n">
        <x:f>SUM($D$8:D17)</x:f>
        <x:v>10246083.295275362</x:v>
      </x:c>
      <x:c r="F17" s="75" t="n">
        <x:f>MIN(E17*'Controls'!$B$10,'Controls'!$B$14*'Controls'!$B$11)</x:f>
        <x:v>512304.16476376815</x:v>
      </x:c>
      <x:c r="G17" s="76" t="n">
        <x:f>F17-F16</x:f>
        <x:v>46112.20103009249</x:v>
      </x:c>
      <x:c r="H17" s="75" t="n">
        <x:f>MIN(E17*'Controls'!$B$13,'Controls'!$B$14*'Controls'!$B$12)</x:f>
        <x:v>1024608.3295275363</x:v>
      </x:c>
      <x:c r="I17" s="76" t="n">
        <x:f>H17-H16</x:f>
        <x:v>92224.40206018498</x:v>
      </x:c>
      <x:c r="J17" s="76" t="n">
        <x:f>D17-G17-I17</x:f>
        <x:v>783907.4175115725</x:v>
      </x:c>
      <x:c r="K17" s="76" t="n">
        <x:f>SUM($J$8:J17)</x:f>
        <x:v>8709170.800984057</x:v>
      </x:c>
      <x:c r="L17" s="75" t="n">
        <x:f>'Controls'!$B$14*'Controls'!$B$12-H17</x:f>
        <x:v>1734198.131013576</x:v>
      </x:c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n">
        <x:v>11</x:v>
      </x:c>
      <x:c r="B18" s="71" t="n">
        <x:f>SUMIFS('Measurements'!$H$8:$H$391,'Measurements'!$C$8:$C$391,A18)*'Controls'!$B$9</x:f>
        <x:v>899289.1533118499</x:v>
      </x:c>
      <x:c r="C18" s="71" t="n">
        <x:f>SUMIFS('Variations'!$L$8:$L$31,'Variations'!$E$8:$E$31,A18)</x:f>
        <x:v>6681.69846</x:v>
      </x:c>
      <x:c r="D18" s="72" t="n">
        <x:f>B18+C18</x:f>
        <x:v>905970.8517718499</x:v>
      </x:c>
      <x:c r="E18" s="72" t="n">
        <x:f>SUM($D$8:D18)</x:f>
        <x:v>11152054.147047212</x:v>
      </x:c>
      <x:c r="F18" s="71" t="n">
        <x:f>MIN(E18*'Controls'!$B$10,'Controls'!$B$14*'Controls'!$B$11)</x:f>
        <x:v>557602.7073523606</x:v>
      </x:c>
      <x:c r="G18" s="72" t="n">
        <x:f>F18-F17</x:f>
        <x:v>45298.54258859245</x:v>
      </x:c>
      <x:c r="H18" s="71" t="n">
        <x:f>MIN(E18*'Controls'!$B$13,'Controls'!$B$14*'Controls'!$B$12)</x:f>
        <x:v>1115205.4147047212</x:v>
      </x:c>
      <x:c r="I18" s="72" t="n">
        <x:f>H18-H17</x:f>
        <x:v>90597.0851771849</x:v>
      </x:c>
      <x:c r="J18" s="72" t="n">
        <x:f>D18-G18-I18</x:f>
        <x:v>770075.2240060725</x:v>
      </x:c>
      <x:c r="K18" s="72" t="n">
        <x:f>SUM($J$8:J18)</x:f>
        <x:v>9479246.024990128</x:v>
      </x:c>
      <x:c r="L18" s="71" t="n">
        <x:f>'Controls'!$B$14*'Controls'!$B$12-H18</x:f>
        <x:v>1643601.0458363912</x:v>
      </x:c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n">
        <x:v>12</x:v>
      </x:c>
      <x:c r="B19" s="75" t="n">
        <x:f>SUMIFS('Measurements'!$H$8:$H$391,'Measurements'!$C$8:$C$391,A19)*'Controls'!$B$9</x:f>
        <x:v>1204978.0023707938</x:v>
      </x:c>
      <x:c r="C19" s="75" t="n">
        <x:f>SUMIFS('Variations'!$L$8:$L$31,'Variations'!$E$8:$E$31,A19)</x:f>
        <x:v>15078.92364</x:v>
      </x:c>
      <x:c r="D19" s="76" t="n">
        <x:f>B19+C19</x:f>
        <x:v>1220056.9260107938</x:v>
      </x:c>
      <x:c r="E19" s="76" t="n">
        <x:f>SUM($D$8:D19)</x:f>
        <x:v>12372111.073058005</x:v>
      </x:c>
      <x:c r="F19" s="75" t="n">
        <x:f>MIN(E19*'Controls'!$B$10,'Controls'!$B$14*'Controls'!$B$11)</x:f>
        <x:v>618605.5536529003</x:v>
      </x:c>
      <x:c r="G19" s="76" t="n">
        <x:f>F19-F18</x:f>
        <x:v>61002.84630053968</x:v>
      </x:c>
      <x:c r="H19" s="75" t="n">
        <x:f>MIN(E19*'Controls'!$B$13,'Controls'!$B$14*'Controls'!$B$12)</x:f>
        <x:v>1237211.1073058005</x:v>
      </x:c>
      <x:c r="I19" s="76" t="n">
        <x:f>H19-H18</x:f>
        <x:v>122005.69260107935</x:v>
      </x:c>
      <x:c r="J19" s="76" t="n">
        <x:f>D19-G19-I19</x:f>
        <x:v>1037048.3871091746</x:v>
      </x:c>
      <x:c r="K19" s="76" t="n">
        <x:f>SUM($J$8:J19)</x:f>
        <x:v>10516294.412099304</x:v>
      </x:c>
      <x:c r="L19" s="75" t="n">
        <x:f>'Controls'!$B$14*'Controls'!$B$12-H19</x:f>
        <x:v>1521595.3532353118</x:v>
      </x:c>
      <x:c r="M19" s="54"/>
      <x:c r="N19" s="54"/>
      <x:c r="O19" s="54"/>
      <x:c r="P19" s="54"/>
      <x:c r="Q19" s="54"/>
      <x:c r="R19" s="54"/>
      <x:c r="S19" s="5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32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3" hidden="0" customWidth="1"/>
    <x:col min="9" max="9" width="23" hidden="0" customWidth="1"/>
    <x:col min="10" max="10" width="18" hidden="0" customWidth="1"/>
    <x:col min="11" max="11" width="25" hidden="0" customWidth="1"/>
    <x:col min="12" max="12" width="25" hidden="0" customWidth="1"/>
    <x:col min="13" max="13" width="23" hidden="0" customWidth="1"/>
    <x:col min="14" max="14" width="20" hidden="0" customWidth="1"/>
    <x:col min="15" max="15" width="24" hidden="0" customWidth="1"/>
  </x:cols>
  <x:sheetData>
    <x:row r="2">
      <x:c r="A2" s="53" t="str">
        <x:v>Change register and assessed value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Approved changes revise the budget. Pending and rejected changes stay outside the certified contract.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VO ref</x:v>
      </x:c>
      <x:c r="B7" s="6" t="str">
        <x:v>BOQ code</x:v>
      </x:c>
      <x:c r="C7" s="6" t="str">
        <x:v>Scope change</x:v>
      </x:c>
      <x:c r="D7" s="6" t="str">
        <x:v>Status</x:v>
      </x:c>
      <x:c r="E7" s="6" t="str">
        <x:v>Earned month</x:v>
      </x:c>
      <x:c r="F7" s="6" t="str">
        <x:v>Quantity</x:v>
      </x:c>
      <x:c r="G7" s="6" t="str">
        <x:v>Cost rate</x:v>
      </x:c>
      <x:c r="H7" s="6" t="str">
        <x:v>Budget USD</x:v>
      </x:c>
      <x:c r="I7" s="6" t="str">
        <x:v>Contract USD</x:v>
      </x:c>
      <x:c r="J7" s="6" t="str">
        <x:v>Accepted share</x:v>
      </x:c>
      <x:c r="K7" s="6" t="str">
        <x:v>Earned cost budget</x:v>
      </x:c>
      <x:c r="L7" s="6" t="str">
        <x:v>Earned contract USD</x:v>
      </x:c>
      <x:c r="M7" s="6" t="str">
        <x:v>Actual cost USD</x:v>
      </x:c>
      <x:c r="N7" s="6" t="str">
        <x:v>ETC rate factor</x:v>
      </x:c>
      <x:c r="O7" s="6" t="str">
        <x:v>Remaining cost</x:v>
      </x:c>
      <x:c r="P7" s="54"/>
      <x:c r="Q7" s="54"/>
      <x:c r="R7" s="54"/>
      <x:c r="S7" s="54"/>
    </x:row>
    <x:row r="8" ht="23" customHeight="1">
      <x:c r="A8" s="58" t="str">
        <x:v>VO-001</x:v>
      </x:c>
      <x:c r="B8" s="58" t="str">
        <x:v>RC02</x:v>
      </x:c>
      <x:c r="C8" s="58" t="str">
        <x:v>Raft edge thickening</x:v>
      </x:c>
      <x:c r="D8" s="58" t="str">
        <x:v>Pending</x:v>
      </x:c>
      <x:c r="E8" s="58" t="n">
        <x:v>3</x:v>
      </x:c>
      <x:c r="F8" s="79" t="n">
        <x:v>420</x:v>
      </x:c>
      <x:c r="G8" s="79" t="n">
        <x:v>148</x:v>
      </x:c>
      <x:c r="H8" s="80" t="n">
        <x:f>F8*G8</x:f>
        <x:v>62160</x:v>
      </x:c>
      <x:c r="I8" s="74" t="n">
        <x:f>H8*'Controls'!$B$9</x:f>
        <x:v>75822.768</x:v>
      </x:c>
      <x:c r="J8" s="81" t="n">
        <x:v>1</x:v>
      </x:c>
      <x:c r="K8" s="71" t="n">
        <x:f>IF(AND(D8="Approved",E8&lt;='Controls'!$B$8),H8*J8,0)</x:f>
        <x:v>0</x:v>
      </x:c>
      <x:c r="L8" s="71" t="n">
        <x:f>K8*'Controls'!$B$9</x:f>
        <x:v>0</x:v>
      </x:c>
      <x:c r="M8" s="71" t="n">
        <x:f>SUMIFS('Cost ledger'!$G$8:$G$415,'Cost ledger'!$D$8:$D$415,A8,'Cost ledger'!$C$8:$C$415,"&lt;="&amp;'Controls'!$B$8)</x:f>
        <x:v>62160</x:v>
      </x:c>
      <x:c r="N8" s="81" t="n">
        <x:v>1.06</x:v>
      </x:c>
      <x:c r="O8" s="72" t="n">
        <x:f>IF(D8="Approved",(H8-K8)*N8,0)</x:f>
        <x:v>0</x:v>
      </x:c>
      <x:c r="P8" s="54"/>
      <x:c r="Q8" s="54"/>
      <x:c r="R8" s="54"/>
      <x:c r="S8" s="54"/>
    </x:row>
    <x:row r="9" ht="23" customHeight="1">
      <x:c r="A9" s="60" t="str">
        <x:v>VO-002</x:v>
      </x:c>
      <x:c r="B9" s="60" t="str">
        <x:v>RB01</x:v>
      </x:c>
      <x:c r="C9" s="60" t="str">
        <x:v>Transfer beam reinforcement</x:v>
      </x:c>
      <x:c r="D9" s="60" t="str">
        <x:v>Approved</x:v>
      </x:c>
      <x:c r="E9" s="60" t="n">
        <x:v>4</x:v>
      </x:c>
      <x:c r="F9" s="82" t="n">
        <x:v>28.5</x:v>
      </x:c>
      <x:c r="G9" s="82" t="n">
        <x:v>1420</x:v>
      </x:c>
      <x:c r="H9" s="83" t="n">
        <x:f>F9*G9</x:f>
        <x:v>40470</x:v>
      </x:c>
      <x:c r="I9" s="78" t="n">
        <x:f>H9*'Controls'!$B$9</x:f>
        <x:v>49365.306</x:v>
      </x:c>
      <x:c r="J9" s="84" t="n">
        <x:v>1</x:v>
      </x:c>
      <x:c r="K9" s="75" t="n">
        <x:f>IF(AND(D9="Approved",E9&lt;='Controls'!$B$8),H9*J9,0)</x:f>
        <x:v>40470</x:v>
      </x:c>
      <x:c r="L9" s="75" t="n">
        <x:f>K9*'Controls'!$B$9</x:f>
        <x:v>49365.306</x:v>
      </x:c>
      <x:c r="M9" s="75" t="n">
        <x:f>SUMIFS('Cost ledger'!$G$8:$G$415,'Cost ledger'!$D$8:$D$415,A9,'Cost ledger'!$C$8:$C$415,"&lt;="&amp;'Controls'!$B$8)</x:f>
        <x:v>41481.74999999999</x:v>
      </x:c>
      <x:c r="N9" s="84" t="n">
        <x:v>1.06</x:v>
      </x:c>
      <x:c r="O9" s="76" t="n">
        <x:f>IF(D9="Approved",(H9-K9)*N9,0)</x:f>
        <x:v>0</x:v>
      </x:c>
      <x:c r="P9" s="54"/>
      <x:c r="Q9" s="54"/>
      <x:c r="R9" s="54"/>
      <x:c r="S9" s="54"/>
    </x:row>
    <x:row r="10" ht="23" customHeight="1">
      <x:c r="A10" s="58" t="str">
        <x:v>VO-003</x:v>
      </x:c>
      <x:c r="B10" s="58" t="str">
        <x:v>RC06</x:v>
      </x:c>
      <x:c r="C10" s="58" t="str">
        <x:v>Core opening trimming</x:v>
      </x:c>
      <x:c r="D10" s="58" t="str">
        <x:v>Approved</x:v>
      </x:c>
      <x:c r="E10" s="58" t="n">
        <x:v>5</x:v>
      </x:c>
      <x:c r="F10" s="79" t="n">
        <x:v>95</x:v>
      </x:c>
      <x:c r="G10" s="79" t="n">
        <x:v>186</x:v>
      </x:c>
      <x:c r="H10" s="80" t="n">
        <x:f>F10*G10</x:f>
        <x:v>17670</x:v>
      </x:c>
      <x:c r="I10" s="74" t="n">
        <x:f>H10*'Controls'!$B$9</x:f>
        <x:v>21553.865999999998</x:v>
      </x:c>
      <x:c r="J10" s="81" t="n">
        <x:v>1</x:v>
      </x:c>
      <x:c r="K10" s="71" t="n">
        <x:f>IF(AND(D10="Approved",E10&lt;='Controls'!$B$8),H10*J10,0)</x:f>
        <x:v>17670</x:v>
      </x:c>
      <x:c r="L10" s="71" t="n">
        <x:f>K10*'Controls'!$B$9</x:f>
        <x:v>21553.865999999998</x:v>
      </x:c>
      <x:c r="M10" s="71" t="n">
        <x:f>SUMIFS('Cost ledger'!$G$8:$G$415,'Cost ledger'!$D$8:$D$415,A10,'Cost ledger'!$C$8:$C$415,"&lt;="&amp;'Controls'!$B$8)</x:f>
        <x:v>18553.5</x:v>
      </x:c>
      <x:c r="N10" s="81" t="n">
        <x:v>1.06</x:v>
      </x:c>
      <x:c r="O10" s="72" t="n">
        <x:f>IF(D10="Approved",(H10-K10)*N10,0)</x:f>
        <x:v>0</x:v>
      </x:c>
      <x:c r="P10" s="54"/>
      <x:c r="Q10" s="54"/>
      <x:c r="R10" s="54"/>
      <x:c r="S10" s="54"/>
    </x:row>
    <x:row r="11" ht="23" customHeight="1">
      <x:c r="A11" s="60" t="str">
        <x:v>VO-004</x:v>
      </x:c>
      <x:c r="B11" s="60" t="str">
        <x:v>EN01</x:v>
      </x:c>
      <x:c r="C11" s="60" t="str">
        <x:v>Podium membrane upgrade</x:v>
      </x:c>
      <x:c r="D11" s="60" t="str">
        <x:v>Approved</x:v>
      </x:c>
      <x:c r="E11" s="60" t="n">
        <x:v>6</x:v>
      </x:c>
      <x:c r="F11" s="82" t="n">
        <x:v>1800</x:v>
      </x:c>
      <x:c r="G11" s="82" t="n">
        <x:v>24</x:v>
      </x:c>
      <x:c r="H11" s="83" t="n">
        <x:f>F11*G11</x:f>
        <x:v>43200</x:v>
      </x:c>
      <x:c r="I11" s="78" t="n">
        <x:f>H11*'Controls'!$B$9</x:f>
        <x:v>52695.36</x:v>
      </x:c>
      <x:c r="J11" s="84" t="n">
        <x:v>0.875</x:v>
      </x:c>
      <x:c r="K11" s="75" t="n">
        <x:f>IF(AND(D11="Approved",E11&lt;='Controls'!$B$8),H11*J11,0)</x:f>
        <x:v>37800</x:v>
      </x:c>
      <x:c r="L11" s="75" t="n">
        <x:f>K11*'Controls'!$B$9</x:f>
        <x:v>46108.44</x:v>
      </x:c>
      <x:c r="M11" s="75" t="n">
        <x:f>SUMIFS('Cost ledger'!$G$8:$G$415,'Cost ledger'!$D$8:$D$415,A11,'Cost ledger'!$C$8:$C$415,"&lt;="&amp;'Controls'!$B$8)</x:f>
        <x:v>40634.99999999999</x:v>
      </x:c>
      <x:c r="N11" s="84" t="n">
        <x:v>1.06</x:v>
      </x:c>
      <x:c r="O11" s="76" t="n">
        <x:f>IF(D11="Approved",(H11-K11)*N11,0)</x:f>
        <x:v>5724</x:v>
      </x:c>
      <x:c r="P11" s="54"/>
      <x:c r="Q11" s="54"/>
      <x:c r="R11" s="54"/>
      <x:c r="S11" s="54"/>
    </x:row>
    <x:row r="12" ht="23" customHeight="1">
      <x:c r="A12" s="58" t="str">
        <x:v>VO-005</x:v>
      </x:c>
      <x:c r="B12" s="58" t="str">
        <x:v>EN03</x:v>
      </x:c>
      <x:c r="C12" s="58" t="str">
        <x:v>Facade anchor revision</x:v>
      </x:c>
      <x:c r="D12" s="58" t="str">
        <x:v>Pending</x:v>
      </x:c>
      <x:c r="E12" s="58" t="n">
        <x:v>7</x:v>
      </x:c>
      <x:c r="F12" s="79" t="n">
        <x:v>760</x:v>
      </x:c>
      <x:c r="G12" s="79" t="n">
        <x:v>38</x:v>
      </x:c>
      <x:c r="H12" s="80" t="n">
        <x:f>F12*G12</x:f>
        <x:v>28880</x:v>
      </x:c>
      <x:c r="I12" s="74" t="n">
        <x:f>H12*'Controls'!$B$9</x:f>
        <x:v>35227.824</x:v>
      </x:c>
      <x:c r="J12" s="81" t="n">
        <x:v>0.75</x:v>
      </x:c>
      <x:c r="K12" s="71" t="n">
        <x:f>IF(AND(D12="Approved",E12&lt;='Controls'!$B$8),H12*J12,0)</x:f>
        <x:v>0</x:v>
      </x:c>
      <x:c r="L12" s="71" t="n">
        <x:f>K12*'Controls'!$B$9</x:f>
        <x:v>0</x:v>
      </x:c>
      <x:c r="M12" s="71" t="n">
        <x:f>SUMIFS('Cost ledger'!$G$8:$G$415,'Cost ledger'!$D$8:$D$415,A12,'Cost ledger'!$C$8:$C$415,"&lt;="&amp;'Controls'!$B$8)</x:f>
        <x:v>23826.000000000004</x:v>
      </x:c>
      <x:c r="N12" s="81" t="n">
        <x:v>1.06</x:v>
      </x:c>
      <x:c r="O12" s="72" t="n">
        <x:f>IF(D12="Approved",(H12-K12)*N12,0)</x:f>
        <x:v>0</x:v>
      </x:c>
      <x:c r="P12" s="54"/>
      <x:c r="Q12" s="54"/>
      <x:c r="R12" s="54"/>
      <x:c r="S12" s="54"/>
    </x:row>
    <x:row r="13" ht="23" customHeight="1">
      <x:c r="A13" s="60" t="str">
        <x:v>VO-006</x:v>
      </x:c>
      <x:c r="B13" s="60" t="str">
        <x:v>EX03</x:v>
      </x:c>
      <x:c r="C13" s="60" t="str">
        <x:v>Drainage inspection chambers</x:v>
      </x:c>
      <x:c r="D13" s="60" t="str">
        <x:v>Approved</x:v>
      </x:c>
      <x:c r="E13" s="60" t="n">
        <x:v>8</x:v>
      </x:c>
      <x:c r="F13" s="82" t="n">
        <x:v>12</x:v>
      </x:c>
      <x:c r="G13" s="82" t="n">
        <x:v>1280</x:v>
      </x:c>
      <x:c r="H13" s="83" t="n">
        <x:f>F13*G13</x:f>
        <x:v>15360</x:v>
      </x:c>
      <x:c r="I13" s="78" t="n">
        <x:f>H13*'Controls'!$B$9</x:f>
        <x:v>18736.128</x:v>
      </x:c>
      <x:c r="J13" s="84" t="n">
        <x:v>0.625</x:v>
      </x:c>
      <x:c r="K13" s="75" t="n">
        <x:f>IF(AND(D13="Approved",E13&lt;='Controls'!$B$8),H13*J13,0)</x:f>
        <x:v>9600</x:v>
      </x:c>
      <x:c r="L13" s="75" t="n">
        <x:f>K13*'Controls'!$B$9</x:f>
        <x:v>11710.08</x:v>
      </x:c>
      <x:c r="M13" s="75" t="n">
        <x:f>SUMIFS('Cost ledger'!$G$8:$G$415,'Cost ledger'!$D$8:$D$415,A13,'Cost ledger'!$C$8:$C$415,"&lt;="&amp;'Controls'!$B$8)</x:f>
        <x:v>9600</x:v>
      </x:c>
      <x:c r="N13" s="84" t="n">
        <x:v>1.06</x:v>
      </x:c>
      <x:c r="O13" s="76" t="n">
        <x:f>IF(D13="Approved",(H13-K13)*N13,0)</x:f>
        <x:v>6105.6</x:v>
      </x:c>
      <x:c r="P13" s="54"/>
      <x:c r="Q13" s="54"/>
      <x:c r="R13" s="54"/>
      <x:c r="S13" s="54"/>
    </x:row>
    <x:row r="14" ht="23" customHeight="1">
      <x:c r="A14" s="58" t="str">
        <x:v>VO-007</x:v>
      </x:c>
      <x:c r="B14" s="58" t="str">
        <x:v>EN02</x:v>
      </x:c>
      <x:c r="C14" s="58" t="str">
        <x:v>Roof upstand revisions</x:v>
      </x:c>
      <x:c r="D14" s="58" t="str">
        <x:v>Approved</x:v>
      </x:c>
      <x:c r="E14" s="58" t="n">
        <x:v>9</x:v>
      </x:c>
      <x:c r="F14" s="79" t="n">
        <x:v>650</x:v>
      </x:c>
      <x:c r="G14" s="79" t="n">
        <x:v>32</x:v>
      </x:c>
      <x:c r="H14" s="80" t="n">
        <x:f>F14*G14</x:f>
        <x:v>20800</x:v>
      </x:c>
      <x:c r="I14" s="74" t="n">
        <x:f>H14*'Controls'!$B$9</x:f>
        <x:v>25371.84</x:v>
      </x:c>
      <x:c r="J14" s="81" t="n">
        <x:v>0.5</x:v>
      </x:c>
      <x:c r="K14" s="71" t="n">
        <x:f>IF(AND(D14="Approved",E14&lt;='Controls'!$B$8),H14*J14,0)</x:f>
        <x:v>10400</x:v>
      </x:c>
      <x:c r="L14" s="71" t="n">
        <x:f>K14*'Controls'!$B$9</x:f>
        <x:v>12685.92</x:v>
      </x:c>
      <x:c r="M14" s="71" t="n">
        <x:f>SUMIFS('Cost ledger'!$G$8:$G$415,'Cost ledger'!$D$8:$D$415,A14,'Cost ledger'!$C$8:$C$415,"&lt;="&amp;'Controls'!$B$8)</x:f>
        <x:v>10659.999999999998</x:v>
      </x:c>
      <x:c r="N14" s="81" t="n">
        <x:v>1.06</x:v>
      </x:c>
      <x:c r="O14" s="72" t="n">
        <x:f>IF(D14="Approved",(H14-K14)*N14,0)</x:f>
        <x:v>11024</x:v>
      </x:c>
      <x:c r="P14" s="54"/>
      <x:c r="Q14" s="54"/>
      <x:c r="R14" s="54"/>
      <x:c r="S14" s="54"/>
    </x:row>
    <x:row r="15" ht="23" customHeight="1">
      <x:c r="A15" s="60" t="str">
        <x:v>VO-008</x:v>
      </x:c>
      <x:c r="B15" s="60" t="str">
        <x:v>EX01</x:v>
      </x:c>
      <x:c r="C15" s="60" t="str">
        <x:v>Entrance paving revision</x:v>
      </x:c>
      <x:c r="D15" s="60" t="str">
        <x:v>Rejected</x:v>
      </x:c>
      <x:c r="E15" s="60" t="n">
        <x:v>10</x:v>
      </x:c>
      <x:c r="F15" s="82" t="n">
        <x:v>1400</x:v>
      </x:c>
      <x:c r="G15" s="82" t="n">
        <x:v>57</x:v>
      </x:c>
      <x:c r="H15" s="83" t="n">
        <x:f>F15*G15</x:f>
        <x:v>79800</x:v>
      </x:c>
      <x:c r="I15" s="78" t="n">
        <x:f>H15*'Controls'!$B$9</x:f>
        <x:v>97340.04</x:v>
      </x:c>
      <x:c r="J15" s="84" t="n">
        <x:v>0.375</x:v>
      </x:c>
      <x:c r="K15" s="75" t="n">
        <x:f>IF(AND(D15="Approved",E15&lt;='Controls'!$B$8),H15*J15,0)</x:f>
        <x:v>0</x:v>
      </x:c>
      <x:c r="L15" s="75" t="n">
        <x:f>K15*'Controls'!$B$9</x:f>
        <x:v>0</x:v>
      </x:c>
      <x:c r="M15" s="75" t="n">
        <x:f>SUMIFS('Cost ledger'!$G$8:$G$415,'Cost ledger'!$D$8:$D$415,A15,'Cost ledger'!$C$8:$C$415,"&lt;="&amp;'Controls'!$B$8)</x:f>
        <x:v>7855.3125</x:v>
      </x:c>
      <x:c r="N15" s="84" t="n">
        <x:v>1.06</x:v>
      </x:c>
      <x:c r="O15" s="76" t="n">
        <x:f>IF(D15="Approved",(H15-K15)*N15,0)</x:f>
        <x:v>0</x:v>
      </x:c>
      <x:c r="P15" s="54"/>
      <x:c r="Q15" s="54"/>
      <x:c r="R15" s="54"/>
      <x:c r="S15" s="54"/>
    </x:row>
    <x:row r="16" ht="23" customHeight="1">
      <x:c r="A16" s="58" t="str">
        <x:v>VO-009</x:v>
      </x:c>
      <x:c r="B16" s="58" t="str">
        <x:v>RC02</x:v>
      </x:c>
      <x:c r="C16" s="58" t="str">
        <x:v>Raft edge thickening</x:v>
      </x:c>
      <x:c r="D16" s="58" t="str">
        <x:v>Pending</x:v>
      </x:c>
      <x:c r="E16" s="58" t="n">
        <x:v>11</x:v>
      </x:c>
      <x:c r="F16" s="79" t="n">
        <x:v>470.40000000000003</x:v>
      </x:c>
      <x:c r="G16" s="79" t="n">
        <x:v>148</x:v>
      </x:c>
      <x:c r="H16" s="80" t="n">
        <x:f>F16*G16</x:f>
        <x:v>69619.20000000001</x:v>
      </x:c>
      <x:c r="I16" s="74" t="n">
        <x:f>H16*'Controls'!$B$9</x:f>
        <x:v>84921.50016000001</x:v>
      </x:c>
      <x:c r="J16" s="81" t="n">
        <x:v>0.25</x:v>
      </x:c>
      <x:c r="K16" s="71" t="n">
        <x:f>IF(AND(D16="Approved",E16&lt;='Controls'!$B$8),H16*J16,0)</x:f>
        <x:v>0</x:v>
      </x:c>
      <x:c r="L16" s="71" t="n">
        <x:f>K16*'Controls'!$B$9</x:f>
        <x:v>0</x:v>
      </x:c>
      <x:c r="M16" s="71" t="n">
        <x:f>SUMIFS('Cost ledger'!$G$8:$G$415,'Cost ledger'!$D$8:$D$415,A16,'Cost ledger'!$C$8:$C$415,"&lt;="&amp;'Controls'!$B$8)</x:f>
        <x:v>18710.16</x:v>
      </x:c>
      <x:c r="N16" s="81" t="n">
        <x:v>1.06</x:v>
      </x:c>
      <x:c r="O16" s="72" t="n">
        <x:f>IF(D16="Approved",(H16-K16)*N16,0)</x:f>
        <x:v>0</x:v>
      </x:c>
      <x:c r="P16" s="54"/>
      <x:c r="Q16" s="54"/>
      <x:c r="R16" s="54"/>
      <x:c r="S16" s="54"/>
    </x:row>
    <x:row r="17" ht="23" customHeight="1">
      <x:c r="A17" s="60" t="str">
        <x:v>VO-010</x:v>
      </x:c>
      <x:c r="B17" s="60" t="str">
        <x:v>RB01</x:v>
      </x:c>
      <x:c r="C17" s="60" t="str">
        <x:v>Transfer beam reinforcement</x:v>
      </x:c>
      <x:c r="D17" s="60" t="str">
        <x:v>Approved</x:v>
      </x:c>
      <x:c r="E17" s="60" t="n">
        <x:v>12</x:v>
      </x:c>
      <x:c r="F17" s="82" t="n">
        <x:v>31.92</x:v>
      </x:c>
      <x:c r="G17" s="82" t="n">
        <x:v>1420</x:v>
      </x:c>
      <x:c r="H17" s="83" t="n">
        <x:f>F17*G17</x:f>
        <x:v>45326.4</x:v>
      </x:c>
      <x:c r="I17" s="78" t="n">
        <x:f>H17*'Controls'!$B$9</x:f>
        <x:v>55289.14272</x:v>
      </x:c>
      <x:c r="J17" s="84" t="n">
        <x:v>0.125</x:v>
      </x:c>
      <x:c r="K17" s="75" t="n">
        <x:f>IF(AND(D17="Approved",E17&lt;='Controls'!$B$8),H17*J17,0)</x:f>
        <x:v>5665.8</x:v>
      </x:c>
      <x:c r="L17" s="75" t="n">
        <x:f>K17*'Controls'!$B$9</x:f>
        <x:v>6911.14284</x:v>
      </x:c>
      <x:c r="M17" s="75" t="n">
        <x:f>SUMIFS('Cost ledger'!$G$8:$G$415,'Cost ledger'!$D$8:$D$415,A17,'Cost ledger'!$C$8:$C$415,"&lt;="&amp;'Controls'!$B$8)</x:f>
        <x:v>6232.380000000001</x:v>
      </x:c>
      <x:c r="N17" s="84" t="n">
        <x:v>1.06</x:v>
      </x:c>
      <x:c r="O17" s="76" t="n">
        <x:f>IF(D17="Approved",(H17-K17)*N17,0)</x:f>
        <x:v>42040.236</x:v>
      </x:c>
      <x:c r="P17" s="54"/>
      <x:c r="Q17" s="54"/>
      <x:c r="R17" s="54"/>
      <x:c r="S17" s="54"/>
    </x:row>
    <x:row r="18" ht="23" customHeight="1">
      <x:c r="A18" s="58" t="str">
        <x:v>VO-011</x:v>
      </x:c>
      <x:c r="B18" s="58" t="str">
        <x:v>RC06</x:v>
      </x:c>
      <x:c r="C18" s="58" t="str">
        <x:v>Core opening trimming</x:v>
      </x:c>
      <x:c r="D18" s="58" t="str">
        <x:v>Approved</x:v>
      </x:c>
      <x:c r="E18" s="58" t="n">
        <x:v>3</x:v>
      </x:c>
      <x:c r="F18" s="79" t="n">
        <x:v>106.4</x:v>
      </x:c>
      <x:c r="G18" s="79" t="n">
        <x:v>186</x:v>
      </x:c>
      <x:c r="H18" s="80" t="n">
        <x:f>F18*G18</x:f>
        <x:v>19790.4</x:v>
      </x:c>
      <x:c r="I18" s="74" t="n">
        <x:f>H18*'Controls'!$B$9</x:f>
        <x:v>24140.32992</x:v>
      </x:c>
      <x:c r="J18" s="81" t="n">
        <x:v>1</x:v>
      </x:c>
      <x:c r="K18" s="71" t="n">
        <x:f>IF(AND(D18="Approved",E18&lt;='Controls'!$B$8),H18*J18,0)</x:f>
        <x:v>19790.4</x:v>
      </x:c>
      <x:c r="L18" s="71" t="n">
        <x:f>K18*'Controls'!$B$9</x:f>
        <x:v>24140.32992</x:v>
      </x:c>
      <x:c r="M18" s="71" t="n">
        <x:f>SUMIFS('Cost ledger'!$G$8:$G$415,'Cost ledger'!$D$8:$D$415,A18,'Cost ledger'!$C$8:$C$415,"&lt;="&amp;'Controls'!$B$8)</x:f>
        <x:v>19790.4</x:v>
      </x:c>
      <x:c r="N18" s="81" t="n">
        <x:v>1.06</x:v>
      </x:c>
      <x:c r="O18" s="72" t="n">
        <x:f>IF(D18="Approved",(H18-K18)*N18,0)</x:f>
        <x:v>0</x:v>
      </x:c>
      <x:c r="P18" s="54"/>
      <x:c r="Q18" s="54"/>
      <x:c r="R18" s="54"/>
      <x:c r="S18" s="54"/>
    </x:row>
    <x:row r="19" ht="23" customHeight="1">
      <x:c r="A19" s="60" t="str">
        <x:v>VO-012</x:v>
      </x:c>
      <x:c r="B19" s="60" t="str">
        <x:v>EN01</x:v>
      </x:c>
      <x:c r="C19" s="60" t="str">
        <x:v>Podium membrane upgrade</x:v>
      </x:c>
      <x:c r="D19" s="60" t="str">
        <x:v>Approved</x:v>
      </x:c>
      <x:c r="E19" s="60" t="n">
        <x:v>4</x:v>
      </x:c>
      <x:c r="F19" s="82" t="n">
        <x:v>2016.0000000000002</x:v>
      </x:c>
      <x:c r="G19" s="82" t="n">
        <x:v>24</x:v>
      </x:c>
      <x:c r="H19" s="83" t="n">
        <x:f>F19*G19</x:f>
        <x:v>48384.00000000001</x:v>
      </x:c>
      <x:c r="I19" s="78" t="n">
        <x:f>H19*'Controls'!$B$9</x:f>
        <x:v>59018.80320000001</x:v>
      </x:c>
      <x:c r="J19" s="84" t="n">
        <x:v>1</x:v>
      </x:c>
      <x:c r="K19" s="75" t="n">
        <x:f>IF(AND(D19="Approved",E19&lt;='Controls'!$B$8),H19*J19,0)</x:f>
        <x:v>48384.00000000001</x:v>
      </x:c>
      <x:c r="L19" s="75" t="n">
        <x:f>K19*'Controls'!$B$9</x:f>
        <x:v>59018.80320000001</x:v>
      </x:c>
      <x:c r="M19" s="75" t="n">
        <x:f>SUMIFS('Cost ledger'!$G$8:$G$415,'Cost ledger'!$D$8:$D$415,A19,'Cost ledger'!$C$8:$C$415,"&lt;="&amp;'Controls'!$B$8)</x:f>
        <x:v>49593.6</x:v>
      </x:c>
      <x:c r="N19" s="84" t="n">
        <x:v>1.06</x:v>
      </x:c>
      <x:c r="O19" s="76" t="n">
        <x:f>IF(D19="Approved",(H19-K19)*N19,0)</x:f>
        <x:v>0</x:v>
      </x:c>
      <x:c r="P19" s="54"/>
      <x:c r="Q19" s="54"/>
      <x:c r="R19" s="54"/>
      <x:c r="S19" s="54"/>
    </x:row>
    <x:row r="20" ht="23" customHeight="1">
      <x:c r="A20" s="58" t="str">
        <x:v>VO-013</x:v>
      </x:c>
      <x:c r="B20" s="58" t="str">
        <x:v>EN03</x:v>
      </x:c>
      <x:c r="C20" s="58" t="str">
        <x:v>Facade anchor revision</x:v>
      </x:c>
      <x:c r="D20" s="58" t="str">
        <x:v>Pending</x:v>
      </x:c>
      <x:c r="E20" s="58" t="n">
        <x:v>5</x:v>
      </x:c>
      <x:c r="F20" s="79" t="n">
        <x:v>851.2</x:v>
      </x:c>
      <x:c r="G20" s="79" t="n">
        <x:v>38</x:v>
      </x:c>
      <x:c r="H20" s="80" t="n">
        <x:f>F20*G20</x:f>
        <x:v>32345.600000000002</x:v>
      </x:c>
      <x:c r="I20" s="74" t="n">
        <x:f>H20*'Controls'!$B$9</x:f>
        <x:v>39455.16288</x:v>
      </x:c>
      <x:c r="J20" s="81" t="n">
        <x:v>1</x:v>
      </x:c>
      <x:c r="K20" s="71" t="n">
        <x:f>IF(AND(D20="Approved",E20&lt;='Controls'!$B$8),H20*J20,0)</x:f>
        <x:v>0</x:v>
      </x:c>
      <x:c r="L20" s="71" t="n">
        <x:f>K20*'Controls'!$B$9</x:f>
        <x:v>0</x:v>
      </x:c>
      <x:c r="M20" s="71" t="n">
        <x:f>SUMIFS('Cost ledger'!$G$8:$G$415,'Cost ledger'!$D$8:$D$415,A20,'Cost ledger'!$C$8:$C$415,"&lt;="&amp;'Controls'!$B$8)</x:f>
        <x:v>33962.88</x:v>
      </x:c>
      <x:c r="N20" s="81" t="n">
        <x:v>1.06</x:v>
      </x:c>
      <x:c r="O20" s="72" t="n">
        <x:f>IF(D20="Approved",(H20-K20)*N20,0)</x:f>
        <x:v>0</x:v>
      </x:c>
      <x:c r="P20" s="54"/>
      <x:c r="Q20" s="54"/>
      <x:c r="R20" s="54"/>
      <x:c r="S20" s="54"/>
    </x:row>
    <x:row r="21" ht="23" customHeight="1">
      <x:c r="A21" s="60" t="str">
        <x:v>VO-014</x:v>
      </x:c>
      <x:c r="B21" s="60" t="str">
        <x:v>EX03</x:v>
      </x:c>
      <x:c r="C21" s="60" t="str">
        <x:v>Drainage inspection chambers</x:v>
      </x:c>
      <x:c r="D21" s="60" t="str">
        <x:v>Approved</x:v>
      </x:c>
      <x:c r="E21" s="60" t="n">
        <x:v>6</x:v>
      </x:c>
      <x:c r="F21" s="82" t="n">
        <x:v>13.440000000000001</x:v>
      </x:c>
      <x:c r="G21" s="82" t="n">
        <x:v>1280</x:v>
      </x:c>
      <x:c r="H21" s="83" t="n">
        <x:f>F21*G21</x:f>
        <x:v>17203.2</x:v>
      </x:c>
      <x:c r="I21" s="78" t="n">
        <x:f>H21*'Controls'!$B$9</x:f>
        <x:v>20984.46336</x:v>
      </x:c>
      <x:c r="J21" s="84" t="n">
        <x:v>0.875</x:v>
      </x:c>
      <x:c r="K21" s="75" t="n">
        <x:f>IF(AND(D21="Approved",E21&lt;='Controls'!$B$8),H21*J21,0)</x:f>
        <x:v>15052.800000000001</x:v>
      </x:c>
      <x:c r="L21" s="75" t="n">
        <x:f>K21*'Controls'!$B$9</x:f>
        <x:v>18361.405440000002</x:v>
      </x:c>
      <x:c r="M21" s="75" t="n">
        <x:f>SUMIFS('Cost ledger'!$G$8:$G$415,'Cost ledger'!$D$8:$D$415,A21,'Cost ledger'!$C$8:$C$415,"&lt;="&amp;'Controls'!$B$8)</x:f>
        <x:v>16181.760000000002</x:v>
      </x:c>
      <x:c r="N21" s="84" t="n">
        <x:v>1.06</x:v>
      </x:c>
      <x:c r="O21" s="76" t="n">
        <x:f>IF(D21="Approved",(H21-K21)*N21,0)</x:f>
        <x:v>2279.4239999999995</x:v>
      </x:c>
      <x:c r="P21" s="54"/>
      <x:c r="Q21" s="54"/>
      <x:c r="R21" s="54"/>
      <x:c r="S21" s="54"/>
    </x:row>
    <x:row r="22" ht="23" customHeight="1">
      <x:c r="A22" s="58" t="str">
        <x:v>VO-015</x:v>
      </x:c>
      <x:c r="B22" s="58" t="str">
        <x:v>EN02</x:v>
      </x:c>
      <x:c r="C22" s="58" t="str">
        <x:v>Roof upstand revisions</x:v>
      </x:c>
      <x:c r="D22" s="58" t="str">
        <x:v>Rejected</x:v>
      </x:c>
      <x:c r="E22" s="58" t="n">
        <x:v>7</x:v>
      </x:c>
      <x:c r="F22" s="79" t="n">
        <x:v>728.0000000000001</x:v>
      </x:c>
      <x:c r="G22" s="79" t="n">
        <x:v>32</x:v>
      </x:c>
      <x:c r="H22" s="80" t="n">
        <x:f>F22*G22</x:f>
        <x:v>23296.000000000004</x:v>
      </x:c>
      <x:c r="I22" s="74" t="n">
        <x:f>H22*'Controls'!$B$9</x:f>
        <x:v>28416.460800000004</x:v>
      </x:c>
      <x:c r="J22" s="81" t="n">
        <x:v>0.75</x:v>
      </x:c>
      <x:c r="K22" s="71" t="n">
        <x:f>IF(AND(D22="Approved",E22&lt;='Controls'!$B$8),H22*J22,0)</x:f>
        <x:v>0</x:v>
      </x:c>
      <x:c r="L22" s="71" t="n">
        <x:f>K22*'Controls'!$B$9</x:f>
        <x:v>0</x:v>
      </x:c>
      <x:c r="M22" s="71" t="n">
        <x:f>SUMIFS('Cost ledger'!$G$8:$G$415,'Cost ledger'!$D$8:$D$415,A22,'Cost ledger'!$C$8:$C$415,"&lt;="&amp;'Controls'!$B$8)</x:f>
        <x:v>4804.800000000001</x:v>
      </x:c>
      <x:c r="N22" s="81" t="n">
        <x:v>1.06</x:v>
      </x:c>
      <x:c r="O22" s="72" t="n">
        <x:f>IF(D22="Approved",(H22-K22)*N22,0)</x:f>
        <x:v>0</x:v>
      </x:c>
      <x:c r="P22" s="54"/>
      <x:c r="Q22" s="54"/>
      <x:c r="R22" s="54"/>
      <x:c r="S22" s="54"/>
    </x:row>
    <x:row r="23" ht="23" customHeight="1">
      <x:c r="A23" s="60" t="str">
        <x:v>VO-016</x:v>
      </x:c>
      <x:c r="B23" s="60" t="str">
        <x:v>EX01</x:v>
      </x:c>
      <x:c r="C23" s="60" t="str">
        <x:v>Entrance paving revision</x:v>
      </x:c>
      <x:c r="D23" s="60" t="str">
        <x:v>Approved</x:v>
      </x:c>
      <x:c r="E23" s="60" t="n">
        <x:v>8</x:v>
      </x:c>
      <x:c r="F23" s="82" t="n">
        <x:v>1568.0000000000002</x:v>
      </x:c>
      <x:c r="G23" s="82" t="n">
        <x:v>57</x:v>
      </x:c>
      <x:c r="H23" s="83" t="n">
        <x:f>F23*G23</x:f>
        <x:v>89376.00000000001</x:v>
      </x:c>
      <x:c r="I23" s="78" t="n">
        <x:f>H23*'Controls'!$B$9</x:f>
        <x:v>109020.84480000002</x:v>
      </x:c>
      <x:c r="J23" s="84" t="n">
        <x:v>0.625</x:v>
      </x:c>
      <x:c r="K23" s="75" t="n">
        <x:f>IF(AND(D23="Approved",E23&lt;='Controls'!$B$8),H23*J23,0)</x:f>
        <x:v>55860.00000000001</x:v>
      </x:c>
      <x:c r="L23" s="75" t="n">
        <x:f>K23*'Controls'!$B$9</x:f>
        <x:v>68138.028</x:v>
      </x:c>
      <x:c r="M23" s="75" t="n">
        <x:f>SUMIFS('Cost ledger'!$G$8:$G$415,'Cost ledger'!$D$8:$D$415,A23,'Cost ledger'!$C$8:$C$415,"&lt;="&amp;'Controls'!$B$8)</x:f>
        <x:v>55860.00000000001</x:v>
      </x:c>
      <x:c r="N23" s="84" t="n">
        <x:v>1.06</x:v>
      </x:c>
      <x:c r="O23" s="76" t="n">
        <x:f>IF(D23="Approved",(H23-K23)*N23,0)</x:f>
        <x:v>35526.96000000001</x:v>
      </x:c>
      <x:c r="P23" s="54"/>
      <x:c r="Q23" s="54"/>
      <x:c r="R23" s="54"/>
      <x:c r="S23" s="54"/>
    </x:row>
    <x:row r="24" ht="23" customHeight="1">
      <x:c r="A24" s="58" t="str">
        <x:v>VO-017</x:v>
      </x:c>
      <x:c r="B24" s="58" t="str">
        <x:v>RC02</x:v>
      </x:c>
      <x:c r="C24" s="58" t="str">
        <x:v>Raft edge thickening</x:v>
      </x:c>
      <x:c r="D24" s="58" t="str">
        <x:v>Pending</x:v>
      </x:c>
      <x:c r="E24" s="58" t="n">
        <x:v>9</x:v>
      </x:c>
      <x:c r="F24" s="79" t="n">
        <x:v>520.8</x:v>
      </x:c>
      <x:c r="G24" s="79" t="n">
        <x:v>148</x:v>
      </x:c>
      <x:c r="H24" s="80" t="n">
        <x:f>F24*G24</x:f>
        <x:v>77078.4</x:v>
      </x:c>
      <x:c r="I24" s="74" t="n">
        <x:f>H24*'Controls'!$B$9</x:f>
        <x:v>94020.23232</x:v>
      </x:c>
      <x:c r="J24" s="81" t="n">
        <x:v>0.5</x:v>
      </x:c>
      <x:c r="K24" s="71" t="n">
        <x:f>IF(AND(D24="Approved",E24&lt;='Controls'!$B$8),H24*J24,0)</x:f>
        <x:v>0</x:v>
      </x:c>
      <x:c r="L24" s="71" t="n">
        <x:f>K24*'Controls'!$B$9</x:f>
        <x:v>0</x:v>
      </x:c>
      <x:c r="M24" s="71" t="n">
        <x:f>SUMIFS('Cost ledger'!$G$8:$G$415,'Cost ledger'!$D$8:$D$415,A24,'Cost ledger'!$C$8:$C$415,"&lt;="&amp;'Controls'!$B$8)</x:f>
        <x:v>39502.67999999999</x:v>
      </x:c>
      <x:c r="N24" s="81" t="n">
        <x:v>1.06</x:v>
      </x:c>
      <x:c r="O24" s="72" t="n">
        <x:f>IF(D24="Approved",(H24-K24)*N24,0)</x:f>
        <x:v>0</x:v>
      </x:c>
      <x:c r="P24" s="54"/>
      <x:c r="Q24" s="54"/>
      <x:c r="R24" s="54"/>
      <x:c r="S24" s="54"/>
    </x:row>
    <x:row r="25" ht="23" customHeight="1">
      <x:c r="A25" s="60" t="str">
        <x:v>VO-018</x:v>
      </x:c>
      <x:c r="B25" s="60" t="str">
        <x:v>RB01</x:v>
      </x:c>
      <x:c r="C25" s="60" t="str">
        <x:v>Transfer beam reinforcement</x:v>
      </x:c>
      <x:c r="D25" s="60" t="str">
        <x:v>Approved</x:v>
      </x:c>
      <x:c r="E25" s="60" t="n">
        <x:v>10</x:v>
      </x:c>
      <x:c r="F25" s="82" t="n">
        <x:v>35.339999999999996</x:v>
      </x:c>
      <x:c r="G25" s="82" t="n">
        <x:v>1420</x:v>
      </x:c>
      <x:c r="H25" s="83" t="n">
        <x:f>F25*G25</x:f>
        <x:v>50182.799999999996</x:v>
      </x:c>
      <x:c r="I25" s="78" t="n">
        <x:f>H25*'Controls'!$B$9</x:f>
        <x:v>61212.979439999996</x:v>
      </x:c>
      <x:c r="J25" s="84" t="n">
        <x:v>0.375</x:v>
      </x:c>
      <x:c r="K25" s="75" t="n">
        <x:f>IF(AND(D25="Approved",E25&lt;='Controls'!$B$8),H25*J25,0)</x:f>
        <x:v>18818.55</x:v>
      </x:c>
      <x:c r="L25" s="75" t="n">
        <x:f>K25*'Controls'!$B$9</x:f>
        <x:v>22954.86729</x:v>
      </x:c>
      <x:c r="M25" s="75" t="n">
        <x:f>SUMIFS('Cost ledger'!$G$8:$G$415,'Cost ledger'!$D$8:$D$415,A25,'Cost ledger'!$C$8:$C$415,"&lt;="&amp;'Controls'!$B$8)</x:f>
        <x:v>19759.477499999997</x:v>
      </x:c>
      <x:c r="N25" s="84" t="n">
        <x:v>1.06</x:v>
      </x:c>
      <x:c r="O25" s="76" t="n">
        <x:f>IF(D25="Approved",(H25-K25)*N25,0)</x:f>
        <x:v>33246.104999999996</x:v>
      </x:c>
      <x:c r="P25" s="54"/>
      <x:c r="Q25" s="54"/>
      <x:c r="R25" s="54"/>
      <x:c r="S25" s="54"/>
    </x:row>
    <x:row r="26" ht="23" customHeight="1">
      <x:c r="A26" s="58" t="str">
        <x:v>VO-019</x:v>
      </x:c>
      <x:c r="B26" s="58" t="str">
        <x:v>RC06</x:v>
      </x:c>
      <x:c r="C26" s="58" t="str">
        <x:v>Core opening trimming</x:v>
      </x:c>
      <x:c r="D26" s="58" t="str">
        <x:v>Approved</x:v>
      </x:c>
      <x:c r="E26" s="58" t="n">
        <x:v>11</x:v>
      </x:c>
      <x:c r="F26" s="79" t="n">
        <x:v>117.8</x:v>
      </x:c>
      <x:c r="G26" s="79" t="n">
        <x:v>186</x:v>
      </x:c>
      <x:c r="H26" s="80" t="n">
        <x:f>F26*G26</x:f>
        <x:v>21910.8</x:v>
      </x:c>
      <x:c r="I26" s="74" t="n">
        <x:f>H26*'Controls'!$B$9</x:f>
        <x:v>26726.79384</x:v>
      </x:c>
      <x:c r="J26" s="81" t="n">
        <x:v>0.25</x:v>
      </x:c>
      <x:c r="K26" s="71" t="n">
        <x:f>IF(AND(D26="Approved",E26&lt;='Controls'!$B$8),H26*J26,0)</x:f>
        <x:v>5477.7</x:v>
      </x:c>
      <x:c r="L26" s="71" t="n">
        <x:f>K26*'Controls'!$B$9</x:f>
        <x:v>6681.69846</x:v>
      </x:c>
      <x:c r="M26" s="71" t="n">
        <x:f>SUMIFS('Cost ledger'!$G$8:$G$415,'Cost ledger'!$D$8:$D$415,A26,'Cost ledger'!$C$8:$C$415,"&lt;="&amp;'Controls'!$B$8)</x:f>
        <x:v>5888.527499999999</x:v>
      </x:c>
      <x:c r="N26" s="81" t="n">
        <x:v>1.06</x:v>
      </x:c>
      <x:c r="O26" s="72" t="n">
        <x:f>IF(D26="Approved",(H26-K26)*N26,0)</x:f>
        <x:v>17419.086</x:v>
      </x:c>
      <x:c r="P26" s="54"/>
      <x:c r="Q26" s="54"/>
      <x:c r="R26" s="54"/>
      <x:c r="S26" s="54"/>
    </x:row>
    <x:row r="27" ht="23" customHeight="1">
      <x:c r="A27" s="60" t="str">
        <x:v>VO-020</x:v>
      </x:c>
      <x:c r="B27" s="60" t="str">
        <x:v>EN01</x:v>
      </x:c>
      <x:c r="C27" s="60" t="str">
        <x:v>Podium membrane upgrade</x:v>
      </x:c>
      <x:c r="D27" s="60" t="str">
        <x:v>Approved</x:v>
      </x:c>
      <x:c r="E27" s="60" t="n">
        <x:v>12</x:v>
      </x:c>
      <x:c r="F27" s="82" t="n">
        <x:v>2232</x:v>
      </x:c>
      <x:c r="G27" s="82" t="n">
        <x:v>24</x:v>
      </x:c>
      <x:c r="H27" s="83" t="n">
        <x:f>F27*G27</x:f>
        <x:v>53568</x:v>
      </x:c>
      <x:c r="I27" s="78" t="n">
        <x:f>H27*'Controls'!$B$9</x:f>
        <x:v>65342.246399999996</x:v>
      </x:c>
      <x:c r="J27" s="84" t="n">
        <x:v>0.125</x:v>
      </x:c>
      <x:c r="K27" s="75" t="n">
        <x:f>IF(AND(D27="Approved",E27&lt;='Controls'!$B$8),H27*J27,0)</x:f>
        <x:v>6696</x:v>
      </x:c>
      <x:c r="L27" s="75" t="n">
        <x:f>K27*'Controls'!$B$9</x:f>
        <x:v>8167.7807999999995</x:v>
      </x:c>
      <x:c r="M27" s="75" t="n">
        <x:f>SUMIFS('Cost ledger'!$G$8:$G$415,'Cost ledger'!$D$8:$D$415,A27,'Cost ledger'!$C$8:$C$415,"&lt;="&amp;'Controls'!$B$8)</x:f>
        <x:v>7365.6</x:v>
      </x:c>
      <x:c r="N27" s="84" t="n">
        <x:v>1.06</x:v>
      </x:c>
      <x:c r="O27" s="76" t="n">
        <x:f>IF(D27="Approved",(H27-K27)*N27,0)</x:f>
        <x:v>49684.32</x:v>
      </x:c>
      <x:c r="P27" s="54"/>
      <x:c r="Q27" s="54"/>
      <x:c r="R27" s="54"/>
      <x:c r="S27" s="54"/>
    </x:row>
    <x:row r="28" ht="23" customHeight="1">
      <x:c r="A28" s="58" t="str">
        <x:v>VO-021</x:v>
      </x:c>
      <x:c r="B28" s="58" t="str">
        <x:v>EN03</x:v>
      </x:c>
      <x:c r="C28" s="58" t="str">
        <x:v>Facade anchor revision</x:v>
      </x:c>
      <x:c r="D28" s="58" t="str">
        <x:v>Pending</x:v>
      </x:c>
      <x:c r="E28" s="58" t="n">
        <x:v>3</x:v>
      </x:c>
      <x:c r="F28" s="79" t="n">
        <x:v>942.4</x:v>
      </x:c>
      <x:c r="G28" s="79" t="n">
        <x:v>38</x:v>
      </x:c>
      <x:c r="H28" s="80" t="n">
        <x:f>F28*G28</x:f>
        <x:v>35811.2</x:v>
      </x:c>
      <x:c r="I28" s="74" t="n">
        <x:f>H28*'Controls'!$B$9</x:f>
        <x:v>43682.50176</x:v>
      </x:c>
      <x:c r="J28" s="81" t="n">
        <x:v>1</x:v>
      </x:c>
      <x:c r="K28" s="71" t="n">
        <x:f>IF(AND(D28="Approved",E28&lt;='Controls'!$B$8),H28*J28,0)</x:f>
        <x:v>0</x:v>
      </x:c>
      <x:c r="L28" s="71" t="n">
        <x:f>K28*'Controls'!$B$9</x:f>
        <x:v>0</x:v>
      </x:c>
      <x:c r="M28" s="71" t="n">
        <x:f>SUMIFS('Cost ledger'!$G$8:$G$415,'Cost ledger'!$D$8:$D$415,A28,'Cost ledger'!$C$8:$C$415,"&lt;="&amp;'Controls'!$B$8)</x:f>
        <x:v>35811.2</x:v>
      </x:c>
      <x:c r="N28" s="81" t="n">
        <x:v>1.06</x:v>
      </x:c>
      <x:c r="O28" s="72" t="n">
        <x:f>IF(D28="Approved",(H28-K28)*N28,0)</x:f>
        <x:v>0</x:v>
      </x:c>
      <x:c r="P28" s="54"/>
      <x:c r="Q28" s="54"/>
      <x:c r="R28" s="54"/>
      <x:c r="S28" s="54"/>
    </x:row>
    <x:row r="29" ht="23" customHeight="1">
      <x:c r="A29" s="60" t="str">
        <x:v>VO-022</x:v>
      </x:c>
      <x:c r="B29" s="60" t="str">
        <x:v>EX03</x:v>
      </x:c>
      <x:c r="C29" s="60" t="str">
        <x:v>Drainage inspection chambers</x:v>
      </x:c>
      <x:c r="D29" s="60" t="str">
        <x:v>Rejected</x:v>
      </x:c>
      <x:c r="E29" s="60" t="n">
        <x:v>4</x:v>
      </x:c>
      <x:c r="F29" s="82" t="n">
        <x:v>14.879999999999999</x:v>
      </x:c>
      <x:c r="G29" s="82" t="n">
        <x:v>1280</x:v>
      </x:c>
      <x:c r="H29" s="83" t="n">
        <x:f>F29*G29</x:f>
        <x:v>19046.399999999998</x:v>
      </x:c>
      <x:c r="I29" s="78" t="n">
        <x:f>H29*'Controls'!$B$9</x:f>
        <x:v>23232.79872</x:v>
      </x:c>
      <x:c r="J29" s="84" t="n">
        <x:v>1</x:v>
      </x:c>
      <x:c r="K29" s="75" t="n">
        <x:f>IF(AND(D29="Approved",E29&lt;='Controls'!$B$8),H29*J29,0)</x:f>
        <x:v>0</x:v>
      </x:c>
      <x:c r="L29" s="75" t="n">
        <x:f>K29*'Controls'!$B$9</x:f>
        <x:v>0</x:v>
      </x:c>
      <x:c r="M29" s="75" t="n">
        <x:f>SUMIFS('Cost ledger'!$G$8:$G$415,'Cost ledger'!$D$8:$D$415,A29,'Cost ledger'!$C$8:$C$415,"&lt;="&amp;'Controls'!$B$8)</x:f>
        <x:v>4880.639999999999</x:v>
      </x:c>
      <x:c r="N29" s="84" t="n">
        <x:v>1.06</x:v>
      </x:c>
      <x:c r="O29" s="76" t="n">
        <x:f>IF(D29="Approved",(H29-K29)*N29,0)</x:f>
        <x:v>0</x:v>
      </x:c>
      <x:c r="P29" s="54"/>
      <x:c r="Q29" s="54"/>
      <x:c r="R29" s="54"/>
      <x:c r="S29" s="54"/>
    </x:row>
    <x:row r="30" ht="23" customHeight="1">
      <x:c r="A30" s="58" t="str">
        <x:v>VO-023</x:v>
      </x:c>
      <x:c r="B30" s="58" t="str">
        <x:v>EN02</x:v>
      </x:c>
      <x:c r="C30" s="58" t="str">
        <x:v>Roof upstand revisions</x:v>
      </x:c>
      <x:c r="D30" s="58" t="str">
        <x:v>Approved</x:v>
      </x:c>
      <x:c r="E30" s="58" t="n">
        <x:v>5</x:v>
      </x:c>
      <x:c r="F30" s="79" t="n">
        <x:v>806</x:v>
      </x:c>
      <x:c r="G30" s="79" t="n">
        <x:v>32</x:v>
      </x:c>
      <x:c r="H30" s="80" t="n">
        <x:f>F30*G30</x:f>
        <x:v>25792</x:v>
      </x:c>
      <x:c r="I30" s="74" t="n">
        <x:f>H30*'Controls'!$B$9</x:f>
        <x:v>31461.0816</x:v>
      </x:c>
      <x:c r="J30" s="81" t="n">
        <x:v>1</x:v>
      </x:c>
      <x:c r="K30" s="71" t="n">
        <x:f>IF(AND(D30="Approved",E30&lt;='Controls'!$B$8),H30*J30,0)</x:f>
        <x:v>25792</x:v>
      </x:c>
      <x:c r="L30" s="71" t="n">
        <x:f>K30*'Controls'!$B$9</x:f>
        <x:v>31461.0816</x:v>
      </x:c>
      <x:c r="M30" s="71" t="n">
        <x:f>SUMIFS('Cost ledger'!$G$8:$G$415,'Cost ledger'!$D$8:$D$415,A30,'Cost ledger'!$C$8:$C$415,"&lt;="&amp;'Controls'!$B$8)</x:f>
        <x:v>27081.600000000002</x:v>
      </x:c>
      <x:c r="N30" s="81" t="n">
        <x:v>1.06</x:v>
      </x:c>
      <x:c r="O30" s="72" t="n">
        <x:f>IF(D30="Approved",(H30-K30)*N30,0)</x:f>
        <x:v>0</x:v>
      </x:c>
      <x:c r="P30" s="54"/>
      <x:c r="Q30" s="54"/>
      <x:c r="R30" s="54"/>
      <x:c r="S30" s="54"/>
    </x:row>
    <x:row r="31" ht="23" customHeight="1">
      <x:c r="A31" s="60" t="str">
        <x:v>VO-024</x:v>
      </x:c>
      <x:c r="B31" s="60" t="str">
        <x:v>EX01</x:v>
      </x:c>
      <x:c r="C31" s="60" t="str">
        <x:v>Entrance paving revision</x:v>
      </x:c>
      <x:c r="D31" s="60" t="str">
        <x:v>Approved</x:v>
      </x:c>
      <x:c r="E31" s="60" t="n">
        <x:v>6</x:v>
      </x:c>
      <x:c r="F31" s="82" t="n">
        <x:v>1736</x:v>
      </x:c>
      <x:c r="G31" s="82" t="n">
        <x:v>57</x:v>
      </x:c>
      <x:c r="H31" s="83" t="n">
        <x:f>F31*G31</x:f>
        <x:v>98952</x:v>
      </x:c>
      <x:c r="I31" s="78" t="n">
        <x:f>H31*'Controls'!$B$9</x:f>
        <x:v>120701.6496</x:v>
      </x:c>
      <x:c r="J31" s="84" t="n">
        <x:v>0.875</x:v>
      </x:c>
      <x:c r="K31" s="75" t="n">
        <x:f>IF(AND(D31="Approved",E31&lt;='Controls'!$B$8),H31*J31,0)</x:f>
        <x:v>86583</x:v>
      </x:c>
      <x:c r="L31" s="75" t="n">
        <x:f>K31*'Controls'!$B$9</x:f>
        <x:v>105613.9434</x:v>
      </x:c>
      <x:c r="M31" s="75" t="n">
        <x:f>SUMIFS('Cost ledger'!$G$8:$G$415,'Cost ledger'!$D$8:$D$415,A31,'Cost ledger'!$C$8:$C$415,"&lt;="&amp;'Controls'!$B$8)</x:f>
        <x:v>93076.72499999999</x:v>
      </x:c>
      <x:c r="N31" s="84" t="n">
        <x:v>1.06</x:v>
      </x:c>
      <x:c r="O31" s="76" t="n">
        <x:f>IF(D31="Approved",(H31-K31)*N31,0)</x:f>
        <x:v>13111.140000000001</x:v>
      </x:c>
      <x:c r="P31" s="54"/>
      <x:c r="Q31" s="54"/>
      <x:c r="R31" s="54"/>
      <x:c r="S31" s="54"/>
    </x:row>
  </x:sheetData>
  <x:dataValidations count="1">
    <x:dataValidation type="list" sqref="D8:D31">
      <x:formula1>"Approved,Pending,Rejected"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eb099275754c7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5" hidden="0" customWidth="1"/>
    <x:col min="5" max="5" width="25" hidden="0" customWidth="1"/>
    <x:col min="6" max="6" width="24" hidden="0" customWidth="1"/>
    <x:col min="7" max="7" width="25" hidden="0" customWidth="1"/>
  </x:cols>
  <x:sheetData>
    <x:row r="2">
      <x:c r="A2" s="53" t="str">
        <x:v>Purchase commitments and accrual coverage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Two purchasing scopes per package. Unaccrued commitments are disclosed, not added again to ETC.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PO reference</x:v>
      </x:c>
      <x:c r="B7" s="6" t="str">
        <x:v>BOQ code</x:v>
      </x:c>
      <x:c r="C7" s="6" t="str">
        <x:v>Scope</x:v>
      </x:c>
      <x:c r="D7" s="6" t="str">
        <x:v>Committed USD</x:v>
      </x:c>
      <x:c r="E7" s="6" t="str">
        <x:v>Accrued base USD</x:v>
      </x:c>
      <x:c r="F7" s="6" t="str">
        <x:v>Unaccrued USD</x:v>
      </x:c>
      <x:c r="G7" s="6" t="str">
        <x:v>Budget cover USD</x:v>
      </x:c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PO-001</x:v>
      </x:c>
      <x:c r="B8" s="58" t="str">
        <x:v>EW01</x:v>
      </x:c>
      <x:c r="C8" s="58" t="str">
        <x:v>Material supply</x:v>
      </x:c>
      <x:c r="D8" s="85" t="n">
        <x:v>326157.24960000004</x:v>
      </x:c>
      <x:c r="E8" s="71" t="n">
        <x:f>SUMIFS('Cost ledger'!$G$8:$G$415,'Cost ledger'!$B$8:$B$415,B8,'Cost ledger'!$D$8:$D$415,"BASE",'Cost ledger'!$C$8:$C$415,"&lt;="&amp;'Controls'!$B$8)*0.65</x:f>
        <x:v>309915.949824</x:v>
      </x:c>
      <x:c r="F8" s="72" t="n">
        <x:f>MAX(0,D8-E8)</x:f>
        <x:v>16241.299776000029</x:v>
      </x:c>
      <x:c r="G8" s="71" t="n">
        <x:f>INDEX('Baseline'!$G$8:$G$39,MATCH(B8,'Baseline'!$A$8:$A$39,0))*0.65-D8</x:f>
        <x:v>6656.270399999979</x:v>
      </x:c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PO-002</x:v>
      </x:c>
      <x:c r="B9" s="60" t="str">
        <x:v>EW01</x:v>
      </x:c>
      <x:c r="C9" s="60" t="str">
        <x:v>Installation</x:v>
      </x:c>
      <x:c r="D9" s="67" t="n">
        <x:v>175623.1344</x:v>
      </x:c>
      <x:c r="E9" s="75" t="n">
        <x:f>SUMIFS('Cost ledger'!$G$8:$G$415,'Cost ledger'!$B$8:$B$415,B9,'Cost ledger'!$D$8:$D$415,"BASE",'Cost ledger'!$C$8:$C$415,"&lt;="&amp;'Controls'!$B$8)*0.35</x:f>
        <x:v>166877.819136</x:v>
      </x:c>
      <x:c r="F9" s="76" t="n">
        <x:f>MAX(0,D9-E9)</x:f>
        <x:v>8745.315264000004</x:v>
      </x:c>
      <x:c r="G9" s="75" t="n">
        <x:f>INDEX('Baseline'!$G$8:$G$39,MATCH(B9,'Baseline'!$A$8:$A$39,0))*0.35-D9</x:f>
        <x:v>3584.145599999989</x:v>
      </x:c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PO-003</x:v>
      </x:c>
      <x:c r="B10" s="58" t="str">
        <x:v>EW02</x:v>
      </x:c>
      <x:c r="C10" s="58" t="str">
        <x:v>Material supply</x:v>
      </x:c>
      <x:c r="D10" s="85" t="n">
        <x:v>323481.60000000003</x:v>
      </x:c>
      <x:c r="E10" s="71" t="n">
        <x:f>SUMIFS('Cost ledger'!$G$8:$G$415,'Cost ledger'!$B$8:$B$415,B10,'Cost ledger'!$D$8:$D$415,"BASE",'Cost ledger'!$C$8:$C$415,"&lt;="&amp;'Controls'!$B$8)*0.65</x:f>
        <x:v>318629.376</x:v>
      </x:c>
      <x:c r="F10" s="72" t="n">
        <x:f>MAX(0,D10-E10)</x:f>
        <x:v>4852.224000000046</x:v>
      </x:c>
      <x:c r="G10" s="71" t="n">
        <x:f>INDEX('Baseline'!$G$8:$G$39,MATCH(B10,'Baseline'!$A$8:$A$39,0))*0.65-D10</x:f>
        <x:v>0</x:v>
      </x:c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PO-004</x:v>
      </x:c>
      <x:c r="B11" s="60" t="str">
        <x:v>EW02</x:v>
      </x:c>
      <x:c r="C11" s="60" t="str">
        <x:v>Installation</x:v>
      </x:c>
      <x:c r="D11" s="67" t="n">
        <x:v>174182.4</x:v>
      </x:c>
      <x:c r="E11" s="75" t="n">
        <x:f>SUMIFS('Cost ledger'!$G$8:$G$415,'Cost ledger'!$B$8:$B$415,B11,'Cost ledger'!$D$8:$D$415,"BASE",'Cost ledger'!$C$8:$C$415,"&lt;="&amp;'Controls'!$B$8)*0.35</x:f>
        <x:v>171569.664</x:v>
      </x:c>
      <x:c r="F11" s="76" t="n">
        <x:f>MAX(0,D11-E11)</x:f>
        <x:v>2612.7360000000044</x:v>
      </x:c>
      <x:c r="G11" s="75" t="n">
        <x:f>INDEX('Baseline'!$G$8:$G$39,MATCH(B11,'Baseline'!$A$8:$A$39,0))*0.35-D11</x:f>
        <x:v>0</x:v>
      </x:c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PO-005</x:v>
      </x:c>
      <x:c r="B12" s="58" t="str">
        <x:v>EW03</x:v>
      </x:c>
      <x:c r="C12" s="58" t="str">
        <x:v>Material supply</x:v>
      </x:c>
      <x:c r="D12" s="85" t="n">
        <x:v>44552.0088</x:v>
      </x:c>
      <x:c r="E12" s="71" t="n">
        <x:f>SUMIFS('Cost ledger'!$G$8:$G$415,'Cost ledger'!$B$8:$B$415,B12,'Cost ledger'!$D$8:$D$415,"BASE",'Cost ledger'!$C$8:$C$415,"&lt;="&amp;'Controls'!$B$8)*0.65</x:f>
        <x:v>44115.2244</x:v>
      </x:c>
      <x:c r="F12" s="72" t="n">
        <x:f>MAX(0,D12-E12)</x:f>
        <x:v>436.7844000000041</x:v>
      </x:c>
      <x:c r="G12" s="71" t="n">
        <x:f>INDEX('Baseline'!$G$8:$G$39,MATCH(B12,'Baseline'!$A$8:$A$39,0))*0.65-D12</x:f>
        <x:v>-873.5688000000009</x:v>
      </x:c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PO-006</x:v>
      </x:c>
      <x:c r="B13" s="60" t="str">
        <x:v>EW03</x:v>
      </x:c>
      <x:c r="C13" s="60" t="str">
        <x:v>Installation</x:v>
      </x:c>
      <x:c r="D13" s="67" t="n">
        <x:v>23989.5432</x:v>
      </x:c>
      <x:c r="E13" s="75" t="n">
        <x:f>SUMIFS('Cost ledger'!$G$8:$G$415,'Cost ledger'!$B$8:$B$415,B13,'Cost ledger'!$D$8:$D$415,"BASE",'Cost ledger'!$C$8:$C$415,"&lt;="&amp;'Controls'!$B$8)*0.35</x:f>
        <x:v>23754.351599999998</x:v>
      </x:c>
      <x:c r="F13" s="76" t="n">
        <x:f>MAX(0,D13-E13)</x:f>
        <x:v>235.19160000000193</x:v>
      </x:c>
      <x:c r="G13" s="75" t="n">
        <x:f>INDEX('Baseline'!$G$8:$G$39,MATCH(B13,'Baseline'!$A$8:$A$39,0))*0.35-D13</x:f>
        <x:v>-470.3832000000002</x:v>
      </x:c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PO-007</x:v>
      </x:c>
      <x:c r="B14" s="58" t="str">
        <x:v>RC01</x:v>
      </x:c>
      <x:c r="C14" s="58" t="str">
        <x:v>Material supply</x:v>
      </x:c>
      <x:c r="D14" s="85" t="n">
        <x:v>91503.36</x:v>
      </x:c>
      <x:c r="E14" s="71" t="n">
        <x:f>SUMIFS('Cost ledger'!$G$8:$G$415,'Cost ledger'!$B$8:$B$415,B14,'Cost ledger'!$D$8:$D$415,"BASE",'Cost ledger'!$C$8:$C$415,"&lt;="&amp;'Controls'!$B$8)*0.65</x:f>
        <x:v>91063.43999999999</x:v>
      </x:c>
      <x:c r="F14" s="72" t="n">
        <x:f>MAX(0,D14-E14)</x:f>
        <x:v>439.9200000000128</x:v>
      </x:c>
      <x:c r="G14" s="71" t="n">
        <x:f>INDEX('Baseline'!$G$8:$G$39,MATCH(B14,'Baseline'!$A$8:$A$39,0))*0.65-D14</x:f>
        <x:v>-3519.3600000000006</x:v>
      </x:c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PO-008</x:v>
      </x:c>
      <x:c r="B15" s="60" t="str">
        <x:v>RC01</x:v>
      </x:c>
      <x:c r="C15" s="60" t="str">
        <x:v>Installation</x:v>
      </x:c>
      <x:c r="D15" s="67" t="n">
        <x:v>49271.04</x:v>
      </x:c>
      <x:c r="E15" s="75" t="n">
        <x:f>SUMIFS('Cost ledger'!$G$8:$G$415,'Cost ledger'!$B$8:$B$415,B15,'Cost ledger'!$D$8:$D$415,"BASE",'Cost ledger'!$C$8:$C$415,"&lt;="&amp;'Controls'!$B$8)*0.35</x:f>
        <x:v>49034.15999999999</x:v>
      </x:c>
      <x:c r="F15" s="76" t="n">
        <x:f>MAX(0,D15-E15)</x:f>
        <x:v>236.88000000001193</x:v>
      </x:c>
      <x:c r="G15" s="75" t="n">
        <x:f>INDEX('Baseline'!$G$8:$G$39,MATCH(B15,'Baseline'!$A$8:$A$39,0))*0.35-D15</x:f>
        <x:v>-1895.0400000000009</x:v>
      </x:c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PO-009</x:v>
      </x:c>
      <x:c r="B16" s="58" t="str">
        <x:v>RC02</x:v>
      </x:c>
      <x:c r="C16" s="58" t="str">
        <x:v>Material supply</x:v>
      </x:c>
      <x:c r="D16" s="85" t="n">
        <x:v>1060375.68</x:v>
      </x:c>
      <x:c r="E16" s="71" t="n">
        <x:f>SUMIFS('Cost ledger'!$G$8:$G$415,'Cost ledger'!$B$8:$B$415,B16,'Cost ledger'!$D$8:$D$415,"BASE",'Cost ledger'!$C$8:$C$415,"&lt;="&amp;'Controls'!$B$8)*0.65</x:f>
        <x:v>1146936.96</x:v>
      </x:c>
      <x:c r="F16" s="72" t="n">
        <x:f>MAX(0,D16-E16)</x:f>
        <x:v>0</x:v>
      </x:c>
      <x:c r="G16" s="71" t="n">
        <x:f>INDEX('Baseline'!$G$8:$G$39,MATCH(B16,'Baseline'!$A$8:$A$39,0))*0.65-D16</x:f>
        <x:v>21640.320000000065</x:v>
      </x:c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PO-010</x:v>
      </x:c>
      <x:c r="B17" s="60" t="str">
        <x:v>RC02</x:v>
      </x:c>
      <x:c r="C17" s="60" t="str">
        <x:v>Installation</x:v>
      </x:c>
      <x:c r="D17" s="67" t="n">
        <x:v>570971.52</x:v>
      </x:c>
      <x:c r="E17" s="75" t="n">
        <x:f>SUMIFS('Cost ledger'!$G$8:$G$415,'Cost ledger'!$B$8:$B$415,B17,'Cost ledger'!$D$8:$D$415,"BASE",'Cost ledger'!$C$8:$C$415,"&lt;="&amp;'Controls'!$B$8)*0.35</x:f>
        <x:v>617581.44</x:v>
      </x:c>
      <x:c r="F17" s="76" t="n">
        <x:f>MAX(0,D17-E17)</x:f>
        <x:v>0</x:v>
      </x:c>
      <x:c r="G17" s="75" t="n">
        <x:f>INDEX('Baseline'!$G$8:$G$39,MATCH(B17,'Baseline'!$A$8:$A$39,0))*0.35-D17</x:f>
        <x:v>11652.479999999981</x:v>
      </x:c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PO-011</x:v>
      </x:c>
      <x:c r="B18" s="58" t="str">
        <x:v>RC03</x:v>
      </x:c>
      <x:c r="C18" s="58" t="str">
        <x:v>Material supply</x:v>
      </x:c>
      <x:c r="D18" s="85" t="n">
        <x:v>1110135.3119999974</x:v>
      </x:c>
      <x:c r="E18" s="71" t="n">
        <x:f>SUMIFS('Cost ledger'!$G$8:$G$415,'Cost ledger'!$B$8:$B$415,B18,'Cost ledger'!$D$8:$D$415,"BASE",'Cost ledger'!$C$8:$C$415,"&lt;="&amp;'Controls'!$B$8)*0.65</x:f>
        <x:v>602248.4067599985</x:v>
      </x:c>
      <x:c r="F18" s="72" t="n">
        <x:f>MAX(0,D18-E18)</x:f>
        <x:v>507886.9052399988</x:v>
      </x:c>
      <x:c r="G18" s="71" t="n">
        <x:f>INDEX('Baseline'!$G$8:$G$39,MATCH(B18,'Baseline'!$A$8:$A$39,0))*0.65-D18</x:f>
        <x:v>0</x:v>
      </x:c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str">
        <x:v>PO-012</x:v>
      </x:c>
      <x:c r="B19" s="60" t="str">
        <x:v>RC03</x:v>
      </x:c>
      <x:c r="C19" s="60" t="str">
        <x:v>Installation</x:v>
      </x:c>
      <x:c r="D19" s="67" t="n">
        <x:v>597765.1679999985</x:v>
      </x:c>
      <x:c r="E19" s="75" t="n">
        <x:f>SUMIFS('Cost ledger'!$G$8:$G$415,'Cost ledger'!$B$8:$B$415,B19,'Cost ledger'!$D$8:$D$415,"BASE",'Cost ledger'!$C$8:$C$415,"&lt;="&amp;'Controls'!$B$8)*0.35</x:f>
        <x:v>324287.6036399992</x:v>
      </x:c>
      <x:c r="F19" s="76" t="n">
        <x:f>MAX(0,D19-E19)</x:f>
        <x:v>273477.5643599994</x:v>
      </x:c>
      <x:c r="G19" s="75" t="n">
        <x:f>INDEX('Baseline'!$G$8:$G$39,MATCH(B19,'Baseline'!$A$8:$A$39,0))*0.35-D19</x:f>
        <x:v>0</x:v>
      </x:c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 ht="23" customHeight="1">
      <x:c r="A20" s="58" t="str">
        <x:v>PO-013</x:v>
      </x:c>
      <x:c r="B20" s="58" t="str">
        <x:v>RC04</x:v>
      </x:c>
      <x:c r="C20" s="58" t="str">
        <x:v>Material supply</x:v>
      </x:c>
      <x:c r="D20" s="85" t="n">
        <x:v>239910.19252199974</x:v>
      </x:c>
      <x:c r="E20" s="71" t="n">
        <x:f>SUMIFS('Cost ledger'!$G$8:$G$415,'Cost ledger'!$B$8:$B$415,B20,'Cost ledger'!$D$8:$D$415,"BASE",'Cost ledger'!$C$8:$C$415,"&lt;="&amp;'Controls'!$B$8)*0.65</x:f>
        <x:v>152295.93103724986</x:v>
      </x:c>
      <x:c r="F20" s="72" t="n">
        <x:f>MAX(0,D20-E20)</x:f>
        <x:v>87614.26148474988</x:v>
      </x:c>
      <x:c r="G20" s="71" t="n">
        <x:f>INDEX('Baseline'!$G$8:$G$39,MATCH(B20,'Baseline'!$A$8:$A$39,0))*0.65-D20</x:f>
        <x:v>-4704.1214219999965</x:v>
      </x:c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 ht="23" customHeight="1">
      <x:c r="A21" s="60" t="str">
        <x:v>PO-014</x:v>
      </x:c>
      <x:c r="B21" s="60" t="str">
        <x:v>RC04</x:v>
      </x:c>
      <x:c r="C21" s="60" t="str">
        <x:v>Installation</x:v>
      </x:c>
      <x:c r="D21" s="67" t="n">
        <x:v>129182.41135799984</x:v>
      </x:c>
      <x:c r="E21" s="75" t="n">
        <x:f>SUMIFS('Cost ledger'!$G$8:$G$415,'Cost ledger'!$B$8:$B$415,B21,'Cost ledger'!$D$8:$D$415,"BASE",'Cost ledger'!$C$8:$C$415,"&lt;="&amp;'Controls'!$B$8)*0.35</x:f>
        <x:v>82005.50132774992</x:v>
      </x:c>
      <x:c r="F21" s="76" t="n">
        <x:f>MAX(0,D21-E21)</x:f>
        <x:v>47176.910030249914</x:v>
      </x:c>
      <x:c r="G21" s="75" t="n">
        <x:f>INDEX('Baseline'!$G$8:$G$39,MATCH(B21,'Baseline'!$A$8:$A$39,0))*0.35-D21</x:f>
        <x:v>-2532.9884579999925</x:v>
      </x:c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  <x:row r="22" ht="23" customHeight="1">
      <x:c r="A22" s="58" t="str">
        <x:v>PO-015</x:v>
      </x:c>
      <x:c r="B22" s="58" t="str">
        <x:v>RC05</x:v>
      </x:c>
      <x:c r="C22" s="58" t="str">
        <x:v>Material supply</x:v>
      </x:c>
      <x:c r="D22" s="85" t="n">
        <x:v>193269.21119999973</x:v>
      </x:c>
      <x:c r="E22" s="71" t="n">
        <x:f>SUMIFS('Cost ledger'!$G$8:$G$415,'Cost ledger'!$B$8:$B$415,B22,'Cost ledger'!$D$8:$D$415,"BASE",'Cost ledger'!$C$8:$C$415,"&lt;="&amp;'Controls'!$B$8)*0.65</x:f>
        <x:v>115366.85222399986</x:v>
      </x:c>
      <x:c r="F22" s="72" t="n">
        <x:f>MAX(0,D22-E22)</x:f>
        <x:v>77902.35897599987</x:v>
      </x:c>
      <x:c r="G22" s="71" t="n">
        <x:f>INDEX('Baseline'!$G$8:$G$39,MATCH(B22,'Baseline'!$A$8:$A$39,0))*0.65-D22</x:f>
        <x:v>-7433.431199999992</x:v>
      </x:c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</x:row>
    <x:row r="23" ht="23" customHeight="1">
      <x:c r="A23" s="60" t="str">
        <x:v>PO-016</x:v>
      </x:c>
      <x:c r="B23" s="60" t="str">
        <x:v>RC05</x:v>
      </x:c>
      <x:c r="C23" s="60" t="str">
        <x:v>Installation</x:v>
      </x:c>
      <x:c r="D23" s="67" t="n">
        <x:v>104068.03679999986</x:v>
      </x:c>
      <x:c r="E23" s="75" t="n">
        <x:f>SUMIFS('Cost ledger'!$G$8:$G$415,'Cost ledger'!$B$8:$B$415,B23,'Cost ledger'!$D$8:$D$415,"BASE",'Cost ledger'!$C$8:$C$415,"&lt;="&amp;'Controls'!$B$8)*0.35</x:f>
        <x:v>62120.612735999915</x:v>
      </x:c>
      <x:c r="F23" s="76" t="n">
        <x:f>MAX(0,D23-E23)</x:f>
        <x:v>41947.42406399994</x:v>
      </x:c>
      <x:c r="G23" s="75" t="n">
        <x:f>INDEX('Baseline'!$G$8:$G$39,MATCH(B23,'Baseline'!$A$8:$A$39,0))*0.35-D23</x:f>
        <x:v>-4002.6168000000034</x:v>
      </x:c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</x:row>
    <x:row r="24" ht="23" customHeight="1">
      <x:c r="A24" s="58" t="str">
        <x:v>PO-017</x:v>
      </x:c>
      <x:c r="B24" s="58" t="str">
        <x:v>RC06</x:v>
      </x:c>
      <x:c r="C24" s="58" t="str">
        <x:v>Material supply</x:v>
      </x:c>
      <x:c r="D24" s="85" t="n">
        <x:v>143030.09448000023</x:v>
      </x:c>
      <x:c r="E24" s="71" t="n">
        <x:f>SUMIFS('Cost ledger'!$G$8:$G$415,'Cost ledger'!$B$8:$B$415,B24,'Cost ledger'!$D$8:$D$415,"BASE",'Cost ledger'!$C$8:$C$415,"&lt;="&amp;'Controls'!$B$8)*0.65</x:f>
        <x:v>95839.89324000015</x:v>
      </x:c>
      <x:c r="F24" s="72" t="n">
        <x:f>MAX(0,D24-E24)</x:f>
        <x:v>47190.20124000008</x:v>
      </x:c>
      <x:c r="G24" s="71" t="n">
        <x:f>INDEX('Baseline'!$G$8:$G$39,MATCH(B24,'Baseline'!$A$8:$A$39,0))*0.65-D24</x:f>
        <x:v>2918.981520000001</x:v>
      </x:c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</x:row>
    <x:row r="25" ht="23" customHeight="1">
      <x:c r="A25" s="60" t="str">
        <x:v>PO-018</x:v>
      </x:c>
      <x:c r="B25" s="60" t="str">
        <x:v>RC06</x:v>
      </x:c>
      <x:c r="C25" s="60" t="str">
        <x:v>Installation</x:v>
      </x:c>
      <x:c r="D25" s="67" t="n">
        <x:v>77016.20472000013</x:v>
      </x:c>
      <x:c r="E25" s="75" t="n">
        <x:f>SUMIFS('Cost ledger'!$G$8:$G$415,'Cost ledger'!$B$8:$B$415,B25,'Cost ledger'!$D$8:$D$415,"BASE",'Cost ledger'!$C$8:$C$415,"&lt;="&amp;'Controls'!$B$8)*0.35</x:f>
        <x:v>51606.096360000076</x:v>
      </x:c>
      <x:c r="F25" s="76" t="n">
        <x:f>MAX(0,D25-E25)</x:f>
        <x:v>25410.10836000005</x:v>
      </x:c>
      <x:c r="G25" s="75" t="n">
        <x:f>INDEX('Baseline'!$G$8:$G$39,MATCH(B25,'Baseline'!$A$8:$A$39,0))*0.35-D25</x:f>
        <x:v>1571.7592799999984</x:v>
      </x:c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</x:row>
    <x:row r="26" ht="23" customHeight="1">
      <x:c r="A26" s="58" t="str">
        <x:v>PO-019</x:v>
      </x:c>
      <x:c r="B26" s="58" t="str">
        <x:v>RC07</x:v>
      </x:c>
      <x:c r="C26" s="58" t="str">
        <x:v>Material supply</x:v>
      </x:c>
      <x:c r="D26" s="85" t="n">
        <x:v>22712.788799999988</x:v>
      </x:c>
      <x:c r="E26" s="71" t="n">
        <x:f>SUMIFS('Cost ledger'!$G$8:$G$415,'Cost ledger'!$B$8:$B$415,B26,'Cost ledger'!$D$8:$D$415,"BASE",'Cost ledger'!$C$8:$C$415,"&lt;="&amp;'Controls'!$B$8)*0.65</x:f>
        <x:v>12352.262831999991</x:v>
      </x:c>
      <x:c r="F26" s="72" t="n">
        <x:f>MAX(0,D26-E26)</x:f>
        <x:v>10360.525967999996</x:v>
      </x:c>
      <x:c r="G26" s="71" t="n">
        <x:f>INDEX('Baseline'!$G$8:$G$39,MATCH(B26,'Baseline'!$A$8:$A$39,0))*0.65-D26</x:f>
        <x:v>0</x:v>
      </x:c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7" ht="23" customHeight="1">
      <x:c r="A27" s="60" t="str">
        <x:v>PO-020</x:v>
      </x:c>
      <x:c r="B27" s="60" t="str">
        <x:v>RC07</x:v>
      </x:c>
      <x:c r="C27" s="60" t="str">
        <x:v>Installation</x:v>
      </x:c>
      <x:c r="D27" s="67" t="n">
        <x:v>12229.963199999991</x:v>
      </x:c>
      <x:c r="E27" s="75" t="n">
        <x:f>SUMIFS('Cost ledger'!$G$8:$G$415,'Cost ledger'!$B$8:$B$415,B27,'Cost ledger'!$D$8:$D$415,"BASE",'Cost ledger'!$C$8:$C$415,"&lt;="&amp;'Controls'!$B$8)*0.35</x:f>
        <x:v>6651.218447999994</x:v>
      </x:c>
      <x:c r="F27" s="76" t="n">
        <x:f>MAX(0,D27-E27)</x:f>
        <x:v>5578.744751999997</x:v>
      </x:c>
      <x:c r="G27" s="75" t="n">
        <x:f>INDEX('Baseline'!$G$8:$G$39,MATCH(B27,'Baseline'!$A$8:$A$39,0))*0.35-D27</x:f>
        <x:v>0</x:v>
      </x:c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</x:row>
    <x:row r="28" ht="23" customHeight="1">
      <x:c r="A28" s="58" t="str">
        <x:v>PO-021</x:v>
      </x:c>
      <x:c r="B28" s="58" t="str">
        <x:v>RC08</x:v>
      </x:c>
      <x:c r="C28" s="58" t="str">
        <x:v>Material supply</x:v>
      </x:c>
      <x:c r="D28" s="85" t="n">
        <x:v>51664.0761</x:v>
      </x:c>
      <x:c r="E28" s="71" t="n">
        <x:f>SUMIFS('Cost ledger'!$G$8:$G$415,'Cost ledger'!$B$8:$B$415,B28,'Cost ledger'!$D$8:$D$415,"BASE",'Cost ledger'!$C$8:$C$415,"&lt;="&amp;'Controls'!$B$8)*0.65</x:f>
        <x:v>52423.841924999986</x:v>
      </x:c>
      <x:c r="F28" s="72" t="n">
        <x:f>MAX(0,D28-E28)</x:f>
        <x:v>0</x:v>
      </x:c>
      <x:c r="G28" s="71" t="n">
        <x:f>INDEX('Baseline'!$G$8:$G$39,MATCH(B28,'Baseline'!$A$8:$A$39,0))*0.65-D28</x:f>
        <x:v>-1013.0210999999981</x:v>
      </x:c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</x:row>
    <x:row r="29" ht="23" customHeight="1">
      <x:c r="A29" s="60" t="str">
        <x:v>PO-022</x:v>
      </x:c>
      <x:c r="B29" s="60" t="str">
        <x:v>RC08</x:v>
      </x:c>
      <x:c r="C29" s="60" t="str">
        <x:v>Installation</x:v>
      </x:c>
      <x:c r="D29" s="67" t="n">
        <x:v>27819.117899999997</x:v>
      </x:c>
      <x:c r="E29" s="75" t="n">
        <x:f>SUMIFS('Cost ledger'!$G$8:$G$415,'Cost ledger'!$B$8:$B$415,B29,'Cost ledger'!$D$8:$D$415,"BASE",'Cost ledger'!$C$8:$C$415,"&lt;="&amp;'Controls'!$B$8)*0.35</x:f>
        <x:v>28228.222574999993</x:v>
      </x:c>
      <x:c r="F29" s="76" t="n">
        <x:f>MAX(0,D29-E29)</x:f>
        <x:v>0</x:v>
      </x:c>
      <x:c r="G29" s="75" t="n">
        <x:f>INDEX('Baseline'!$G$8:$G$39,MATCH(B29,'Baseline'!$A$8:$A$39,0))*0.35-D29</x:f>
        <x:v>-545.4729000000007</x:v>
      </x:c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</x:row>
    <x:row r="30" ht="23" customHeight="1">
      <x:c r="A30" s="58" t="str">
        <x:v>PO-023</x:v>
      </x:c>
      <x:c r="B30" s="58" t="str">
        <x:v>RC09</x:v>
      </x:c>
      <x:c r="C30" s="58" t="str">
        <x:v>Material supply</x:v>
      </x:c>
      <x:c r="D30" s="85" t="n">
        <x:v>243603.36000000002</x:v>
      </x:c>
      <x:c r="E30" s="71" t="n">
        <x:f>SUMIFS('Cost ledger'!$G$8:$G$415,'Cost ledger'!$B$8:$B$415,B30,'Cost ledger'!$D$8:$D$415,"BASE",'Cost ledger'!$C$8:$C$415,"&lt;="&amp;'Controls'!$B$8)*0.65</x:f>
        <x:v>248288.04000000004</x:v>
      </x:c>
      <x:c r="F30" s="72" t="n">
        <x:f>MAX(0,D30-E30)</x:f>
        <x:v>0</x:v>
      </x:c>
      <x:c r="G30" s="71" t="n">
        <x:f>INDEX('Baseline'!$G$8:$G$39,MATCH(B30,'Baseline'!$A$8:$A$39,0))*0.65-D30</x:f>
        <x:v>-9369.360000000015</x:v>
      </x:c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</x:row>
    <x:row r="31" ht="23" customHeight="1">
      <x:c r="A31" s="60" t="str">
        <x:v>PO-024</x:v>
      </x:c>
      <x:c r="B31" s="60" t="str">
        <x:v>RC09</x:v>
      </x:c>
      <x:c r="C31" s="60" t="str">
        <x:v>Installation</x:v>
      </x:c>
      <x:c r="D31" s="67" t="n">
        <x:v>131171.03999999998</x:v>
      </x:c>
      <x:c r="E31" s="75" t="n">
        <x:f>SUMIFS('Cost ledger'!$G$8:$G$415,'Cost ledger'!$B$8:$B$415,B31,'Cost ledger'!$D$8:$D$415,"BASE",'Cost ledger'!$C$8:$C$415,"&lt;="&amp;'Controls'!$B$8)*0.35</x:f>
        <x:v>133693.56</x:v>
      </x:c>
      <x:c r="F31" s="76" t="n">
        <x:f>MAX(0,D31-E31)</x:f>
        <x:v>0</x:v>
      </x:c>
      <x:c r="G31" s="75" t="n">
        <x:f>INDEX('Baseline'!$G$8:$G$39,MATCH(B31,'Baseline'!$A$8:$A$39,0))*0.35-D31</x:f>
        <x:v>-5045.039999999994</x:v>
      </x:c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</x:row>
    <x:row r="32" ht="23" customHeight="1">
      <x:c r="A32" s="58" t="str">
        <x:v>PO-025</x:v>
      </x:c>
      <x:c r="B32" s="58" t="str">
        <x:v>RB01</x:v>
      </x:c>
      <x:c r="C32" s="58" t="str">
        <x:v>Material supply</x:v>
      </x:c>
      <x:c r="D32" s="85" t="n">
        <x:v>2563352.1356087397</x:v>
      </x:c>
      <x:c r="E32" s="71" t="n">
        <x:f>SUMIFS('Cost ledger'!$G$8:$G$415,'Cost ledger'!$B$8:$B$415,B32,'Cost ledger'!$D$8:$D$415,"BASE",'Cost ledger'!$C$8:$C$415,"&lt;="&amp;'Controls'!$B$8)*0.65</x:f>
        <x:v>1773748.1295506908</x:v>
      </x:c>
      <x:c r="F32" s="72" t="n">
        <x:f>MAX(0,D32-E32)</x:f>
        <x:v>789604.0060580489</x:v>
      </x:c>
      <x:c r="G32" s="71" t="n">
        <x:f>INDEX('Baseline'!$G$8:$G$39,MATCH(B32,'Baseline'!$A$8:$A$39,0))*0.65-D32</x:f>
        <x:v>52313.308889974374</x:v>
      </x:c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</x:row>
    <x:row r="33" ht="23" customHeight="1">
      <x:c r="A33" s="60" t="str">
        <x:v>PO-026</x:v>
      </x:c>
      <x:c r="B33" s="60" t="str">
        <x:v>RB01</x:v>
      </x:c>
      <x:c r="C33" s="60" t="str">
        <x:v>Installation</x:v>
      </x:c>
      <x:c r="D33" s="67" t="n">
        <x:v>1380266.534558552</x:v>
      </x:c>
      <x:c r="E33" s="75" t="n">
        <x:f>SUMIFS('Cost ledger'!$G$8:$G$415,'Cost ledger'!$B$8:$B$415,B33,'Cost ledger'!$D$8:$D$415,"BASE",'Cost ledger'!$C$8:$C$415,"&lt;="&amp;'Controls'!$B$8)*0.35</x:f>
        <x:v>955095.1466811411</x:v>
      </x:c>
      <x:c r="F33" s="76" t="n">
        <x:f>MAX(0,D33-E33)</x:f>
        <x:v>425171.387877411</x:v>
      </x:c>
      <x:c r="G33" s="75" t="n">
        <x:f>INDEX('Baseline'!$G$8:$G$39,MATCH(B33,'Baseline'!$A$8:$A$39,0))*0.35-D33</x:f>
        <x:v>28168.70478690928</x:v>
      </x:c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</x:row>
    <x:row r="34" ht="23" customHeight="1">
      <x:c r="A34" s="58" t="str">
        <x:v>PO-027</x:v>
      </x:c>
      <x:c r="B34" s="58" t="str">
        <x:v>FW01</x:v>
      </x:c>
      <x:c r="C34" s="58" t="str">
        <x:v>Material supply</x:v>
      </x:c>
      <x:c r="D34" s="85" t="n">
        <x:v>686138.310000001</x:v>
      </x:c>
      <x:c r="E34" s="71" t="n">
        <x:f>SUMIFS('Cost ledger'!$G$8:$G$415,'Cost ledger'!$B$8:$B$415,B34,'Cost ledger'!$D$8:$D$415,"BASE",'Cost ledger'!$C$8:$C$415,"&lt;="&amp;'Controls'!$B$8)*0.65</x:f>
        <x:v>444274.5557250007</x:v>
      </x:c>
      <x:c r="F34" s="72" t="n">
        <x:f>MAX(0,D34-E34)</x:f>
        <x:v>241863.7542750003</x:v>
      </x:c>
      <x:c r="G34" s="71" t="n">
        <x:f>INDEX('Baseline'!$G$8:$G$39,MATCH(B34,'Baseline'!$A$8:$A$39,0))*0.65-D34</x:f>
        <x:v>0</x:v>
      </x:c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</x:row>
    <x:row r="35" ht="23" customHeight="1">
      <x:c r="A35" s="60" t="str">
        <x:v>PO-028</x:v>
      </x:c>
      <x:c r="B35" s="60" t="str">
        <x:v>FW01</x:v>
      </x:c>
      <x:c r="C35" s="60" t="str">
        <x:v>Installation</x:v>
      </x:c>
      <x:c r="D35" s="67" t="n">
        <x:v>369459.0900000005</x:v>
      </x:c>
      <x:c r="E35" s="75" t="n">
        <x:f>SUMIFS('Cost ledger'!$G$8:$G$415,'Cost ledger'!$B$8:$B$415,B35,'Cost ledger'!$D$8:$D$415,"BASE",'Cost ledger'!$C$8:$C$415,"&lt;="&amp;'Controls'!$B$8)*0.35</x:f>
        <x:v>239224.76077500032</x:v>
      </x:c>
      <x:c r="F35" s="76" t="n">
        <x:f>MAX(0,D35-E35)</x:f>
        <x:v>130234.32922500017</x:v>
      </x:c>
      <x:c r="G35" s="75" t="n">
        <x:f>INDEX('Baseline'!$G$8:$G$39,MATCH(B35,'Baseline'!$A$8:$A$39,0))*0.35-D35</x:f>
        <x:v>0</x:v>
      </x:c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</x:row>
    <x:row r="36" ht="23" customHeight="1">
      <x:c r="A36" s="58" t="str">
        <x:v>PO-029</x:v>
      </x:c>
      <x:c r="B36" s="58" t="str">
        <x:v>FW02</x:v>
      </x:c>
      <x:c r="C36" s="58" t="str">
        <x:v>Material supply</x:v>
      </x:c>
      <x:c r="D36" s="85" t="n">
        <x:v>384101.59787999943</x:v>
      </x:c>
      <x:c r="E36" s="71" t="n">
        <x:f>SUMIFS('Cost ledger'!$G$8:$G$415,'Cost ledger'!$B$8:$B$415,B36,'Cost ledger'!$D$8:$D$415,"BASE",'Cost ledger'!$C$8:$C$415,"&lt;="&amp;'Controls'!$B$8)*0.65</x:f>
        <x:v>204552.9293807997</x:v>
      </x:c>
      <x:c r="F36" s="72" t="n">
        <x:f>MAX(0,D36-E36)</x:f>
        <x:v>179548.66849919973</x:v>
      </x:c>
      <x:c r="G36" s="71" t="n">
        <x:f>INDEX('Baseline'!$G$8:$G$39,MATCH(B36,'Baseline'!$A$8:$A$39,0))*0.65-D36</x:f>
        <x:v>-7531.403879999998</x:v>
      </x:c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</x:row>
    <x:row r="37" ht="23" customHeight="1">
      <x:c r="A37" s="60" t="str">
        <x:v>PO-030</x:v>
      </x:c>
      <x:c r="B37" s="60" t="str">
        <x:v>FW02</x:v>
      </x:c>
      <x:c r="C37" s="60" t="str">
        <x:v>Installation</x:v>
      </x:c>
      <x:c r="D37" s="67" t="n">
        <x:v>206823.93731999968</x:v>
      </x:c>
      <x:c r="E37" s="75" t="n">
        <x:f>SUMIFS('Cost ledger'!$G$8:$G$415,'Cost ledger'!$B$8:$B$415,B37,'Cost ledger'!$D$8:$D$415,"BASE",'Cost ledger'!$C$8:$C$415,"&lt;="&amp;'Controls'!$B$8)*0.35</x:f>
        <x:v>110143.88505119983</x:v>
      </x:c>
      <x:c r="F37" s="76" t="n">
        <x:f>MAX(0,D37-E37)</x:f>
        <x:v>96680.05226879985</x:v>
      </x:c>
      <x:c r="G37" s="75" t="n">
        <x:f>INDEX('Baseline'!$G$8:$G$39,MATCH(B37,'Baseline'!$A$8:$A$39,0))*0.35-D37</x:f>
        <x:v>-4055.3713200000057</x:v>
      </x:c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</x:row>
    <x:row r="38" ht="23" customHeight="1">
      <x:c r="A38" s="58" t="str">
        <x:v>PO-031</x:v>
      </x:c>
      <x:c r="B38" s="58" t="str">
        <x:v>FW03</x:v>
      </x:c>
      <x:c r="C38" s="58" t="str">
        <x:v>Material supply</x:v>
      </x:c>
      <x:c r="D38" s="85" t="n">
        <x:v>254549.69279999967</x:v>
      </x:c>
      <x:c r="E38" s="71" t="n">
        <x:f>SUMIFS('Cost ledger'!$G$8:$G$415,'Cost ledger'!$B$8:$B$415,B38,'Cost ledger'!$D$8:$D$415,"BASE",'Cost ledger'!$C$8:$C$415,"&lt;="&amp;'Controls'!$B$8)*0.65</x:f>
        <x:v>140634.62594999984</x:v>
      </x:c>
      <x:c r="F38" s="72" t="n">
        <x:f>MAX(0,D38-E38)</x:f>
        <x:v>113915.06684999983</x:v>
      </x:c>
      <x:c r="G38" s="71" t="n">
        <x:f>INDEX('Baseline'!$G$8:$G$39,MATCH(B38,'Baseline'!$A$8:$A$39,0))*0.65-D38</x:f>
        <x:v>-9790.372799999983</x:v>
      </x:c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</x:row>
    <x:row r="39" ht="23" customHeight="1">
      <x:c r="A39" s="60" t="str">
        <x:v>PO-032</x:v>
      </x:c>
      <x:c r="B39" s="60" t="str">
        <x:v>FW03</x:v>
      </x:c>
      <x:c r="C39" s="60" t="str">
        <x:v>Installation</x:v>
      </x:c>
      <x:c r="D39" s="67" t="n">
        <x:v>137065.21919999985</x:v>
      </x:c>
      <x:c r="E39" s="75" t="n">
        <x:f>SUMIFS('Cost ledger'!$G$8:$G$415,'Cost ledger'!$B$8:$B$415,B39,'Cost ledger'!$D$8:$D$415,"BASE",'Cost ledger'!$C$8:$C$415,"&lt;="&amp;'Controls'!$B$8)*0.35</x:f>
        <x:v>75726.3370499999</x:v>
      </x:c>
      <x:c r="F39" s="76" t="n">
        <x:f>MAX(0,D39-E39)</x:f>
        <x:v>61338.88214999995</x:v>
      </x:c>
      <x:c r="G39" s="75" t="n">
        <x:f>INDEX('Baseline'!$G$8:$G$39,MATCH(B39,'Baseline'!$A$8:$A$39,0))*0.35-D39</x:f>
        <x:v>-5271.739200000011</x:v>
      </x:c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</x:row>
    <x:row r="40" ht="23" customHeight="1">
      <x:c r="A40" s="58" t="str">
        <x:v>PO-033</x:v>
      </x:c>
      <x:c r="B40" s="58" t="str">
        <x:v>FW04</x:v>
      </x:c>
      <x:c r="C40" s="58" t="str">
        <x:v>Material supply</x:v>
      </x:c>
      <x:c r="D40" s="85" t="n">
        <x:v>177677.13600000026</x:v>
      </x:c>
      <x:c r="E40" s="71" t="n">
        <x:f>SUMIFS('Cost ledger'!$G$8:$G$415,'Cost ledger'!$B$8:$B$415,B40,'Cost ledger'!$D$8:$D$415,"BASE",'Cost ledger'!$C$8:$C$415,"&lt;="&amp;'Controls'!$B$8)*0.65</x:f>
        <x:v>122077.48800000017</x:v>
      </x:c>
      <x:c r="F40" s="72" t="n">
        <x:f>MAX(0,D40-E40)</x:f>
        <x:v>55599.64800000009</x:v>
      </x:c>
      <x:c r="G40" s="71" t="n">
        <x:f>INDEX('Baseline'!$G$8:$G$39,MATCH(B40,'Baseline'!$A$8:$A$39,0))*0.65-D40</x:f>
        <x:v>3626.064000000013</x:v>
      </x:c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</x:row>
    <x:row r="41" ht="23" customHeight="1">
      <x:c r="A41" s="60" t="str">
        <x:v>PO-034</x:v>
      </x:c>
      <x:c r="B41" s="60" t="str">
        <x:v>FW04</x:v>
      </x:c>
      <x:c r="C41" s="60" t="str">
        <x:v>Installation</x:v>
      </x:c>
      <x:c r="D41" s="67" t="n">
        <x:v>95672.30400000013</x:v>
      </x:c>
      <x:c r="E41" s="75" t="n">
        <x:f>SUMIFS('Cost ledger'!$G$8:$G$415,'Cost ledger'!$B$8:$B$415,B41,'Cost ledger'!$D$8:$D$415,"BASE",'Cost ledger'!$C$8:$C$415,"&lt;="&amp;'Controls'!$B$8)*0.35</x:f>
        <x:v>65734.03200000008</x:v>
      </x:c>
      <x:c r="F41" s="76" t="n">
        <x:f>MAX(0,D41-E41)</x:f>
        <x:v>29938.272000000055</x:v>
      </x:c>
      <x:c r="G41" s="75" t="n">
        <x:f>INDEX('Baseline'!$G$8:$G$39,MATCH(B41,'Baseline'!$A$8:$A$39,0))*0.35-D41</x:f>
        <x:v>1952.4959999999992</x:v>
      </x:c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</x:row>
    <x:row r="42" ht="23" customHeight="1">
      <x:c r="A42" s="58" t="str">
        <x:v>PO-035</x:v>
      </x:c>
      <x:c r="B42" s="58" t="str">
        <x:v>FW05</x:v>
      </x:c>
      <x:c r="C42" s="58" t="str">
        <x:v>Material supply</x:v>
      </x:c>
      <x:c r="D42" s="85" t="n">
        <x:v>50106.420000000006</x:v>
      </x:c>
      <x:c r="E42" s="71" t="n">
        <x:f>SUMIFS('Cost ledger'!$G$8:$G$415,'Cost ledger'!$B$8:$B$415,B42,'Cost ledger'!$D$8:$D$415,"BASE",'Cost ledger'!$C$8:$C$415,"&lt;="&amp;'Controls'!$B$8)*0.65</x:f>
        <x:v>51860.144700000004</x:v>
      </x:c>
      <x:c r="F42" s="72" t="n">
        <x:f>MAX(0,D42-E42)</x:f>
        <x:v>0</x:v>
      </x:c>
      <x:c r="G42" s="71" t="n">
        <x:f>INDEX('Baseline'!$G$8:$G$39,MATCH(B42,'Baseline'!$A$8:$A$39,0))*0.65-D42</x:f>
        <x:v>0</x:v>
      </x:c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</x:row>
    <x:row r="43" ht="23" customHeight="1">
      <x:c r="A43" s="60" t="str">
        <x:v>PO-036</x:v>
      </x:c>
      <x:c r="B43" s="60" t="str">
        <x:v>FW05</x:v>
      </x:c>
      <x:c r="C43" s="60" t="str">
        <x:v>Installation</x:v>
      </x:c>
      <x:c r="D43" s="67" t="n">
        <x:v>26980.38</x:v>
      </x:c>
      <x:c r="E43" s="75" t="n">
        <x:f>SUMIFS('Cost ledger'!$G$8:$G$415,'Cost ledger'!$B$8:$B$415,B43,'Cost ledger'!$D$8:$D$415,"BASE",'Cost ledger'!$C$8:$C$415,"&lt;="&amp;'Controls'!$B$8)*0.35</x:f>
        <x:v>27924.6933</x:v>
      </x:c>
      <x:c r="F43" s="76" t="n">
        <x:f>MAX(0,D43-E43)</x:f>
        <x:v>0</x:v>
      </x:c>
      <x:c r="G43" s="75" t="n">
        <x:f>INDEX('Baseline'!$G$8:$G$39,MATCH(B43,'Baseline'!$A$8:$A$39,0))*0.35-D43</x:f>
        <x:v>0</x:v>
      </x:c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</x:row>
    <x:row r="44" ht="23" customHeight="1">
      <x:c r="A44" s="58" t="str">
        <x:v>PO-037</x:v>
      </x:c>
      <x:c r="B44" s="58" t="str">
        <x:v>FW06</x:v>
      </x:c>
      <x:c r="C44" s="58" t="str">
        <x:v>Material supply</x:v>
      </x:c>
      <x:c r="D44" s="85" t="n">
        <x:v>147026.88</x:v>
      </x:c>
      <x:c r="E44" s="71" t="n">
        <x:f>SUMIFS('Cost ledger'!$G$8:$G$415,'Cost ledger'!$B$8:$B$415,B44,'Cost ledger'!$D$8:$D$415,"BASE",'Cost ledger'!$C$8:$C$415,"&lt;="&amp;'Controls'!$B$8)*0.65</x:f>
        <x:v>152792.64</x:v>
      </x:c>
      <x:c r="F44" s="72" t="n">
        <x:f>MAX(0,D44-E44)</x:f>
        <x:v>0</x:v>
      </x:c>
      <x:c r="G44" s="71" t="n">
        <x:f>INDEX('Baseline'!$G$8:$G$39,MATCH(B44,'Baseline'!$A$8:$A$39,0))*0.65-D44</x:f>
        <x:v>-2882.8800000000047</x:v>
      </x:c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</x:row>
    <x:row r="45" ht="23" customHeight="1">
      <x:c r="A45" s="60" t="str">
        <x:v>PO-038</x:v>
      </x:c>
      <x:c r="B45" s="60" t="str">
        <x:v>FW06</x:v>
      </x:c>
      <x:c r="C45" s="60" t="str">
        <x:v>Installation</x:v>
      </x:c>
      <x:c r="D45" s="67" t="n">
        <x:v>79168.32</x:v>
      </x:c>
      <x:c r="E45" s="75" t="n">
        <x:f>SUMIFS('Cost ledger'!$G$8:$G$415,'Cost ledger'!$B$8:$B$415,B45,'Cost ledger'!$D$8:$D$415,"BASE",'Cost ledger'!$C$8:$C$415,"&lt;="&amp;'Controls'!$B$8)*0.35</x:f>
        <x:v>82272.95999999999</x:v>
      </x:c>
      <x:c r="F45" s="76" t="n">
        <x:f>MAX(0,D45-E45)</x:f>
        <x:v>0</x:v>
      </x:c>
      <x:c r="G45" s="75" t="n">
        <x:f>INDEX('Baseline'!$G$8:$G$39,MATCH(B45,'Baseline'!$A$8:$A$39,0))*0.35-D45</x:f>
        <x:v>-1552.320000000007</x:v>
      </x:c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</x:row>
    <x:row r="46" ht="23" customHeight="1">
      <x:c r="A46" s="58" t="str">
        <x:v>PO-039</x:v>
      </x:c>
      <x:c r="B46" s="58" t="str">
        <x:v>EN01</x:v>
      </x:c>
      <x:c r="C46" s="58" t="str">
        <x:v>Material supply</x:v>
      </x:c>
      <x:c r="D46" s="85" t="n">
        <x:v>195661.44</x:v>
      </x:c>
      <x:c r="E46" s="71" t="n">
        <x:f>SUMIFS('Cost ledger'!$G$8:$G$415,'Cost ledger'!$B$8:$B$415,B46,'Cost ledger'!$D$8:$D$415,"BASE",'Cost ledger'!$C$8:$C$415,"&lt;="&amp;'Controls'!$B$8)*0.65</x:f>
        <x:v>204127.56000000003</x:v>
      </x:c>
      <x:c r="F46" s="72" t="n">
        <x:f>MAX(0,D46-E46)</x:f>
        <x:v>0</x:v>
      </x:c>
      <x:c r="G46" s="71" t="n">
        <x:f>INDEX('Baseline'!$G$8:$G$39,MATCH(B46,'Baseline'!$A$8:$A$39,0))*0.65-D46</x:f>
        <x:v>-7525.440000000002</x:v>
      </x:c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</x:row>
    <x:row r="47" ht="23" customHeight="1">
      <x:c r="A47" s="60" t="str">
        <x:v>PO-040</x:v>
      </x:c>
      <x:c r="B47" s="60" t="str">
        <x:v>EN01</x:v>
      </x:c>
      <x:c r="C47" s="60" t="str">
        <x:v>Installation</x:v>
      </x:c>
      <x:c r="D47" s="67" t="n">
        <x:v>105356.16</x:v>
      </x:c>
      <x:c r="E47" s="75" t="n">
        <x:f>SUMIFS('Cost ledger'!$G$8:$G$415,'Cost ledger'!$B$8:$B$415,B47,'Cost ledger'!$D$8:$D$415,"BASE",'Cost ledger'!$C$8:$C$415,"&lt;="&amp;'Controls'!$B$8)*0.35</x:f>
        <x:v>109914.84</x:v>
      </x:c>
      <x:c r="F47" s="76" t="n">
        <x:f>MAX(0,D47-E47)</x:f>
        <x:v>0</x:v>
      </x:c>
      <x:c r="G47" s="75" t="n">
        <x:f>INDEX('Baseline'!$G$8:$G$39,MATCH(B47,'Baseline'!$A$8:$A$39,0))*0.35-D47</x:f>
        <x:v>-4052.1600000000035</x:v>
      </x:c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</x:row>
    <x:row r="48" ht="23" customHeight="1">
      <x:c r="A48" s="58" t="str">
        <x:v>PO-041</x:v>
      </x:c>
      <x:c r="B48" s="58" t="str">
        <x:v>EN02</x:v>
      </x:c>
      <x:c r="C48" s="58" t="str">
        <x:v>Material supply</x:v>
      </x:c>
      <x:c r="D48" s="85" t="n">
        <x:v>183456</x:v>
      </x:c>
      <x:c r="E48" s="71" t="n">
        <x:f>SUMIFS('Cost ledger'!$G$8:$G$415,'Cost ledger'!$B$8:$B$415,B48,'Cost ledger'!$D$8:$D$415,"BASE",'Cost ledger'!$C$8:$C$415,"&lt;="&amp;'Controls'!$B$8)*0.65</x:f>
        <x:v>0</x:v>
      </x:c>
      <x:c r="F48" s="72" t="n">
        <x:f>MAX(0,D48-E48)</x:f>
        <x:v>183456</x:v>
      </x:c>
      <x:c r="G48" s="71" t="n">
        <x:f>INDEX('Baseline'!$G$8:$G$39,MATCH(B48,'Baseline'!$A$8:$A$39,0))*0.65-D48</x:f>
        <x:v>3744</x:v>
      </x:c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</x:row>
    <x:row r="49" ht="23" customHeight="1">
      <x:c r="A49" s="60" t="str">
        <x:v>PO-042</x:v>
      </x:c>
      <x:c r="B49" s="60" t="str">
        <x:v>EN02</x:v>
      </x:c>
      <x:c r="C49" s="60" t="str">
        <x:v>Installation</x:v>
      </x:c>
      <x:c r="D49" s="67" t="n">
        <x:v>98784</x:v>
      </x:c>
      <x:c r="E49" s="75" t="n">
        <x:f>SUMIFS('Cost ledger'!$G$8:$G$415,'Cost ledger'!$B$8:$B$415,B49,'Cost ledger'!$D$8:$D$415,"BASE",'Cost ledger'!$C$8:$C$415,"&lt;="&amp;'Controls'!$B$8)*0.35</x:f>
        <x:v>0</x:v>
      </x:c>
      <x:c r="F49" s="76" t="n">
        <x:f>MAX(0,D49-E49)</x:f>
        <x:v>98784</x:v>
      </x:c>
      <x:c r="G49" s="75" t="n">
        <x:f>INDEX('Baseline'!$G$8:$G$39,MATCH(B49,'Baseline'!$A$8:$A$39,0))*0.35-D49</x:f>
        <x:v>2016</x:v>
      </x:c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</x:row>
    <x:row r="50" ht="23" customHeight="1">
      <x:c r="A50" s="58" t="str">
        <x:v>PO-043</x:v>
      </x:c>
      <x:c r="B50" s="58" t="str">
        <x:v>EN03</x:v>
      </x:c>
      <x:c r="C50" s="58" t="str">
        <x:v>Material supply</x:v>
      </x:c>
      <x:c r="D50" s="85" t="n">
        <x:v>1059725.7215999998</x:v>
      </x:c>
      <x:c r="E50" s="71" t="n">
        <x:f>SUMIFS('Cost ledger'!$G$8:$G$415,'Cost ledger'!$B$8:$B$415,B50,'Cost ledger'!$D$8:$D$415,"BASE",'Cost ledger'!$C$8:$C$415,"&lt;="&amp;'Controls'!$B$8)*0.65</x:f>
        <x:v>89710.59926853818</x:v>
      </x:c>
      <x:c r="F50" s="72" t="n">
        <x:f>MAX(0,D50-E50)</x:f>
        <x:v>970015.1223314616</x:v>
      </x:c>
      <x:c r="G50" s="71" t="n">
        <x:f>INDEX('Baseline'!$G$8:$G$39,MATCH(B50,'Baseline'!$A$8:$A$39,0))*0.65-D50</x:f>
        <x:v>0</x:v>
      </x:c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</x:row>
    <x:row r="51" ht="23" customHeight="1">
      <x:c r="A51" s="60" t="str">
        <x:v>PO-044</x:v>
      </x:c>
      <x:c r="B51" s="60" t="str">
        <x:v>EN03</x:v>
      </x:c>
      <x:c r="C51" s="60" t="str">
        <x:v>Installation</x:v>
      </x:c>
      <x:c r="D51" s="67" t="n">
        <x:v>570621.5423999999</x:v>
      </x:c>
      <x:c r="E51" s="75" t="n">
        <x:f>SUMIFS('Cost ledger'!$G$8:$G$415,'Cost ledger'!$B$8:$B$415,B51,'Cost ledger'!$D$8:$D$415,"BASE",'Cost ledger'!$C$8:$C$415,"&lt;="&amp;'Controls'!$B$8)*0.35</x:f>
        <x:v>48305.70729844363</x:v>
      </x:c>
      <x:c r="F51" s="76" t="n">
        <x:f>MAX(0,D51-E51)</x:f>
        <x:v>522315.83510155627</x:v>
      </x:c>
      <x:c r="G51" s="75" t="n">
        <x:f>INDEX('Baseline'!$G$8:$G$39,MATCH(B51,'Baseline'!$A$8:$A$39,0))*0.35-D51</x:f>
        <x:v>0</x:v>
      </x:c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</x:row>
    <x:row r="52" ht="23" customHeight="1">
      <x:c r="A52" s="58" t="str">
        <x:v>PO-045</x:v>
      </x:c>
      <x:c r="B52" s="58" t="str">
        <x:v>EN04</x:v>
      </x:c>
      <x:c r="C52" s="58" t="str">
        <x:v>Material supply</x:v>
      </x:c>
      <x:c r="D52" s="85" t="n">
        <x:v>1100937.2774400003</x:v>
      </x:c>
      <x:c r="E52" s="71" t="n">
        <x:f>SUMIFS('Cost ledger'!$G$8:$G$415,'Cost ledger'!$B$8:$B$415,B52,'Cost ledger'!$D$8:$D$415,"BASE",'Cost ledger'!$C$8:$C$415,"&lt;="&amp;'Controls'!$B$8)*0.65</x:f>
        <x:v>0</x:v>
      </x:c>
      <x:c r="F52" s="72" t="n">
        <x:f>MAX(0,D52-E52)</x:f>
        <x:v>1100937.2774400003</x:v>
      </x:c>
      <x:c r="G52" s="71" t="n">
        <x:f>INDEX('Baseline'!$G$8:$G$39,MATCH(B52,'Baseline'!$A$8:$A$39,0))*0.65-D52</x:f>
        <x:v>-21587.00543999998</x:v>
      </x:c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</x:row>
    <x:row r="53" ht="23" customHeight="1">
      <x:c r="A53" s="60" t="str">
        <x:v>PO-046</x:v>
      </x:c>
      <x:c r="B53" s="60" t="str">
        <x:v>EN04</x:v>
      </x:c>
      <x:c r="C53" s="60" t="str">
        <x:v>Installation</x:v>
      </x:c>
      <x:c r="D53" s="67" t="n">
        <x:v>592812.3801600002</x:v>
      </x:c>
      <x:c r="E53" s="75" t="n">
        <x:f>SUMIFS('Cost ledger'!$G$8:$G$415,'Cost ledger'!$B$8:$B$415,B53,'Cost ledger'!$D$8:$D$415,"BASE",'Cost ledger'!$C$8:$C$415,"&lt;="&amp;'Controls'!$B$8)*0.35</x:f>
        <x:v>0</x:v>
      </x:c>
      <x:c r="F53" s="76" t="n">
        <x:f>MAX(0,D53-E53)</x:f>
        <x:v>592812.3801600002</x:v>
      </x:c>
      <x:c r="G53" s="75" t="n">
        <x:f>INDEX('Baseline'!$G$8:$G$39,MATCH(B53,'Baseline'!$A$8:$A$39,0))*0.35-D53</x:f>
        <x:v>-11623.772160000051</x:v>
      </x:c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</x:row>
    <x:row r="54" ht="23" customHeight="1">
      <x:c r="A54" s="58" t="str">
        <x:v>PO-047</x:v>
      </x:c>
      <x:c r="B54" s="58" t="str">
        <x:v>AR01</x:v>
      </x:c>
      <x:c r="C54" s="58" t="str">
        <x:v>Material supply</x:v>
      </x:c>
      <x:c r="D54" s="85" t="n">
        <x:v>643506.7485600001</x:v>
      </x:c>
      <x:c r="E54" s="71" t="n">
        <x:f>SUMIFS('Cost ledger'!$G$8:$G$415,'Cost ledger'!$B$8:$B$415,B54,'Cost ledger'!$D$8:$D$415,"BASE",'Cost ledger'!$C$8:$C$415,"&lt;="&amp;'Controls'!$B$8)*0.65</x:f>
        <x:v>208314.68463</x:v>
      </x:c>
      <x:c r="F54" s="72" t="n">
        <x:f>MAX(0,D54-E54)</x:f>
        <x:v>435192.06393000006</x:v>
      </x:c>
      <x:c r="G54" s="71" t="n">
        <x:f>INDEX('Baseline'!$G$8:$G$39,MATCH(B54,'Baseline'!$A$8:$A$39,0))*0.65-D54</x:f>
        <x:v>-24750.259560000035</x:v>
      </x:c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</x:row>
    <x:row r="55" ht="23" customHeight="1">
      <x:c r="A55" s="60" t="str">
        <x:v>PO-048</x:v>
      </x:c>
      <x:c r="B55" s="60" t="str">
        <x:v>AR01</x:v>
      </x:c>
      <x:c r="C55" s="60" t="str">
        <x:v>Installation</x:v>
      </x:c>
      <x:c r="D55" s="67" t="n">
        <x:v>346503.63384</x:v>
      </x:c>
      <x:c r="E55" s="75" t="n">
        <x:f>SUMIFS('Cost ledger'!$G$8:$G$415,'Cost ledger'!$B$8:$B$415,B55,'Cost ledger'!$D$8:$D$415,"BASE",'Cost ledger'!$C$8:$C$415,"&lt;="&amp;'Controls'!$B$8)*0.35</x:f>
        <x:v>112169.44557</x:v>
      </x:c>
      <x:c r="F55" s="76" t="n">
        <x:f>MAX(0,D55-E55)</x:f>
        <x:v>234334.18827000004</x:v>
      </x:c>
      <x:c r="G55" s="75" t="n">
        <x:f>INDEX('Baseline'!$G$8:$G$39,MATCH(B55,'Baseline'!$A$8:$A$39,0))*0.35-D55</x:f>
        <x:v>-13327.062840000028</x:v>
      </x:c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</x:row>
    <x:row r="56" ht="23" customHeight="1">
      <x:c r="A56" s="58" t="str">
        <x:v>PO-049</x:v>
      </x:c>
      <x:c r="B56" s="58" t="str">
        <x:v>AR02</x:v>
      </x:c>
      <x:c r="C56" s="58" t="str">
        <x:v>Material supply</x:v>
      </x:c>
      <x:c r="D56" s="85" t="n">
        <x:v>748618.9620000004</x:v>
      </x:c>
      <x:c r="E56" s="71" t="n">
        <x:f>SUMIFS('Cost ledger'!$G$8:$G$415,'Cost ledger'!$B$8:$B$415,B56,'Cost ledger'!$D$8:$D$415,"BASE",'Cost ledger'!$C$8:$C$415,"&lt;="&amp;'Controls'!$B$8)*0.65</x:f>
        <x:v>71875.75377272729</x:v>
      </x:c>
      <x:c r="F56" s="72" t="n">
        <x:f>MAX(0,D56-E56)</x:f>
        <x:v>676743.2082272731</x:v>
      </x:c>
      <x:c r="G56" s="71" t="n">
        <x:f>INDEX('Baseline'!$G$8:$G$39,MATCH(B56,'Baseline'!$A$8:$A$39,0))*0.65-D56</x:f>
        <x:v>15277.937999999966</x:v>
      </x:c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</x:row>
    <x:row r="57" ht="23" customHeight="1">
      <x:c r="A57" s="60" t="str">
        <x:v>PO-050</x:v>
      </x:c>
      <x:c r="B57" s="60" t="str">
        <x:v>AR02</x:v>
      </x:c>
      <x:c r="C57" s="60" t="str">
        <x:v>Installation</x:v>
      </x:c>
      <x:c r="D57" s="67" t="n">
        <x:v>403102.51800000016</x:v>
      </x:c>
      <x:c r="E57" s="75" t="n">
        <x:f>SUMIFS('Cost ledger'!$G$8:$G$415,'Cost ledger'!$B$8:$B$415,B57,'Cost ledger'!$D$8:$D$415,"BASE",'Cost ledger'!$C$8:$C$415,"&lt;="&amp;'Controls'!$B$8)*0.35</x:f>
        <x:v>38702.32895454546</x:v>
      </x:c>
      <x:c r="F57" s="76" t="n">
        <x:f>MAX(0,D57-E57)</x:f>
        <x:v>364400.1890454547</x:v>
      </x:c>
      <x:c r="G57" s="75" t="n">
        <x:f>INDEX('Baseline'!$G$8:$G$39,MATCH(B57,'Baseline'!$A$8:$A$39,0))*0.35-D57</x:f>
        <x:v>8226.581999999995</x:v>
      </x:c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</x:row>
    <x:row r="58" ht="23" customHeight="1">
      <x:c r="A58" s="58" t="str">
        <x:v>PO-051</x:v>
      </x:c>
      <x:c r="B58" s="58" t="str">
        <x:v>AR03</x:v>
      </x:c>
      <x:c r="C58" s="58" t="str">
        <x:v>Material supply</x:v>
      </x:c>
      <x:c r="D58" s="85" t="n">
        <x:v>458733.60000000003</x:v>
      </x:c>
      <x:c r="E58" s="71" t="n">
        <x:f>SUMIFS('Cost ledger'!$G$8:$G$415,'Cost ledger'!$B$8:$B$415,B58,'Cost ledger'!$D$8:$D$415,"BASE",'Cost ledger'!$C$8:$C$415,"&lt;="&amp;'Controls'!$B$8)*0.65</x:f>
        <x:v>0</x:v>
      </x:c>
      <x:c r="F58" s="72" t="n">
        <x:f>MAX(0,D58-E58)</x:f>
        <x:v>458733.60000000003</x:v>
      </x:c>
      <x:c r="G58" s="71" t="n">
        <x:f>INDEX('Baseline'!$G$8:$G$39,MATCH(B58,'Baseline'!$A$8:$A$39,0))*0.65-D58</x:f>
        <x:v>0</x:v>
      </x:c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</x:row>
    <x:row r="59" ht="23" customHeight="1">
      <x:c r="A59" s="60" t="str">
        <x:v>PO-052</x:v>
      </x:c>
      <x:c r="B59" s="60" t="str">
        <x:v>AR03</x:v>
      </x:c>
      <x:c r="C59" s="60" t="str">
        <x:v>Installation</x:v>
      </x:c>
      <x:c r="D59" s="67" t="n">
        <x:v>247010.4</x:v>
      </x:c>
      <x:c r="E59" s="75" t="n">
        <x:f>SUMIFS('Cost ledger'!$G$8:$G$415,'Cost ledger'!$B$8:$B$415,B59,'Cost ledger'!$D$8:$D$415,"BASE",'Cost ledger'!$C$8:$C$415,"&lt;="&amp;'Controls'!$B$8)*0.35</x:f>
        <x:v>0</x:v>
      </x:c>
      <x:c r="F59" s="76" t="n">
        <x:f>MAX(0,D59-E59)</x:f>
        <x:v>247010.4</x:v>
      </x:c>
      <x:c r="G59" s="75" t="n">
        <x:f>INDEX('Baseline'!$G$8:$G$39,MATCH(B59,'Baseline'!$A$8:$A$39,0))*0.35-D59</x:f>
        <x:v>0</x:v>
      </x:c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</x:row>
    <x:row r="60" ht="23" customHeight="1">
      <x:c r="A60" s="58" t="str">
        <x:v>PO-053</x:v>
      </x:c>
      <x:c r="B60" s="58" t="str">
        <x:v>AR04</x:v>
      </x:c>
      <x:c r="C60" s="58" t="str">
        <x:v>Material supply</x:v>
      </x:c>
      <x:c r="D60" s="85" t="n">
        <x:v>1241756.5680000002</x:v>
      </x:c>
      <x:c r="E60" s="71" t="n">
        <x:f>SUMIFS('Cost ledger'!$G$8:$G$415,'Cost ledger'!$B$8:$B$415,B60,'Cost ledger'!$D$8:$D$415,"BASE",'Cost ledger'!$C$8:$C$415,"&lt;="&amp;'Controls'!$B$8)*0.65</x:f>
        <x:v>0</x:v>
      </x:c>
      <x:c r="F60" s="72" t="n">
        <x:f>MAX(0,D60-E60)</x:f>
        <x:v>1241756.5680000002</x:v>
      </x:c>
      <x:c r="G60" s="71" t="n">
        <x:f>INDEX('Baseline'!$G$8:$G$39,MATCH(B60,'Baseline'!$A$8:$A$39,0))*0.65-D60</x:f>
        <x:v>-24348.168000000063</x:v>
      </x:c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</x:row>
    <x:row r="61" ht="23" customHeight="1">
      <x:c r="A61" s="60" t="str">
        <x:v>PO-054</x:v>
      </x:c>
      <x:c r="B61" s="60" t="str">
        <x:v>AR04</x:v>
      </x:c>
      <x:c r="C61" s="60" t="str">
        <x:v>Installation</x:v>
      </x:c>
      <x:c r="D61" s="67" t="n">
        <x:v>668638.152</x:v>
      </x:c>
      <x:c r="E61" s="75" t="n">
        <x:f>SUMIFS('Cost ledger'!$G$8:$G$415,'Cost ledger'!$B$8:$B$415,B61,'Cost ledger'!$D$8:$D$415,"BASE",'Cost ledger'!$C$8:$C$415,"&lt;="&amp;'Controls'!$B$8)*0.35</x:f>
        <x:v>0</x:v>
      </x:c>
      <x:c r="F61" s="76" t="n">
        <x:f>MAX(0,D61-E61)</x:f>
        <x:v>668638.152</x:v>
      </x:c>
      <x:c r="G61" s="75" t="n">
        <x:f>INDEX('Baseline'!$G$8:$G$39,MATCH(B61,'Baseline'!$A$8:$A$39,0))*0.35-D61</x:f>
        <x:v>-13110.552000000025</x:v>
      </x:c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</x:row>
    <x:row r="62" ht="23" customHeight="1">
      <x:c r="A62" s="58" t="str">
        <x:v>PO-055</x:v>
      </x:c>
      <x:c r="B62" s="58" t="str">
        <x:v>AR05</x:v>
      </x:c>
      <x:c r="C62" s="58" t="str">
        <x:v>Material supply</x:v>
      </x:c>
      <x:c r="D62" s="85" t="n">
        <x:v>540227.8876800003</x:v>
      </x:c>
      <x:c r="E62" s="71" t="n">
        <x:f>SUMIFS('Cost ledger'!$G$8:$G$415,'Cost ledger'!$B$8:$B$415,B62,'Cost ledger'!$D$8:$D$415,"BASE",'Cost ledger'!$C$8:$C$415,"&lt;="&amp;'Controls'!$B$8)*0.65</x:f>
        <x:v>0</x:v>
      </x:c>
      <x:c r="F62" s="72" t="n">
        <x:f>MAX(0,D62-E62)</x:f>
        <x:v>540227.8876800003</x:v>
      </x:c>
      <x:c r="G62" s="71" t="n">
        <x:f>INDEX('Baseline'!$G$8:$G$39,MATCH(B62,'Baseline'!$A$8:$A$39,0))*0.65-D62</x:f>
        <x:v>-20777.99568000005</x:v>
      </x:c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</x:row>
    <x:row r="63" ht="23" customHeight="1">
      <x:c r="A63" s="60" t="str">
        <x:v>PO-056</x:v>
      </x:c>
      <x:c r="B63" s="60" t="str">
        <x:v>AR05</x:v>
      </x:c>
      <x:c r="C63" s="60" t="str">
        <x:v>Installation</x:v>
      </x:c>
      <x:c r="D63" s="67" t="n">
        <x:v>290891.9395200001</x:v>
      </x:c>
      <x:c r="E63" s="75" t="n">
        <x:f>SUMIFS('Cost ledger'!$G$8:$G$415,'Cost ledger'!$B$8:$B$415,B63,'Cost ledger'!$D$8:$D$415,"BASE",'Cost ledger'!$C$8:$C$415,"&lt;="&amp;'Controls'!$B$8)*0.35</x:f>
        <x:v>0</x:v>
      </x:c>
      <x:c r="F63" s="76" t="n">
        <x:f>MAX(0,D63-E63)</x:f>
        <x:v>290891.9395200001</x:v>
      </x:c>
      <x:c r="G63" s="75" t="n">
        <x:f>INDEX('Baseline'!$G$8:$G$39,MATCH(B63,'Baseline'!$A$8:$A$39,0))*0.35-D63</x:f>
        <x:v>-11188.151520000014</x:v>
      </x:c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</x:row>
    <x:row r="64" ht="23" customHeight="1">
      <x:c r="A64" s="58" t="str">
        <x:v>PO-057</x:v>
      </x:c>
      <x:c r="B64" s="58" t="str">
        <x:v>AR06</x:v>
      </x:c>
      <x:c r="C64" s="58" t="str">
        <x:v>Material supply</x:v>
      </x:c>
      <x:c r="D64" s="85" t="n">
        <x:v>287980.056</x:v>
      </x:c>
      <x:c r="E64" s="71" t="n">
        <x:f>SUMIFS('Cost ledger'!$G$8:$G$415,'Cost ledger'!$B$8:$B$415,B64,'Cost ledger'!$D$8:$D$415,"BASE",'Cost ledger'!$C$8:$C$415,"&lt;="&amp;'Controls'!$B$8)*0.65</x:f>
        <x:v>0</x:v>
      </x:c>
      <x:c r="F64" s="72" t="n">
        <x:f>MAX(0,D64-E64)</x:f>
        <x:v>287980.056</x:v>
      </x:c>
      <x:c r="G64" s="71" t="n">
        <x:f>INDEX('Baseline'!$G$8:$G$39,MATCH(B64,'Baseline'!$A$8:$A$39,0))*0.65-D64</x:f>
        <x:v>5877.144000000029</x:v>
      </x:c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</x:row>
    <x:row r="65" ht="23" customHeight="1">
      <x:c r="A65" s="60" t="str">
        <x:v>PO-058</x:v>
      </x:c>
      <x:c r="B65" s="60" t="str">
        <x:v>AR06</x:v>
      </x:c>
      <x:c r="C65" s="60" t="str">
        <x:v>Installation</x:v>
      </x:c>
      <x:c r="D65" s="67" t="n">
        <x:v>155066.18399999998</x:v>
      </x:c>
      <x:c r="E65" s="75" t="n">
        <x:f>SUMIFS('Cost ledger'!$G$8:$G$415,'Cost ledger'!$B$8:$B$415,B65,'Cost ledger'!$D$8:$D$415,"BASE",'Cost ledger'!$C$8:$C$415,"&lt;="&amp;'Controls'!$B$8)*0.35</x:f>
        <x:v>0</x:v>
      </x:c>
      <x:c r="F65" s="76" t="n">
        <x:f>MAX(0,D65-E65)</x:f>
        <x:v>155066.18399999998</x:v>
      </x:c>
      <x:c r="G65" s="75" t="n">
        <x:f>INDEX('Baseline'!$G$8:$G$39,MATCH(B65,'Baseline'!$A$8:$A$39,0))*0.35-D65</x:f>
        <x:v>3164.616000000009</x:v>
      </x:c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</x:row>
    <x:row r="66" ht="23" customHeight="1">
      <x:c r="A66" s="58" t="str">
        <x:v>PO-059</x:v>
      </x:c>
      <x:c r="B66" s="58" t="str">
        <x:v>EX01</x:v>
      </x:c>
      <x:c r="C66" s="58" t="str">
        <x:v>Material supply</x:v>
      </x:c>
      <x:c r="D66" s="85" t="n">
        <x:v>111150</x:v>
      </x:c>
      <x:c r="E66" s="71" t="n">
        <x:f>SUMIFS('Cost ledger'!$G$8:$G$415,'Cost ledger'!$B$8:$B$415,B66,'Cost ledger'!$D$8:$D$415,"BASE",'Cost ledger'!$C$8:$C$415,"&lt;="&amp;'Controls'!$B$8)*0.65</x:f>
        <x:v>0</x:v>
      </x:c>
      <x:c r="F66" s="72" t="n">
        <x:f>MAX(0,D66-E66)</x:f>
        <x:v>111150</x:v>
      </x:c>
      <x:c r="G66" s="71" t="n">
        <x:f>INDEX('Baseline'!$G$8:$G$39,MATCH(B66,'Baseline'!$A$8:$A$39,0))*0.65-D66</x:f>
        <x:v>0</x:v>
      </x:c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</x:row>
    <x:row r="67" ht="23" customHeight="1">
      <x:c r="A67" s="60" t="str">
        <x:v>PO-060</x:v>
      </x:c>
      <x:c r="B67" s="60" t="str">
        <x:v>EX01</x:v>
      </x:c>
      <x:c r="C67" s="60" t="str">
        <x:v>Installation</x:v>
      </x:c>
      <x:c r="D67" s="67" t="n">
        <x:v>59849.99999999999</x:v>
      </x:c>
      <x:c r="E67" s="75" t="n">
        <x:f>SUMIFS('Cost ledger'!$G$8:$G$415,'Cost ledger'!$B$8:$B$415,B67,'Cost ledger'!$D$8:$D$415,"BASE",'Cost ledger'!$C$8:$C$415,"&lt;="&amp;'Controls'!$B$8)*0.35</x:f>
        <x:v>0</x:v>
      </x:c>
      <x:c r="F67" s="76" t="n">
        <x:f>MAX(0,D67-E67)</x:f>
        <x:v>59849.99999999999</x:v>
      </x:c>
      <x:c r="G67" s="75" t="n">
        <x:f>INDEX('Baseline'!$G$8:$G$39,MATCH(B67,'Baseline'!$A$8:$A$39,0))*0.35-D67</x:f>
        <x:v>0</x:v>
      </x:c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</x:row>
    <x:row r="68" ht="23" customHeight="1">
      <x:c r="A68" s="58" t="str">
        <x:v>PO-061</x:v>
      </x:c>
      <x:c r="B68" s="58" t="str">
        <x:v>EX02</x:v>
      </x:c>
      <x:c r="C68" s="58" t="str">
        <x:v>Material supply</x:v>
      </x:c>
      <x:c r="D68" s="85" t="n">
        <x:v>42007.68</x:v>
      </x:c>
      <x:c r="E68" s="71" t="n">
        <x:f>SUMIFS('Cost ledger'!$G$8:$G$415,'Cost ledger'!$B$8:$B$415,B68,'Cost ledger'!$D$8:$D$415,"BASE",'Cost ledger'!$C$8:$C$415,"&lt;="&amp;'Controls'!$B$8)*0.65</x:f>
        <x:v>0</x:v>
      </x:c>
      <x:c r="F68" s="72" t="n">
        <x:f>MAX(0,D68-E68)</x:f>
        <x:v>42007.68</x:v>
      </x:c>
      <x:c r="G68" s="71" t="n">
        <x:f>INDEX('Baseline'!$G$8:$G$39,MATCH(B68,'Baseline'!$A$8:$A$39,0))*0.65-D68</x:f>
        <x:v>-823.6800000000003</x:v>
      </x:c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</x:row>
    <x:row r="69" ht="23" customHeight="1">
      <x:c r="A69" s="60" t="str">
        <x:v>PO-062</x:v>
      </x:c>
      <x:c r="B69" s="60" t="str">
        <x:v>EX02</x:v>
      </x:c>
      <x:c r="C69" s="60" t="str">
        <x:v>Installation</x:v>
      </x:c>
      <x:c r="D69" s="67" t="n">
        <x:v>22619.52</x:v>
      </x:c>
      <x:c r="E69" s="75" t="n">
        <x:f>SUMIFS('Cost ledger'!$G$8:$G$415,'Cost ledger'!$B$8:$B$415,B69,'Cost ledger'!$D$8:$D$415,"BASE",'Cost ledger'!$C$8:$C$415,"&lt;="&amp;'Controls'!$B$8)*0.35</x:f>
        <x:v>0</x:v>
      </x:c>
      <x:c r="F69" s="76" t="n">
        <x:f>MAX(0,D69-E69)</x:f>
        <x:v>22619.52</x:v>
      </x:c>
      <x:c r="G69" s="75" t="n">
        <x:f>INDEX('Baseline'!$G$8:$G$39,MATCH(B69,'Baseline'!$A$8:$A$39,0))*0.35-D69</x:f>
        <x:v>-443.52000000000044</x:v>
      </x:c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</x:row>
    <x:row r="70" ht="23" customHeight="1">
      <x:c r="A70" s="58" t="str">
        <x:v>PO-063</x:v>
      </x:c>
      <x:c r="B70" s="58" t="str">
        <x:v>EX03</x:v>
      </x:c>
      <x:c r="C70" s="58" t="str">
        <x:v>Material supply</x:v>
      </x:c>
      <x:c r="D70" s="85" t="n">
        <x:v>9085.44</x:v>
      </x:c>
      <x:c r="E70" s="71" t="n">
        <x:f>SUMIFS('Cost ledger'!$G$8:$G$415,'Cost ledger'!$B$8:$B$415,B70,'Cost ledger'!$D$8:$D$415,"BASE",'Cost ledger'!$C$8:$C$415,"&lt;="&amp;'Controls'!$B$8)*0.65</x:f>
        <x:v>0</x:v>
      </x:c>
      <x:c r="F70" s="72" t="n">
        <x:f>MAX(0,D70-E70)</x:f>
        <x:v>9085.44</x:v>
      </x:c>
      <x:c r="G70" s="71" t="n">
        <x:f>INDEX('Baseline'!$G$8:$G$39,MATCH(B70,'Baseline'!$A$8:$A$39,0))*0.65-D70</x:f>
        <x:v>-349.4400000000005</x:v>
      </x:c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</x:row>
    <x:row r="71" ht="23" customHeight="1">
      <x:c r="A71" s="60" t="str">
        <x:v>PO-064</x:v>
      </x:c>
      <x:c r="B71" s="60" t="str">
        <x:v>EX03</x:v>
      </x:c>
      <x:c r="C71" s="60" t="str">
        <x:v>Installation</x:v>
      </x:c>
      <x:c r="D71" s="67" t="n">
        <x:v>4892.16</x:v>
      </x:c>
      <x:c r="E71" s="75" t="n">
        <x:f>SUMIFS('Cost ledger'!$G$8:$G$415,'Cost ledger'!$B$8:$B$415,B71,'Cost ledger'!$D$8:$D$415,"BASE",'Cost ledger'!$C$8:$C$415,"&lt;="&amp;'Controls'!$B$8)*0.35</x:f>
        <x:v>0</x:v>
      </x:c>
      <x:c r="F71" s="76" t="n">
        <x:f>MAX(0,D71-E71)</x:f>
        <x:v>4892.16</x:v>
      </x:c>
      <x:c r="G71" s="75" t="n">
        <x:f>INDEX('Baseline'!$G$8:$G$39,MATCH(B71,'Baseline'!$A$8:$A$39,0))*0.35-D71</x:f>
        <x:v>-188.15999999999985</x:v>
      </x:c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</x:row>
  </x:sheetData>
  <x:pageMargins left="0.7" right="0.7" top="0.75" bottom="0.75" header="0.3" footer="0.3"/>
  <x:tableParts count="1">
    <x:tablePart xmlns:r="http://schemas.openxmlformats.org/officeDocument/2006/relationships" r:id="R5a875a9f9e524b0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2" hidden="0" customWidth="1"/>
    <x:col min="4" max="4" width="17" hidden="0" customWidth="1"/>
    <x:col min="5" max="5" width="12" hidden="0" customWidth="1"/>
    <x:col min="6" max="6" width="23" hidden="0" customWidth="1"/>
    <x:col min="7" max="7" width="23" hidden="0" customWidth="1"/>
    <x:col min="8" max="8" width="25" hidden="0" customWidth="1"/>
  </x:cols>
  <x:sheetData>
    <x:row r="2">
      <x:c r="A2" s="53" t="str">
        <x:v>Monthly accepted quantities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Portfolio progress dataset. Accepted quantities are incremental; 384 records across 32 BOQ items.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Record</x:v>
      </x:c>
      <x:c r="B7" s="6" t="str">
        <x:v>BOQ code</x:v>
      </x:c>
      <x:c r="C7" s="6" t="str">
        <x:v>Month</x:v>
      </x:c>
      <x:c r="D7" s="6" t="str">
        <x:v>Zone</x:v>
      </x:c>
      <x:c r="E7" s="6" t="str">
        <x:v>Unit</x:v>
      </x:c>
      <x:c r="F7" s="6" t="str">
        <x:v>Accepted qty</x:v>
      </x:c>
      <x:c r="G7" s="6" t="str">
        <x:v>Budget rate</x:v>
      </x:c>
      <x:c r="H7" s="6" t="str">
        <x:v>Earned budget USD</x:v>
      </x:c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MQ-0001</x:v>
      </x:c>
      <x:c r="B8" s="58" t="str">
        <x:v>EW01</x:v>
      </x:c>
      <x:c r="C8" s="58" t="n">
        <x:v>1</x:v>
      </x:c>
      <x:c r="D8" s="58" t="str">
        <x:v>ZONE-1</x:v>
      </x:c>
      <x:c r="E8" s="58" t="str">
        <x:v>m3</x:v>
      </x:c>
      <x:c r="F8" s="79" t="n">
        <x:v>0</x:v>
      </x:c>
      <x:c r="G8" s="74" t="n">
        <x:f>INDEX('Baseline'!$F$8:$F$39,MATCH(B8,'Baseline'!$A$8:$A$39,0))</x:f>
        <x:v>7.4</x:v>
      </x:c>
      <x:c r="H8" s="80" t="n">
        <x:f>F8*G8</x:f>
        <x:v>0</x:v>
      </x:c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MQ-0002</x:v>
      </x:c>
      <x:c r="B9" s="60" t="str">
        <x:v>EW01</x:v>
      </x:c>
      <x:c r="C9" s="60" t="n">
        <x:v>2</x:v>
      </x:c>
      <x:c r="D9" s="60" t="str">
        <x:v>ZONE-1</x:v>
      </x:c>
      <x:c r="E9" s="60" t="str">
        <x:v>m3</x:v>
      </x:c>
      <x:c r="F9" s="82" t="n">
        <x:v>22372.079999999998</x:v>
      </x:c>
      <x:c r="G9" s="78" t="n">
        <x:f>INDEX('Baseline'!$F$8:$F$39,MATCH(B9,'Baseline'!$A$8:$A$39,0))</x:f>
        <x:v>7.4</x:v>
      </x:c>
      <x:c r="H9" s="83" t="n">
        <x:f>F9*G9</x:f>
        <x:v>165553.392</x:v>
      </x:c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MQ-0003</x:v>
      </x:c>
      <x:c r="B10" s="58" t="str">
        <x:v>EW01</x:v>
      </x:c>
      <x:c r="C10" s="58" t="n">
        <x:v>3</x:v>
      </x:c>
      <x:c r="D10" s="58" t="str">
        <x:v>ZONE-1</x:v>
      </x:c>
      <x:c r="E10" s="58" t="str">
        <x:v>m3</x:v>
      </x:c>
      <x:c r="F10" s="79" t="n">
        <x:v>22372.079999999998</x:v>
      </x:c>
      <x:c r="G10" s="74" t="n">
        <x:f>INDEX('Baseline'!$F$8:$F$39,MATCH(B10,'Baseline'!$A$8:$A$39,0))</x:f>
        <x:v>7.4</x:v>
      </x:c>
      <x:c r="H10" s="80" t="n">
        <x:f>F10*G10</x:f>
        <x:v>165553.392</x:v>
      </x:c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MQ-0004</x:v>
      </x:c>
      <x:c r="B11" s="60" t="str">
        <x:v>EW01</x:v>
      </x:c>
      <x:c r="C11" s="60" t="n">
        <x:v>4</x:v>
      </x:c>
      <x:c r="D11" s="60" t="str">
        <x:v>ZONE-1</x:v>
      </x:c>
      <x:c r="E11" s="60" t="str">
        <x:v>m3</x:v>
      </x:c>
      <x:c r="F11" s="82" t="n">
        <x:v>22372.08000000001</x:v>
      </x:c>
      <x:c r="G11" s="78" t="n">
        <x:f>INDEX('Baseline'!$F$8:$F$39,MATCH(B11,'Baseline'!$A$8:$A$39,0))</x:f>
        <x:v>7.4</x:v>
      </x:c>
      <x:c r="H11" s="83" t="n">
        <x:f>F11*G11</x:f>
        <x:v>165553.39200000008</x:v>
      </x:c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MQ-0005</x:v>
      </x:c>
      <x:c r="B12" s="58" t="str">
        <x:v>EW01</x:v>
      </x:c>
      <x:c r="C12" s="58" t="n">
        <x:v>5</x:v>
      </x:c>
      <x:c r="D12" s="58" t="str">
        <x:v>ZONE-1</x:v>
      </x:c>
      <x:c r="E12" s="58" t="str">
        <x:v>m3</x:v>
      </x:c>
      <x:c r="F12" s="79" t="n">
        <x:v>0</x:v>
      </x:c>
      <x:c r="G12" s="74" t="n">
        <x:f>INDEX('Baseline'!$F$8:$F$39,MATCH(B12,'Baseline'!$A$8:$A$39,0))</x:f>
        <x:v>7.4</x:v>
      </x:c>
      <x:c r="H12" s="80" t="n">
        <x:f>F12*G12</x:f>
        <x:v>0</x:v>
      </x:c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MQ-0006</x:v>
      </x:c>
      <x:c r="B13" s="60" t="str">
        <x:v>EW01</x:v>
      </x:c>
      <x:c r="C13" s="60" t="n">
        <x:v>6</x:v>
      </x:c>
      <x:c r="D13" s="60" t="str">
        <x:v>ZONE-1</x:v>
      </x:c>
      <x:c r="E13" s="60" t="str">
        <x:v>m3</x:v>
      </x:c>
      <x:c r="F13" s="82" t="n">
        <x:v>0</x:v>
      </x:c>
      <x:c r="G13" s="78" t="n">
        <x:f>INDEX('Baseline'!$F$8:$F$39,MATCH(B13,'Baseline'!$A$8:$A$39,0))</x:f>
        <x:v>7.4</x:v>
      </x:c>
      <x:c r="H13" s="83" t="n">
        <x:f>F13*G13</x:f>
        <x:v>0</x:v>
      </x:c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MQ-0007</x:v>
      </x:c>
      <x:c r="B14" s="58" t="str">
        <x:v>EW01</x:v>
      </x:c>
      <x:c r="C14" s="58" t="n">
        <x:v>7</x:v>
      </x:c>
      <x:c r="D14" s="58" t="str">
        <x:v>ZONE-1</x:v>
      </x:c>
      <x:c r="E14" s="58" t="str">
        <x:v>m3</x:v>
      </x:c>
      <x:c r="F14" s="79" t="n">
        <x:v>0</x:v>
      </x:c>
      <x:c r="G14" s="74" t="n">
        <x:f>INDEX('Baseline'!$F$8:$F$39,MATCH(B14,'Baseline'!$A$8:$A$39,0))</x:f>
        <x:v>7.4</x:v>
      </x:c>
      <x:c r="H14" s="80" t="n">
        <x:f>F14*G14</x:f>
        <x:v>0</x:v>
      </x:c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MQ-0008</x:v>
      </x:c>
      <x:c r="B15" s="60" t="str">
        <x:v>EW01</x:v>
      </x:c>
      <x:c r="C15" s="60" t="n">
        <x:v>8</x:v>
      </x:c>
      <x:c r="D15" s="60" t="str">
        <x:v>ZONE-1</x:v>
      </x:c>
      <x:c r="E15" s="60" t="str">
        <x:v>m3</x:v>
      </x:c>
      <x:c r="F15" s="82" t="n">
        <x:v>0</x:v>
      </x:c>
      <x:c r="G15" s="78" t="n">
        <x:f>INDEX('Baseline'!$F$8:$F$39,MATCH(B15,'Baseline'!$A$8:$A$39,0))</x:f>
        <x:v>7.4</x:v>
      </x:c>
      <x:c r="H15" s="83" t="n">
        <x:f>F15*G15</x:f>
        <x:v>0</x:v>
      </x:c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MQ-0009</x:v>
      </x:c>
      <x:c r="B16" s="58" t="str">
        <x:v>EW01</x:v>
      </x:c>
      <x:c r="C16" s="58" t="n">
        <x:v>9</x:v>
      </x:c>
      <x:c r="D16" s="58" t="str">
        <x:v>ZONE-1</x:v>
      </x:c>
      <x:c r="E16" s="58" t="str">
        <x:v>m3</x:v>
      </x:c>
      <x:c r="F16" s="79" t="n">
        <x:v>0</x:v>
      </x:c>
      <x:c r="G16" s="74" t="n">
        <x:f>INDEX('Baseline'!$F$8:$F$39,MATCH(B16,'Baseline'!$A$8:$A$39,0))</x:f>
        <x:v>7.4</x:v>
      </x:c>
      <x:c r="H16" s="80" t="n">
        <x:f>F16*G16</x:f>
        <x:v>0</x:v>
      </x:c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MQ-0010</x:v>
      </x:c>
      <x:c r="B17" s="60" t="str">
        <x:v>EW01</x:v>
      </x:c>
      <x:c r="C17" s="60" t="n">
        <x:v>10</x:v>
      </x:c>
      <x:c r="D17" s="60" t="str">
        <x:v>ZONE-1</x:v>
      </x:c>
      <x:c r="E17" s="60" t="str">
        <x:v>m3</x:v>
      </x:c>
      <x:c r="F17" s="82" t="n">
        <x:v>0</x:v>
      </x:c>
      <x:c r="G17" s="78" t="n">
        <x:f>INDEX('Baseline'!$F$8:$F$39,MATCH(B17,'Baseline'!$A$8:$A$39,0))</x:f>
        <x:v>7.4</x:v>
      </x:c>
      <x:c r="H17" s="83" t="n">
        <x:f>F17*G17</x:f>
        <x:v>0</x:v>
      </x:c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MQ-0011</x:v>
      </x:c>
      <x:c r="B18" s="58" t="str">
        <x:v>EW01</x:v>
      </x:c>
      <x:c r="C18" s="58" t="n">
        <x:v>11</x:v>
      </x:c>
      <x:c r="D18" s="58" t="str">
        <x:v>ZONE-1</x:v>
      </x:c>
      <x:c r="E18" s="58" t="str">
        <x:v>m3</x:v>
      </x:c>
      <x:c r="F18" s="79" t="n">
        <x:v>0</x:v>
      </x:c>
      <x:c r="G18" s="74" t="n">
        <x:f>INDEX('Baseline'!$F$8:$F$39,MATCH(B18,'Baseline'!$A$8:$A$39,0))</x:f>
        <x:v>7.4</x:v>
      </x:c>
      <x:c r="H18" s="80" t="n">
        <x:f>F18*G18</x:f>
        <x:v>0</x:v>
      </x:c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str">
        <x:v>MQ-0012</x:v>
      </x:c>
      <x:c r="B19" s="60" t="str">
        <x:v>EW01</x:v>
      </x:c>
      <x:c r="C19" s="60" t="n">
        <x:v>12</x:v>
      </x:c>
      <x:c r="D19" s="60" t="str">
        <x:v>ZONE-1</x:v>
      </x:c>
      <x:c r="E19" s="60" t="str">
        <x:v>m3</x:v>
      </x:c>
      <x:c r="F19" s="82" t="n">
        <x:v>0</x:v>
      </x:c>
      <x:c r="G19" s="78" t="n">
        <x:f>INDEX('Baseline'!$F$8:$F$39,MATCH(B19,'Baseline'!$A$8:$A$39,0))</x:f>
        <x:v>7.4</x:v>
      </x:c>
      <x:c r="H19" s="83" t="n">
        <x:f>F19*G19</x:f>
        <x:v>0</x:v>
      </x:c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 ht="23" customHeight="1">
      <x:c r="A20" s="58" t="str">
        <x:v>MQ-0013</x:v>
      </x:c>
      <x:c r="B20" s="58" t="str">
        <x:v>EW02</x:v>
      </x:c>
      <x:c r="C20" s="58" t="n">
        <x:v>1</x:v>
      </x:c>
      <x:c r="D20" s="58" t="str">
        <x:v>ZONE-2</x:v>
      </x:c>
      <x:c r="E20" s="58" t="str">
        <x:v>m3</x:v>
      </x:c>
      <x:c r="F20" s="79" t="n">
        <x:v>25920</x:v>
      </x:c>
      <x:c r="G20" s="74" t="n">
        <x:f>INDEX('Baseline'!$F$8:$F$39,MATCH(B20,'Baseline'!$A$8:$A$39,0))</x:f>
        <x:v>6.4</x:v>
      </x:c>
      <x:c r="H20" s="80" t="n">
        <x:f>F20*G20</x:f>
        <x:v>165888</x:v>
      </x:c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 ht="23" customHeight="1">
      <x:c r="A21" s="60" t="str">
        <x:v>MQ-0014</x:v>
      </x:c>
      <x:c r="B21" s="60" t="str">
        <x:v>EW02</x:v>
      </x:c>
      <x:c r="C21" s="60" t="n">
        <x:v>2</x:v>
      </x:c>
      <x:c r="D21" s="60" t="str">
        <x:v>ZONE-2</x:v>
      </x:c>
      <x:c r="E21" s="60" t="str">
        <x:v>m3</x:v>
      </x:c>
      <x:c r="F21" s="82" t="n">
        <x:v>25920</x:v>
      </x:c>
      <x:c r="G21" s="78" t="n">
        <x:f>INDEX('Baseline'!$F$8:$F$39,MATCH(B21,'Baseline'!$A$8:$A$39,0))</x:f>
        <x:v>6.4</x:v>
      </x:c>
      <x:c r="H21" s="83" t="n">
        <x:f>F21*G21</x:f>
        <x:v>165888</x:v>
      </x:c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  <x:row r="22" ht="23" customHeight="1">
      <x:c r="A22" s="58" t="str">
        <x:v>MQ-0015</x:v>
      </x:c>
      <x:c r="B22" s="58" t="str">
        <x:v>EW02</x:v>
      </x:c>
      <x:c r="C22" s="58" t="n">
        <x:v>3</x:v>
      </x:c>
      <x:c r="D22" s="58" t="str">
        <x:v>ZONE-2</x:v>
      </x:c>
      <x:c r="E22" s="58" t="str">
        <x:v>m3</x:v>
      </x:c>
      <x:c r="F22" s="79" t="n">
        <x:v>25920</x:v>
      </x:c>
      <x:c r="G22" s="74" t="n">
        <x:f>INDEX('Baseline'!$F$8:$F$39,MATCH(B22,'Baseline'!$A$8:$A$39,0))</x:f>
        <x:v>6.4</x:v>
      </x:c>
      <x:c r="H22" s="80" t="n">
        <x:f>F22*G22</x:f>
        <x:v>165888</x:v>
      </x:c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</x:row>
    <x:row r="23" ht="23" customHeight="1">
      <x:c r="A23" s="60" t="str">
        <x:v>MQ-0016</x:v>
      </x:c>
      <x:c r="B23" s="60" t="str">
        <x:v>EW02</x:v>
      </x:c>
      <x:c r="C23" s="60" t="n">
        <x:v>4</x:v>
      </x:c>
      <x:c r="D23" s="60" t="str">
        <x:v>ZONE-2</x:v>
      </x:c>
      <x:c r="E23" s="60" t="str">
        <x:v>m3</x:v>
      </x:c>
      <x:c r="F23" s="82" t="n">
        <x:v>0</x:v>
      </x:c>
      <x:c r="G23" s="78" t="n">
        <x:f>INDEX('Baseline'!$F$8:$F$39,MATCH(B23,'Baseline'!$A$8:$A$39,0))</x:f>
        <x:v>6.4</x:v>
      </x:c>
      <x:c r="H23" s="83" t="n">
        <x:f>F23*G23</x:f>
        <x:v>0</x:v>
      </x:c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</x:row>
    <x:row r="24" ht="23" customHeight="1">
      <x:c r="A24" s="58" t="str">
        <x:v>MQ-0017</x:v>
      </x:c>
      <x:c r="B24" s="58" t="str">
        <x:v>EW02</x:v>
      </x:c>
      <x:c r="C24" s="58" t="n">
        <x:v>5</x:v>
      </x:c>
      <x:c r="D24" s="58" t="str">
        <x:v>ZONE-2</x:v>
      </x:c>
      <x:c r="E24" s="58" t="str">
        <x:v>m3</x:v>
      </x:c>
      <x:c r="F24" s="79" t="n">
        <x:v>0</x:v>
      </x:c>
      <x:c r="G24" s="74" t="n">
        <x:f>INDEX('Baseline'!$F$8:$F$39,MATCH(B24,'Baseline'!$A$8:$A$39,0))</x:f>
        <x:v>6.4</x:v>
      </x:c>
      <x:c r="H24" s="80" t="n">
        <x:f>F24*G24</x:f>
        <x:v>0</x:v>
      </x:c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</x:row>
    <x:row r="25" ht="23" customHeight="1">
      <x:c r="A25" s="60" t="str">
        <x:v>MQ-0018</x:v>
      </x:c>
      <x:c r="B25" s="60" t="str">
        <x:v>EW02</x:v>
      </x:c>
      <x:c r="C25" s="60" t="n">
        <x:v>6</x:v>
      </x:c>
      <x:c r="D25" s="60" t="str">
        <x:v>ZONE-2</x:v>
      </x:c>
      <x:c r="E25" s="60" t="str">
        <x:v>m3</x:v>
      </x:c>
      <x:c r="F25" s="82" t="n">
        <x:v>0</x:v>
      </x:c>
      <x:c r="G25" s="78" t="n">
        <x:f>INDEX('Baseline'!$F$8:$F$39,MATCH(B25,'Baseline'!$A$8:$A$39,0))</x:f>
        <x:v>6.4</x:v>
      </x:c>
      <x:c r="H25" s="83" t="n">
        <x:f>F25*G25</x:f>
        <x:v>0</x:v>
      </x:c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</x:row>
    <x:row r="26" ht="23" customHeight="1">
      <x:c r="A26" s="58" t="str">
        <x:v>MQ-0019</x:v>
      </x:c>
      <x:c r="B26" s="58" t="str">
        <x:v>EW02</x:v>
      </x:c>
      <x:c r="C26" s="58" t="n">
        <x:v>7</x:v>
      </x:c>
      <x:c r="D26" s="58" t="str">
        <x:v>ZONE-2</x:v>
      </x:c>
      <x:c r="E26" s="58" t="str">
        <x:v>m3</x:v>
      </x:c>
      <x:c r="F26" s="79" t="n">
        <x:v>0</x:v>
      </x:c>
      <x:c r="G26" s="74" t="n">
        <x:f>INDEX('Baseline'!$F$8:$F$39,MATCH(B26,'Baseline'!$A$8:$A$39,0))</x:f>
        <x:v>6.4</x:v>
      </x:c>
      <x:c r="H26" s="80" t="n">
        <x:f>F26*G26</x:f>
        <x:v>0</x:v>
      </x:c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7" ht="23" customHeight="1">
      <x:c r="A27" s="60" t="str">
        <x:v>MQ-0020</x:v>
      </x:c>
      <x:c r="B27" s="60" t="str">
        <x:v>EW02</x:v>
      </x:c>
      <x:c r="C27" s="60" t="n">
        <x:v>8</x:v>
      </x:c>
      <x:c r="D27" s="60" t="str">
        <x:v>ZONE-2</x:v>
      </x:c>
      <x:c r="E27" s="60" t="str">
        <x:v>m3</x:v>
      </x:c>
      <x:c r="F27" s="82" t="n">
        <x:v>0</x:v>
      </x:c>
      <x:c r="G27" s="78" t="n">
        <x:f>INDEX('Baseline'!$F$8:$F$39,MATCH(B27,'Baseline'!$A$8:$A$39,0))</x:f>
        <x:v>6.4</x:v>
      </x:c>
      <x:c r="H27" s="83" t="n">
        <x:f>F27*G27</x:f>
        <x:v>0</x:v>
      </x:c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</x:row>
    <x:row r="28" ht="23" customHeight="1">
      <x:c r="A28" s="58" t="str">
        <x:v>MQ-0021</x:v>
      </x:c>
      <x:c r="B28" s="58" t="str">
        <x:v>EW02</x:v>
      </x:c>
      <x:c r="C28" s="58" t="n">
        <x:v>9</x:v>
      </x:c>
      <x:c r="D28" s="58" t="str">
        <x:v>ZONE-2</x:v>
      </x:c>
      <x:c r="E28" s="58" t="str">
        <x:v>m3</x:v>
      </x:c>
      <x:c r="F28" s="79" t="n">
        <x:v>0</x:v>
      </x:c>
      <x:c r="G28" s="74" t="n">
        <x:f>INDEX('Baseline'!$F$8:$F$39,MATCH(B28,'Baseline'!$A$8:$A$39,0))</x:f>
        <x:v>6.4</x:v>
      </x:c>
      <x:c r="H28" s="80" t="n">
        <x:f>F28*G28</x:f>
        <x:v>0</x:v>
      </x:c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</x:row>
    <x:row r="29" ht="23" customHeight="1">
      <x:c r="A29" s="60" t="str">
        <x:v>MQ-0022</x:v>
      </x:c>
      <x:c r="B29" s="60" t="str">
        <x:v>EW02</x:v>
      </x:c>
      <x:c r="C29" s="60" t="n">
        <x:v>10</x:v>
      </x:c>
      <x:c r="D29" s="60" t="str">
        <x:v>ZONE-2</x:v>
      </x:c>
      <x:c r="E29" s="60" t="str">
        <x:v>m3</x:v>
      </x:c>
      <x:c r="F29" s="82" t="n">
        <x:v>0</x:v>
      </x:c>
      <x:c r="G29" s="78" t="n">
        <x:f>INDEX('Baseline'!$F$8:$F$39,MATCH(B29,'Baseline'!$A$8:$A$39,0))</x:f>
        <x:v>6.4</x:v>
      </x:c>
      <x:c r="H29" s="83" t="n">
        <x:f>F29*G29</x:f>
        <x:v>0</x:v>
      </x:c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</x:row>
    <x:row r="30" ht="23" customHeight="1">
      <x:c r="A30" s="58" t="str">
        <x:v>MQ-0023</x:v>
      </x:c>
      <x:c r="B30" s="58" t="str">
        <x:v>EW02</x:v>
      </x:c>
      <x:c r="C30" s="58" t="n">
        <x:v>11</x:v>
      </x:c>
      <x:c r="D30" s="58" t="str">
        <x:v>ZONE-2</x:v>
      </x:c>
      <x:c r="E30" s="58" t="str">
        <x:v>m3</x:v>
      </x:c>
      <x:c r="F30" s="79" t="n">
        <x:v>0</x:v>
      </x:c>
      <x:c r="G30" s="74" t="n">
        <x:f>INDEX('Baseline'!$F$8:$F$39,MATCH(B30,'Baseline'!$A$8:$A$39,0))</x:f>
        <x:v>6.4</x:v>
      </x:c>
      <x:c r="H30" s="80" t="n">
        <x:f>F30*G30</x:f>
        <x:v>0</x:v>
      </x:c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</x:row>
    <x:row r="31" ht="23" customHeight="1">
      <x:c r="A31" s="60" t="str">
        <x:v>MQ-0024</x:v>
      </x:c>
      <x:c r="B31" s="60" t="str">
        <x:v>EW02</x:v>
      </x:c>
      <x:c r="C31" s="60" t="n">
        <x:v>12</x:v>
      </x:c>
      <x:c r="D31" s="60" t="str">
        <x:v>ZONE-2</x:v>
      </x:c>
      <x:c r="E31" s="60" t="str">
        <x:v>m3</x:v>
      </x:c>
      <x:c r="F31" s="82" t="n">
        <x:v>0</x:v>
      </x:c>
      <x:c r="G31" s="78" t="n">
        <x:f>INDEX('Baseline'!$F$8:$F$39,MATCH(B31,'Baseline'!$A$8:$A$39,0))</x:f>
        <x:v>6.4</x:v>
      </x:c>
      <x:c r="H31" s="83" t="n">
        <x:f>F31*G31</x:f>
        <x:v>0</x:v>
      </x:c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</x:row>
    <x:row r="32" ht="23" customHeight="1">
      <x:c r="A32" s="58" t="str">
        <x:v>MQ-0025</x:v>
      </x:c>
      <x:c r="B32" s="58" t="str">
        <x:v>EW03</x:v>
      </x:c>
      <x:c r="C32" s="58" t="n">
        <x:v>1</x:v>
      </x:c>
      <x:c r="D32" s="58" t="str">
        <x:v>ZONE-3</x:v>
      </x:c>
      <x:c r="E32" s="58" t="str">
        <x:v>m3</x:v>
      </x:c>
      <x:c r="F32" s="79" t="n">
        <x:v>0</x:v>
      </x:c>
      <x:c r="G32" s="74" t="n">
        <x:f>INDEX('Baseline'!$F$8:$F$39,MATCH(B32,'Baseline'!$A$8:$A$39,0))</x:f>
        <x:v>15.3</x:v>
      </x:c>
      <x:c r="H32" s="80" t="n">
        <x:f>F32*G32</x:f>
        <x:v>0</x:v>
      </x:c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</x:row>
    <x:row r="33" ht="23" customHeight="1">
      <x:c r="A33" s="60" t="str">
        <x:v>MQ-0026</x:v>
      </x:c>
      <x:c r="B33" s="60" t="str">
        <x:v>EW03</x:v>
      </x:c>
      <x:c r="C33" s="60" t="n">
        <x:v>2</x:v>
      </x:c>
      <x:c r="D33" s="60" t="str">
        <x:v>ZONE-3</x:v>
      </x:c>
      <x:c r="E33" s="60" t="str">
        <x:v>m3</x:v>
      </x:c>
      <x:c r="F33" s="82" t="n">
        <x:v>0</x:v>
      </x:c>
      <x:c r="G33" s="78" t="n">
        <x:f>INDEX('Baseline'!$F$8:$F$39,MATCH(B33,'Baseline'!$A$8:$A$39,0))</x:f>
        <x:v>15.3</x:v>
      </x:c>
      <x:c r="H33" s="83" t="n">
        <x:f>F33*G33</x:f>
        <x:v>0</x:v>
      </x:c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</x:row>
    <x:row r="34" ht="23" customHeight="1">
      <x:c r="A34" s="58" t="str">
        <x:v>MQ-0027</x:v>
      </x:c>
      <x:c r="B34" s="58" t="str">
        <x:v>EW03</x:v>
      </x:c>
      <x:c r="C34" s="58" t="n">
        <x:v>3</x:v>
      </x:c>
      <x:c r="D34" s="58" t="str">
        <x:v>ZONE-3</x:v>
      </x:c>
      <x:c r="E34" s="58" t="str">
        <x:v>m3</x:v>
      </x:c>
      <x:c r="F34" s="79" t="n">
        <x:v>0</x:v>
      </x:c>
      <x:c r="G34" s="74" t="n">
        <x:f>INDEX('Baseline'!$F$8:$F$39,MATCH(B34,'Baseline'!$A$8:$A$39,0))</x:f>
        <x:v>15.3</x:v>
      </x:c>
      <x:c r="H34" s="80" t="n">
        <x:f>F34*G34</x:f>
        <x:v>0</x:v>
      </x:c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</x:row>
    <x:row r="35" ht="23" customHeight="1">
      <x:c r="A35" s="60" t="str">
        <x:v>MQ-0028</x:v>
      </x:c>
      <x:c r="B35" s="60" t="str">
        <x:v>EW03</x:v>
      </x:c>
      <x:c r="C35" s="60" t="n">
        <x:v>4</x:v>
      </x:c>
      <x:c r="D35" s="60" t="str">
        <x:v>ZONE-3</x:v>
      </x:c>
      <x:c r="E35" s="60" t="str">
        <x:v>m3</x:v>
      </x:c>
      <x:c r="F35" s="82" t="n">
        <x:v>0</x:v>
      </x:c>
      <x:c r="G35" s="78" t="n">
        <x:f>INDEX('Baseline'!$F$8:$F$39,MATCH(B35,'Baseline'!$A$8:$A$39,0))</x:f>
        <x:v>15.3</x:v>
      </x:c>
      <x:c r="H35" s="83" t="n">
        <x:f>F35*G35</x:f>
        <x:v>0</x:v>
      </x:c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</x:row>
    <x:row r="36" ht="23" customHeight="1">
      <x:c r="A36" s="58" t="str">
        <x:v>MQ-0029</x:v>
      </x:c>
      <x:c r="B36" s="58" t="str">
        <x:v>EW03</x:v>
      </x:c>
      <x:c r="C36" s="58" t="n">
        <x:v>5</x:v>
      </x:c>
      <x:c r="D36" s="58" t="str">
        <x:v>ZONE-3</x:v>
      </x:c>
      <x:c r="E36" s="58" t="str">
        <x:v>m3</x:v>
      </x:c>
      <x:c r="F36" s="79" t="n">
        <x:v>1464</x:v>
      </x:c>
      <x:c r="G36" s="74" t="n">
        <x:f>INDEX('Baseline'!$F$8:$F$39,MATCH(B36,'Baseline'!$A$8:$A$39,0))</x:f>
        <x:v>15.3</x:v>
      </x:c>
      <x:c r="H36" s="80" t="n">
        <x:f>F36*G36</x:f>
        <x:v>22399.2</x:v>
      </x:c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</x:row>
    <x:row r="37" ht="23" customHeight="1">
      <x:c r="A37" s="60" t="str">
        <x:v>MQ-0030</x:v>
      </x:c>
      <x:c r="B37" s="60" t="str">
        <x:v>EW03</x:v>
      </x:c>
      <x:c r="C37" s="60" t="n">
        <x:v>6</x:v>
      </x:c>
      <x:c r="D37" s="60" t="str">
        <x:v>ZONE-3</x:v>
      </x:c>
      <x:c r="E37" s="60" t="str">
        <x:v>m3</x:v>
      </x:c>
      <x:c r="F37" s="82" t="n">
        <x:v>1464</x:v>
      </x:c>
      <x:c r="G37" s="78" t="n">
        <x:f>INDEX('Baseline'!$F$8:$F$39,MATCH(B37,'Baseline'!$A$8:$A$39,0))</x:f>
        <x:v>15.3</x:v>
      </x:c>
      <x:c r="H37" s="83" t="n">
        <x:f>F37*G37</x:f>
        <x:v>22399.2</x:v>
      </x:c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</x:row>
    <x:row r="38" ht="23" customHeight="1">
      <x:c r="A38" s="58" t="str">
        <x:v>MQ-0031</x:v>
      </x:c>
      <x:c r="B38" s="58" t="str">
        <x:v>EW03</x:v>
      </x:c>
      <x:c r="C38" s="58" t="n">
        <x:v>7</x:v>
      </x:c>
      <x:c r="D38" s="58" t="str">
        <x:v>ZONE-3</x:v>
      </x:c>
      <x:c r="E38" s="58" t="str">
        <x:v>m3</x:v>
      </x:c>
      <x:c r="F38" s="79" t="n">
        <x:v>1464</x:v>
      </x:c>
      <x:c r="G38" s="74" t="n">
        <x:f>INDEX('Baseline'!$F$8:$F$39,MATCH(B38,'Baseline'!$A$8:$A$39,0))</x:f>
        <x:v>15.3</x:v>
      </x:c>
      <x:c r="H38" s="80" t="n">
        <x:f>F38*G38</x:f>
        <x:v>22399.2</x:v>
      </x:c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</x:row>
    <x:row r="39" ht="23" customHeight="1">
      <x:c r="A39" s="60" t="str">
        <x:v>MQ-0032</x:v>
      </x:c>
      <x:c r="B39" s="60" t="str">
        <x:v>EW03</x:v>
      </x:c>
      <x:c r="C39" s="60" t="n">
        <x:v>8</x:v>
      </x:c>
      <x:c r="D39" s="60" t="str">
        <x:v>ZONE-3</x:v>
      </x:c>
      <x:c r="E39" s="60" t="str">
        <x:v>m3</x:v>
      </x:c>
      <x:c r="F39" s="82" t="n">
        <x:v>0</x:v>
      </x:c>
      <x:c r="G39" s="78" t="n">
        <x:f>INDEX('Baseline'!$F$8:$F$39,MATCH(B39,'Baseline'!$A$8:$A$39,0))</x:f>
        <x:v>15.3</x:v>
      </x:c>
      <x:c r="H39" s="83" t="n">
        <x:f>F39*G39</x:f>
        <x:v>0</x:v>
      </x:c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</x:row>
    <x:row r="40" ht="23" customHeight="1">
      <x:c r="A40" s="58" t="str">
        <x:v>MQ-0033</x:v>
      </x:c>
      <x:c r="B40" s="58" t="str">
        <x:v>EW03</x:v>
      </x:c>
      <x:c r="C40" s="58" t="n">
        <x:v>9</x:v>
      </x:c>
      <x:c r="D40" s="58" t="str">
        <x:v>ZONE-3</x:v>
      </x:c>
      <x:c r="E40" s="58" t="str">
        <x:v>m3</x:v>
      </x:c>
      <x:c r="F40" s="79" t="n">
        <x:v>0</x:v>
      </x:c>
      <x:c r="G40" s="74" t="n">
        <x:f>INDEX('Baseline'!$F$8:$F$39,MATCH(B40,'Baseline'!$A$8:$A$39,0))</x:f>
        <x:v>15.3</x:v>
      </x:c>
      <x:c r="H40" s="80" t="n">
        <x:f>F40*G40</x:f>
        <x:v>0</x:v>
      </x:c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</x:row>
    <x:row r="41" ht="23" customHeight="1">
      <x:c r="A41" s="60" t="str">
        <x:v>MQ-0034</x:v>
      </x:c>
      <x:c r="B41" s="60" t="str">
        <x:v>EW03</x:v>
      </x:c>
      <x:c r="C41" s="60" t="n">
        <x:v>10</x:v>
      </x:c>
      <x:c r="D41" s="60" t="str">
        <x:v>ZONE-3</x:v>
      </x:c>
      <x:c r="E41" s="60" t="str">
        <x:v>m3</x:v>
      </x:c>
      <x:c r="F41" s="82" t="n">
        <x:v>0</x:v>
      </x:c>
      <x:c r="G41" s="78" t="n">
        <x:f>INDEX('Baseline'!$F$8:$F$39,MATCH(B41,'Baseline'!$A$8:$A$39,0))</x:f>
        <x:v>15.3</x:v>
      </x:c>
      <x:c r="H41" s="83" t="n">
        <x:f>F41*G41</x:f>
        <x:v>0</x:v>
      </x:c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</x:row>
    <x:row r="42" ht="23" customHeight="1">
      <x:c r="A42" s="58" t="str">
        <x:v>MQ-0035</x:v>
      </x:c>
      <x:c r="B42" s="58" t="str">
        <x:v>EW03</x:v>
      </x:c>
      <x:c r="C42" s="58" t="n">
        <x:v>11</x:v>
      </x:c>
      <x:c r="D42" s="58" t="str">
        <x:v>ZONE-3</x:v>
      </x:c>
      <x:c r="E42" s="58" t="str">
        <x:v>m3</x:v>
      </x:c>
      <x:c r="F42" s="79" t="n">
        <x:v>0</x:v>
      </x:c>
      <x:c r="G42" s="74" t="n">
        <x:f>INDEX('Baseline'!$F$8:$F$39,MATCH(B42,'Baseline'!$A$8:$A$39,0))</x:f>
        <x:v>15.3</x:v>
      </x:c>
      <x:c r="H42" s="80" t="n">
        <x:f>F42*G42</x:f>
        <x:v>0</x:v>
      </x:c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</x:row>
    <x:row r="43" ht="23" customHeight="1">
      <x:c r="A43" s="60" t="str">
        <x:v>MQ-0036</x:v>
      </x:c>
      <x:c r="B43" s="60" t="str">
        <x:v>EW03</x:v>
      </x:c>
      <x:c r="C43" s="60" t="n">
        <x:v>12</x:v>
      </x:c>
      <x:c r="D43" s="60" t="str">
        <x:v>ZONE-3</x:v>
      </x:c>
      <x:c r="E43" s="60" t="str">
        <x:v>m3</x:v>
      </x:c>
      <x:c r="F43" s="82" t="n">
        <x:v>0</x:v>
      </x:c>
      <x:c r="G43" s="78" t="n">
        <x:f>INDEX('Baseline'!$F$8:$F$39,MATCH(B43,'Baseline'!$A$8:$A$39,0))</x:f>
        <x:v>15.3</x:v>
      </x:c>
      <x:c r="H43" s="83" t="n">
        <x:f>F43*G43</x:f>
        <x:v>0</x:v>
      </x:c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</x:row>
    <x:row r="44" ht="23" customHeight="1">
      <x:c r="A44" s="58" t="str">
        <x:v>MQ-0037</x:v>
      </x:c>
      <x:c r="B44" s="58" t="str">
        <x:v>RC01</x:v>
      </x:c>
      <x:c r="C44" s="58" t="n">
        <x:v>1</x:v>
      </x:c>
      <x:c r="D44" s="58" t="str">
        <x:v>ZONE-4</x:v>
      </x:c>
      <x:c r="E44" s="58" t="str">
        <x:v>m3</x:v>
      </x:c>
      <x:c r="F44" s="79" t="n">
        <x:v>0</x:v>
      </x:c>
      <x:c r="G44" s="74" t="n">
        <x:f>INDEX('Baseline'!$F$8:$F$39,MATCH(B44,'Baseline'!$A$8:$A$39,0))</x:f>
        <x:v>94</x:v>
      </x:c>
      <x:c r="H44" s="80" t="n">
        <x:f>F44*G44</x:f>
        <x:v>0</x:v>
      </x:c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</x:row>
    <x:row r="45" ht="23" customHeight="1">
      <x:c r="A45" s="60" t="str">
        <x:v>MQ-0038</x:v>
      </x:c>
      <x:c r="B45" s="60" t="str">
        <x:v>RC01</x:v>
      </x:c>
      <x:c r="C45" s="60" t="n">
        <x:v>2</x:v>
      </x:c>
      <x:c r="D45" s="60" t="str">
        <x:v>ZONE-4</x:v>
      </x:c>
      <x:c r="E45" s="60" t="str">
        <x:v>m3</x:v>
      </x:c>
      <x:c r="F45" s="82" t="n">
        <x:v>720</x:v>
      </x:c>
      <x:c r="G45" s="78" t="n">
        <x:f>INDEX('Baseline'!$F$8:$F$39,MATCH(B45,'Baseline'!$A$8:$A$39,0))</x:f>
        <x:v>94</x:v>
      </x:c>
      <x:c r="H45" s="83" t="n">
        <x:f>F45*G45</x:f>
        <x:v>67680</x:v>
      </x:c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</x:row>
    <x:row r="46" ht="23" customHeight="1">
      <x:c r="A46" s="58" t="str">
        <x:v>MQ-0039</x:v>
      </x:c>
      <x:c r="B46" s="58" t="str">
        <x:v>RC01</x:v>
      </x:c>
      <x:c r="C46" s="58" t="n">
        <x:v>3</x:v>
      </x:c>
      <x:c r="D46" s="58" t="str">
        <x:v>ZONE-4</x:v>
      </x:c>
      <x:c r="E46" s="58" t="str">
        <x:v>m3</x:v>
      </x:c>
      <x:c r="F46" s="79" t="n">
        <x:v>720</x:v>
      </x:c>
      <x:c r="G46" s="74" t="n">
        <x:f>INDEX('Baseline'!$F$8:$F$39,MATCH(B46,'Baseline'!$A$8:$A$39,0))</x:f>
        <x:v>94</x:v>
      </x:c>
      <x:c r="H46" s="80" t="n">
        <x:f>F46*G46</x:f>
        <x:v>67680</x:v>
      </x:c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</x:row>
    <x:row r="47" ht="23" customHeight="1">
      <x:c r="A47" s="60" t="str">
        <x:v>MQ-0040</x:v>
      </x:c>
      <x:c r="B47" s="60" t="str">
        <x:v>RC01</x:v>
      </x:c>
      <x:c r="C47" s="60" t="n">
        <x:v>4</x:v>
      </x:c>
      <x:c r="D47" s="60" t="str">
        <x:v>ZONE-4</x:v>
      </x:c>
      <x:c r="E47" s="60" t="str">
        <x:v>m3</x:v>
      </x:c>
      <x:c r="F47" s="82" t="n">
        <x:v>0</x:v>
      </x:c>
      <x:c r="G47" s="78" t="n">
        <x:f>INDEX('Baseline'!$F$8:$F$39,MATCH(B47,'Baseline'!$A$8:$A$39,0))</x:f>
        <x:v>94</x:v>
      </x:c>
      <x:c r="H47" s="83" t="n">
        <x:f>F47*G47</x:f>
        <x:v>0</x:v>
      </x:c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</x:row>
    <x:row r="48" ht="23" customHeight="1">
      <x:c r="A48" s="58" t="str">
        <x:v>MQ-0041</x:v>
      </x:c>
      <x:c r="B48" s="58" t="str">
        <x:v>RC01</x:v>
      </x:c>
      <x:c r="C48" s="58" t="n">
        <x:v>5</x:v>
      </x:c>
      <x:c r="D48" s="58" t="str">
        <x:v>ZONE-4</x:v>
      </x:c>
      <x:c r="E48" s="58" t="str">
        <x:v>m3</x:v>
      </x:c>
      <x:c r="F48" s="79" t="n">
        <x:v>0</x:v>
      </x:c>
      <x:c r="G48" s="74" t="n">
        <x:f>INDEX('Baseline'!$F$8:$F$39,MATCH(B48,'Baseline'!$A$8:$A$39,0))</x:f>
        <x:v>94</x:v>
      </x:c>
      <x:c r="H48" s="80" t="n">
        <x:f>F48*G48</x:f>
        <x:v>0</x:v>
      </x:c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</x:row>
    <x:row r="49" ht="23" customHeight="1">
      <x:c r="A49" s="60" t="str">
        <x:v>MQ-0042</x:v>
      </x:c>
      <x:c r="B49" s="60" t="str">
        <x:v>RC01</x:v>
      </x:c>
      <x:c r="C49" s="60" t="n">
        <x:v>6</x:v>
      </x:c>
      <x:c r="D49" s="60" t="str">
        <x:v>ZONE-4</x:v>
      </x:c>
      <x:c r="E49" s="60" t="str">
        <x:v>m3</x:v>
      </x:c>
      <x:c r="F49" s="82" t="n">
        <x:v>0</x:v>
      </x:c>
      <x:c r="G49" s="78" t="n">
        <x:f>INDEX('Baseline'!$F$8:$F$39,MATCH(B49,'Baseline'!$A$8:$A$39,0))</x:f>
        <x:v>94</x:v>
      </x:c>
      <x:c r="H49" s="83" t="n">
        <x:f>F49*G49</x:f>
        <x:v>0</x:v>
      </x:c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</x:row>
    <x:row r="50" ht="23" customHeight="1">
      <x:c r="A50" s="58" t="str">
        <x:v>MQ-0043</x:v>
      </x:c>
      <x:c r="B50" s="58" t="str">
        <x:v>RC01</x:v>
      </x:c>
      <x:c r="C50" s="58" t="n">
        <x:v>7</x:v>
      </x:c>
      <x:c r="D50" s="58" t="str">
        <x:v>ZONE-4</x:v>
      </x:c>
      <x:c r="E50" s="58" t="str">
        <x:v>m3</x:v>
      </x:c>
      <x:c r="F50" s="79" t="n">
        <x:v>0</x:v>
      </x:c>
      <x:c r="G50" s="74" t="n">
        <x:f>INDEX('Baseline'!$F$8:$F$39,MATCH(B50,'Baseline'!$A$8:$A$39,0))</x:f>
        <x:v>94</x:v>
      </x:c>
      <x:c r="H50" s="80" t="n">
        <x:f>F50*G50</x:f>
        <x:v>0</x:v>
      </x:c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</x:row>
    <x:row r="51" ht="23" customHeight="1">
      <x:c r="A51" s="60" t="str">
        <x:v>MQ-0044</x:v>
      </x:c>
      <x:c r="B51" s="60" t="str">
        <x:v>RC01</x:v>
      </x:c>
      <x:c r="C51" s="60" t="n">
        <x:v>8</x:v>
      </x:c>
      <x:c r="D51" s="60" t="str">
        <x:v>ZONE-4</x:v>
      </x:c>
      <x:c r="E51" s="60" t="str">
        <x:v>m3</x:v>
      </x:c>
      <x:c r="F51" s="82" t="n">
        <x:v>0</x:v>
      </x:c>
      <x:c r="G51" s="78" t="n">
        <x:f>INDEX('Baseline'!$F$8:$F$39,MATCH(B51,'Baseline'!$A$8:$A$39,0))</x:f>
        <x:v>94</x:v>
      </x:c>
      <x:c r="H51" s="83" t="n">
        <x:f>F51*G51</x:f>
        <x:v>0</x:v>
      </x:c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</x:row>
    <x:row r="52" ht="23" customHeight="1">
      <x:c r="A52" s="58" t="str">
        <x:v>MQ-0045</x:v>
      </x:c>
      <x:c r="B52" s="58" t="str">
        <x:v>RC01</x:v>
      </x:c>
      <x:c r="C52" s="58" t="n">
        <x:v>9</x:v>
      </x:c>
      <x:c r="D52" s="58" t="str">
        <x:v>ZONE-4</x:v>
      </x:c>
      <x:c r="E52" s="58" t="str">
        <x:v>m3</x:v>
      </x:c>
      <x:c r="F52" s="79" t="n">
        <x:v>0</x:v>
      </x:c>
      <x:c r="G52" s="74" t="n">
        <x:f>INDEX('Baseline'!$F$8:$F$39,MATCH(B52,'Baseline'!$A$8:$A$39,0))</x:f>
        <x:v>94</x:v>
      </x:c>
      <x:c r="H52" s="80" t="n">
        <x:f>F52*G52</x:f>
        <x:v>0</x:v>
      </x:c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</x:row>
    <x:row r="53" ht="23" customHeight="1">
      <x:c r="A53" s="60" t="str">
        <x:v>MQ-0046</x:v>
      </x:c>
      <x:c r="B53" s="60" t="str">
        <x:v>RC01</x:v>
      </x:c>
      <x:c r="C53" s="60" t="n">
        <x:v>10</x:v>
      </x:c>
      <x:c r="D53" s="60" t="str">
        <x:v>ZONE-4</x:v>
      </x:c>
      <x:c r="E53" s="60" t="str">
        <x:v>m3</x:v>
      </x:c>
      <x:c r="F53" s="82" t="n">
        <x:v>0</x:v>
      </x:c>
      <x:c r="G53" s="78" t="n">
        <x:f>INDEX('Baseline'!$F$8:$F$39,MATCH(B53,'Baseline'!$A$8:$A$39,0))</x:f>
        <x:v>94</x:v>
      </x:c>
      <x:c r="H53" s="83" t="n">
        <x:f>F53*G53</x:f>
        <x:v>0</x:v>
      </x:c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</x:row>
    <x:row r="54" ht="23" customHeight="1">
      <x:c r="A54" s="58" t="str">
        <x:v>MQ-0047</x:v>
      </x:c>
      <x:c r="B54" s="58" t="str">
        <x:v>RC01</x:v>
      </x:c>
      <x:c r="C54" s="58" t="n">
        <x:v>11</x:v>
      </x:c>
      <x:c r="D54" s="58" t="str">
        <x:v>ZONE-4</x:v>
      </x:c>
      <x:c r="E54" s="58" t="str">
        <x:v>m3</x:v>
      </x:c>
      <x:c r="F54" s="79" t="n">
        <x:v>0</x:v>
      </x:c>
      <x:c r="G54" s="74" t="n">
        <x:f>INDEX('Baseline'!$F$8:$F$39,MATCH(B54,'Baseline'!$A$8:$A$39,0))</x:f>
        <x:v>94</x:v>
      </x:c>
      <x:c r="H54" s="80" t="n">
        <x:f>F54*G54</x:f>
        <x:v>0</x:v>
      </x:c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</x:row>
    <x:row r="55" ht="23" customHeight="1">
      <x:c r="A55" s="60" t="str">
        <x:v>MQ-0048</x:v>
      </x:c>
      <x:c r="B55" s="60" t="str">
        <x:v>RC01</x:v>
      </x:c>
      <x:c r="C55" s="60" t="n">
        <x:v>12</x:v>
      </x:c>
      <x:c r="D55" s="60" t="str">
        <x:v>ZONE-4</x:v>
      </x:c>
      <x:c r="E55" s="60" t="str">
        <x:v>m3</x:v>
      </x:c>
      <x:c r="F55" s="82" t="n">
        <x:v>0</x:v>
      </x:c>
      <x:c r="G55" s="78" t="n">
        <x:f>INDEX('Baseline'!$F$8:$F$39,MATCH(B55,'Baseline'!$A$8:$A$39,0))</x:f>
        <x:v>94</x:v>
      </x:c>
      <x:c r="H55" s="83" t="n">
        <x:f>F55*G55</x:f>
        <x:v>0</x:v>
      </x:c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</x:row>
    <x:row r="56" ht="23" customHeight="1">
      <x:c r="A56" s="58" t="str">
        <x:v>MQ-0049</x:v>
      </x:c>
      <x:c r="B56" s="58" t="str">
        <x:v>RC02</x:v>
      </x:c>
      <x:c r="C56" s="58" t="n">
        <x:v>1</x:v>
      </x:c>
      <x:c r="D56" s="58" t="str">
        <x:v>ZONE-5</x:v>
      </x:c>
      <x:c r="E56" s="58" t="str">
        <x:v>m3</x:v>
      </x:c>
      <x:c r="F56" s="79" t="n">
        <x:v>0</x:v>
      </x:c>
      <x:c r="G56" s="74" t="n">
        <x:f>INDEX('Baseline'!$F$8:$F$39,MATCH(B56,'Baseline'!$A$8:$A$39,0))</x:f>
        <x:v>136</x:v>
      </x:c>
      <x:c r="H56" s="80" t="n">
        <x:f>F56*G56</x:f>
        <x:v>0</x:v>
      </x:c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</x:row>
    <x:row r="57" ht="23" customHeight="1">
      <x:c r="A57" s="60" t="str">
        <x:v>MQ-0050</x:v>
      </x:c>
      <x:c r="B57" s="60" t="str">
        <x:v>RC02</x:v>
      </x:c>
      <x:c r="C57" s="60" t="n">
        <x:v>2</x:v>
      </x:c>
      <x:c r="D57" s="60" t="str">
        <x:v>ZONE-5</x:v>
      </x:c>
      <x:c r="E57" s="60" t="str">
        <x:v>m3</x:v>
      </x:c>
      <x:c r="F57" s="82" t="n">
        <x:v>0</x:v>
      </x:c>
      <x:c r="G57" s="78" t="n">
        <x:f>INDEX('Baseline'!$F$8:$F$39,MATCH(B57,'Baseline'!$A$8:$A$39,0))</x:f>
        <x:v>136</x:v>
      </x:c>
      <x:c r="H57" s="83" t="n">
        <x:f>F57*G57</x:f>
        <x:v>0</x:v>
      </x:c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</x:row>
    <x:row r="58" ht="23" customHeight="1">
      <x:c r="A58" s="58" t="str">
        <x:v>MQ-0051</x:v>
      </x:c>
      <x:c r="B58" s="58" t="str">
        <x:v>RC02</x:v>
      </x:c>
      <x:c r="C58" s="58" t="n">
        <x:v>3</x:v>
      </x:c>
      <x:c r="D58" s="58" t="str">
        <x:v>ZONE-5</x:v>
      </x:c>
      <x:c r="E58" s="58" t="str">
        <x:v>m3</x:v>
      </x:c>
      <x:c r="F58" s="79" t="n">
        <x:v>3060</x:v>
      </x:c>
      <x:c r="G58" s="74" t="n">
        <x:f>INDEX('Baseline'!$F$8:$F$39,MATCH(B58,'Baseline'!$A$8:$A$39,0))</x:f>
        <x:v>136</x:v>
      </x:c>
      <x:c r="H58" s="80" t="n">
        <x:f>F58*G58</x:f>
        <x:v>416160</x:v>
      </x:c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</x:row>
    <x:row r="59" ht="23" customHeight="1">
      <x:c r="A59" s="60" t="str">
        <x:v>MQ-0052</x:v>
      </x:c>
      <x:c r="B59" s="60" t="str">
        <x:v>RC02</x:v>
      </x:c>
      <x:c r="C59" s="60" t="n">
        <x:v>4</x:v>
      </x:c>
      <x:c r="D59" s="60" t="str">
        <x:v>ZONE-5</x:v>
      </x:c>
      <x:c r="E59" s="60" t="str">
        <x:v>m3</x:v>
      </x:c>
      <x:c r="F59" s="82" t="n">
        <x:v>3060</x:v>
      </x:c>
      <x:c r="G59" s="78" t="n">
        <x:f>INDEX('Baseline'!$F$8:$F$39,MATCH(B59,'Baseline'!$A$8:$A$39,0))</x:f>
        <x:v>136</x:v>
      </x:c>
      <x:c r="H59" s="83" t="n">
        <x:f>F59*G59</x:f>
        <x:v>416160</x:v>
      </x:c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</x:row>
    <x:row r="60" ht="23" customHeight="1">
      <x:c r="A60" s="58" t="str">
        <x:v>MQ-0053</x:v>
      </x:c>
      <x:c r="B60" s="58" t="str">
        <x:v>RC02</x:v>
      </x:c>
      <x:c r="C60" s="58" t="n">
        <x:v>5</x:v>
      </x:c>
      <x:c r="D60" s="58" t="str">
        <x:v>ZONE-5</x:v>
      </x:c>
      <x:c r="E60" s="58" t="str">
        <x:v>m3</x:v>
      </x:c>
      <x:c r="F60" s="79" t="n">
        <x:v>3060</x:v>
      </x:c>
      <x:c r="G60" s="74" t="n">
        <x:f>INDEX('Baseline'!$F$8:$F$39,MATCH(B60,'Baseline'!$A$8:$A$39,0))</x:f>
        <x:v>136</x:v>
      </x:c>
      <x:c r="H60" s="80" t="n">
        <x:f>F60*G60</x:f>
        <x:v>416160</x:v>
      </x:c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</x:row>
    <x:row r="61" ht="23" customHeight="1">
      <x:c r="A61" s="60" t="str">
        <x:v>MQ-0054</x:v>
      </x:c>
      <x:c r="B61" s="60" t="str">
        <x:v>RC02</x:v>
      </x:c>
      <x:c r="C61" s="60" t="n">
        <x:v>6</x:v>
      </x:c>
      <x:c r="D61" s="60" t="str">
        <x:v>ZONE-5</x:v>
      </x:c>
      <x:c r="E61" s="60" t="str">
        <x:v>m3</x:v>
      </x:c>
      <x:c r="F61" s="82" t="n">
        <x:v>3060</x:v>
      </x:c>
      <x:c r="G61" s="78" t="n">
        <x:f>INDEX('Baseline'!$F$8:$F$39,MATCH(B61,'Baseline'!$A$8:$A$39,0))</x:f>
        <x:v>136</x:v>
      </x:c>
      <x:c r="H61" s="83" t="n">
        <x:f>F61*G61</x:f>
        <x:v>416160</x:v>
      </x:c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</x:row>
    <x:row r="62" ht="23" customHeight="1">
      <x:c r="A62" s="58" t="str">
        <x:v>MQ-0055</x:v>
      </x:c>
      <x:c r="B62" s="58" t="str">
        <x:v>RC02</x:v>
      </x:c>
      <x:c r="C62" s="58" t="n">
        <x:v>7</x:v>
      </x:c>
      <x:c r="D62" s="58" t="str">
        <x:v>ZONE-5</x:v>
      </x:c>
      <x:c r="E62" s="58" t="str">
        <x:v>m3</x:v>
      </x:c>
      <x:c r="F62" s="79" t="n">
        <x:v>0</x:v>
      </x:c>
      <x:c r="G62" s="74" t="n">
        <x:f>INDEX('Baseline'!$F$8:$F$39,MATCH(B62,'Baseline'!$A$8:$A$39,0))</x:f>
        <x:v>136</x:v>
      </x:c>
      <x:c r="H62" s="80" t="n">
        <x:f>F62*G62</x:f>
        <x:v>0</x:v>
      </x:c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</x:row>
    <x:row r="63" ht="23" customHeight="1">
      <x:c r="A63" s="60" t="str">
        <x:v>MQ-0056</x:v>
      </x:c>
      <x:c r="B63" s="60" t="str">
        <x:v>RC02</x:v>
      </x:c>
      <x:c r="C63" s="60" t="n">
        <x:v>8</x:v>
      </x:c>
      <x:c r="D63" s="60" t="str">
        <x:v>ZONE-5</x:v>
      </x:c>
      <x:c r="E63" s="60" t="str">
        <x:v>m3</x:v>
      </x:c>
      <x:c r="F63" s="82" t="n">
        <x:v>0</x:v>
      </x:c>
      <x:c r="G63" s="78" t="n">
        <x:f>INDEX('Baseline'!$F$8:$F$39,MATCH(B63,'Baseline'!$A$8:$A$39,0))</x:f>
        <x:v>136</x:v>
      </x:c>
      <x:c r="H63" s="83" t="n">
        <x:f>F63*G63</x:f>
        <x:v>0</x:v>
      </x:c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</x:row>
    <x:row r="64" ht="23" customHeight="1">
      <x:c r="A64" s="58" t="str">
        <x:v>MQ-0057</x:v>
      </x:c>
      <x:c r="B64" s="58" t="str">
        <x:v>RC02</x:v>
      </x:c>
      <x:c r="C64" s="58" t="n">
        <x:v>9</x:v>
      </x:c>
      <x:c r="D64" s="58" t="str">
        <x:v>ZONE-5</x:v>
      </x:c>
      <x:c r="E64" s="58" t="str">
        <x:v>m3</x:v>
      </x:c>
      <x:c r="F64" s="79" t="n">
        <x:v>0</x:v>
      </x:c>
      <x:c r="G64" s="74" t="n">
        <x:f>INDEX('Baseline'!$F$8:$F$39,MATCH(B64,'Baseline'!$A$8:$A$39,0))</x:f>
        <x:v>136</x:v>
      </x:c>
      <x:c r="H64" s="80" t="n">
        <x:f>F64*G64</x:f>
        <x:v>0</x:v>
      </x:c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</x:row>
    <x:row r="65" ht="23" customHeight="1">
      <x:c r="A65" s="60" t="str">
        <x:v>MQ-0058</x:v>
      </x:c>
      <x:c r="B65" s="60" t="str">
        <x:v>RC02</x:v>
      </x:c>
      <x:c r="C65" s="60" t="n">
        <x:v>10</x:v>
      </x:c>
      <x:c r="D65" s="60" t="str">
        <x:v>ZONE-5</x:v>
      </x:c>
      <x:c r="E65" s="60" t="str">
        <x:v>m3</x:v>
      </x:c>
      <x:c r="F65" s="82" t="n">
        <x:v>0</x:v>
      </x:c>
      <x:c r="G65" s="78" t="n">
        <x:f>INDEX('Baseline'!$F$8:$F$39,MATCH(B65,'Baseline'!$A$8:$A$39,0))</x:f>
        <x:v>136</x:v>
      </x:c>
      <x:c r="H65" s="83" t="n">
        <x:f>F65*G65</x:f>
        <x:v>0</x:v>
      </x:c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</x:row>
    <x:row r="66" ht="23" customHeight="1">
      <x:c r="A66" s="58" t="str">
        <x:v>MQ-0059</x:v>
      </x:c>
      <x:c r="B66" s="58" t="str">
        <x:v>RC02</x:v>
      </x:c>
      <x:c r="C66" s="58" t="n">
        <x:v>11</x:v>
      </x:c>
      <x:c r="D66" s="58" t="str">
        <x:v>ZONE-5</x:v>
      </x:c>
      <x:c r="E66" s="58" t="str">
        <x:v>m3</x:v>
      </x:c>
      <x:c r="F66" s="79" t="n">
        <x:v>0</x:v>
      </x:c>
      <x:c r="G66" s="74" t="n">
        <x:f>INDEX('Baseline'!$F$8:$F$39,MATCH(B66,'Baseline'!$A$8:$A$39,0))</x:f>
        <x:v>136</x:v>
      </x:c>
      <x:c r="H66" s="80" t="n">
        <x:f>F66*G66</x:f>
        <x:v>0</x:v>
      </x:c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</x:row>
    <x:row r="67" ht="23" customHeight="1">
      <x:c r="A67" s="60" t="str">
        <x:v>MQ-0060</x:v>
      </x:c>
      <x:c r="B67" s="60" t="str">
        <x:v>RC02</x:v>
      </x:c>
      <x:c r="C67" s="60" t="n">
        <x:v>12</x:v>
      </x:c>
      <x:c r="D67" s="60" t="str">
        <x:v>ZONE-5</x:v>
      </x:c>
      <x:c r="E67" s="60" t="str">
        <x:v>m3</x:v>
      </x:c>
      <x:c r="F67" s="82" t="n">
        <x:v>0</x:v>
      </x:c>
      <x:c r="G67" s="78" t="n">
        <x:f>INDEX('Baseline'!$F$8:$F$39,MATCH(B67,'Baseline'!$A$8:$A$39,0))</x:f>
        <x:v>136</x:v>
      </x:c>
      <x:c r="H67" s="83" t="n">
        <x:f>F67*G67</x:f>
        <x:v>0</x:v>
      </x:c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</x:row>
    <x:row r="68" ht="23" customHeight="1">
      <x:c r="A68" s="58" t="str">
        <x:v>MQ-0061</x:v>
      </x:c>
      <x:c r="B68" s="58" t="str">
        <x:v>RC03</x:v>
      </x:c>
      <x:c r="C68" s="58" t="n">
        <x:v>1</x:v>
      </x:c>
      <x:c r="D68" s="58" t="str">
        <x:v>ZONE-6</x:v>
      </x:c>
      <x:c r="E68" s="58" t="str">
        <x:v>m3</x:v>
      </x:c>
      <x:c r="F68" s="79" t="n">
        <x:v>0</x:v>
      </x:c>
      <x:c r="G68" s="74" t="n">
        <x:f>INDEX('Baseline'!$F$8:$F$39,MATCH(B68,'Baseline'!$A$8:$A$39,0))</x:f>
        <x:v>143</x:v>
      </x:c>
      <x:c r="H68" s="80" t="n">
        <x:f>F68*G68</x:f>
        <x:v>0</x:v>
      </x:c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</x:row>
    <x:row r="69" ht="23" customHeight="1">
      <x:c r="A69" s="60" t="str">
        <x:v>MQ-0062</x:v>
      </x:c>
      <x:c r="B69" s="60" t="str">
        <x:v>RC03</x:v>
      </x:c>
      <x:c r="C69" s="60" t="n">
        <x:v>2</x:v>
      </x:c>
      <x:c r="D69" s="60" t="str">
        <x:v>ZONE-6</x:v>
      </x:c>
      <x:c r="E69" s="60" t="str">
        <x:v>m3</x:v>
      </x:c>
      <x:c r="F69" s="82" t="n">
        <x:v>0</x:v>
      </x:c>
      <x:c r="G69" s="78" t="n">
        <x:f>INDEX('Baseline'!$F$8:$F$39,MATCH(B69,'Baseline'!$A$8:$A$39,0))</x:f>
        <x:v>143</x:v>
      </x:c>
      <x:c r="H69" s="83" t="n">
        <x:f>F69*G69</x:f>
        <x:v>0</x:v>
      </x:c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</x:row>
    <x:row r="70" ht="23" customHeight="1">
      <x:c r="A70" s="58" t="str">
        <x:v>MQ-0063</x:v>
      </x:c>
      <x:c r="B70" s="58" t="str">
        <x:v>RC03</x:v>
      </x:c>
      <x:c r="C70" s="58" t="n">
        <x:v>3</x:v>
      </x:c>
      <x:c r="D70" s="58" t="str">
        <x:v>ZONE-6</x:v>
      </x:c>
      <x:c r="E70" s="58" t="str">
        <x:v>m3</x:v>
      </x:c>
      <x:c r="F70" s="79" t="n">
        <x:v>0</x:v>
      </x:c>
      <x:c r="G70" s="74" t="n">
        <x:f>INDEX('Baseline'!$F$8:$F$39,MATCH(B70,'Baseline'!$A$8:$A$39,0))</x:f>
        <x:v>143</x:v>
      </x:c>
      <x:c r="H70" s="80" t="n">
        <x:f>F70*G70</x:f>
        <x:v>0</x:v>
      </x:c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</x:row>
    <x:row r="71" ht="23" customHeight="1">
      <x:c r="A71" s="60" t="str">
        <x:v>MQ-0064</x:v>
      </x:c>
      <x:c r="B71" s="60" t="str">
        <x:v>RC03</x:v>
      </x:c>
      <x:c r="C71" s="60" t="n">
        <x:v>4</x:v>
      </x:c>
      <x:c r="D71" s="60" t="str">
        <x:v>ZONE-6</x:v>
      </x:c>
      <x:c r="E71" s="60" t="str">
        <x:v>m3</x:v>
      </x:c>
      <x:c r="F71" s="82" t="n">
        <x:v>0</x:v>
      </x:c>
      <x:c r="G71" s="78" t="n">
        <x:f>INDEX('Baseline'!$F$8:$F$39,MATCH(B71,'Baseline'!$A$8:$A$39,0))</x:f>
        <x:v>143</x:v>
      </x:c>
      <x:c r="H71" s="83" t="n">
        <x:f>F71*G71</x:f>
        <x:v>0</x:v>
      </x:c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</x:row>
    <x:row r="72" ht="23" customHeight="1">
      <x:c r="A72" s="58" t="str">
        <x:v>MQ-0065</x:v>
      </x:c>
      <x:c r="B72" s="58" t="str">
        <x:v>RC03</x:v>
      </x:c>
      <x:c r="C72" s="58" t="n">
        <x:v>5</x:v>
      </x:c>
      <x:c r="D72" s="58" t="str">
        <x:v>ZONE-6</x:v>
      </x:c>
      <x:c r="E72" s="58" t="str">
        <x:v>m3</x:v>
      </x:c>
      <x:c r="F72" s="79" t="n">
        <x:v>0</x:v>
      </x:c>
      <x:c r="G72" s="74" t="n">
        <x:f>INDEX('Baseline'!$F$8:$F$39,MATCH(B72,'Baseline'!$A$8:$A$39,0))</x:f>
        <x:v>143</x:v>
      </x:c>
      <x:c r="H72" s="80" t="n">
        <x:f>F72*G72</x:f>
        <x:v>0</x:v>
      </x:c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</x:row>
    <x:row r="73" ht="23" customHeight="1">
      <x:c r="A73" s="60" t="str">
        <x:v>MQ-0066</x:v>
      </x:c>
      <x:c r="B73" s="60" t="str">
        <x:v>RC03</x:v>
      </x:c>
      <x:c r="C73" s="60" t="n">
        <x:v>6</x:v>
      </x:c>
      <x:c r="D73" s="60" t="str">
        <x:v>ZONE-6</x:v>
      </x:c>
      <x:c r="E73" s="60" t="str">
        <x:v>m3</x:v>
      </x:c>
      <x:c r="F73" s="82" t="n">
        <x:v>0</x:v>
      </x:c>
      <x:c r="G73" s="78" t="n">
        <x:f>INDEX('Baseline'!$F$8:$F$39,MATCH(B73,'Baseline'!$A$8:$A$39,0))</x:f>
        <x:v>143</x:v>
      </x:c>
      <x:c r="H73" s="83" t="n">
        <x:f>F73*G73</x:f>
        <x:v>0</x:v>
      </x:c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</x:row>
    <x:row r="74" ht="23" customHeight="1">
      <x:c r="A74" s="58" t="str">
        <x:v>MQ-0067</x:v>
      </x:c>
      <x:c r="B74" s="58" t="str">
        <x:v>RC03</x:v>
      </x:c>
      <x:c r="C74" s="58" t="n">
        <x:v>7</x:v>
      </x:c>
      <x:c r="D74" s="58" t="str">
        <x:v>ZONE-6</x:v>
      </x:c>
      <x:c r="E74" s="58" t="str">
        <x:v>m3</x:v>
      </x:c>
      <x:c r="F74" s="79" t="n">
        <x:v>995.2799999999976</x:v>
      </x:c>
      <x:c r="G74" s="74" t="n">
        <x:f>INDEX('Baseline'!$F$8:$F$39,MATCH(B74,'Baseline'!$A$8:$A$39,0))</x:f>
        <x:v>143</x:v>
      </x:c>
      <x:c r="H74" s="80" t="n">
        <x:f>F74*G74</x:f>
        <x:v>142325.03999999966</x:v>
      </x:c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</x:row>
    <x:row r="75" ht="23" customHeight="1">
      <x:c r="A75" s="60" t="str">
        <x:v>MQ-0068</x:v>
      </x:c>
      <x:c r="B75" s="60" t="str">
        <x:v>RC03</x:v>
      </x:c>
      <x:c r="C75" s="60" t="n">
        <x:v>8</x:v>
      </x:c>
      <x:c r="D75" s="60" t="str">
        <x:v>ZONE-6</x:v>
      </x:c>
      <x:c r="E75" s="60" t="str">
        <x:v>m3</x:v>
      </x:c>
      <x:c r="F75" s="82" t="n">
        <x:v>995.2799999999976</x:v>
      </x:c>
      <x:c r="G75" s="78" t="n">
        <x:f>INDEX('Baseline'!$F$8:$F$39,MATCH(B75,'Baseline'!$A$8:$A$39,0))</x:f>
        <x:v>143</x:v>
      </x:c>
      <x:c r="H75" s="83" t="n">
        <x:f>F75*G75</x:f>
        <x:v>142325.03999999966</x:v>
      </x:c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</x:row>
    <x:row r="76" ht="23" customHeight="1">
      <x:c r="A76" s="58" t="str">
        <x:v>MQ-0069</x:v>
      </x:c>
      <x:c r="B76" s="58" t="str">
        <x:v>RC03</x:v>
      </x:c>
      <x:c r="C76" s="58" t="n">
        <x:v>9</x:v>
      </x:c>
      <x:c r="D76" s="58" t="str">
        <x:v>ZONE-6</x:v>
      </x:c>
      <x:c r="E76" s="58" t="str">
        <x:v>m3</x:v>
      </x:c>
      <x:c r="F76" s="79" t="n">
        <x:v>995.2799999999977</x:v>
      </x:c>
      <x:c r="G76" s="74" t="n">
        <x:f>INDEX('Baseline'!$F$8:$F$39,MATCH(B76,'Baseline'!$A$8:$A$39,0))</x:f>
        <x:v>143</x:v>
      </x:c>
      <x:c r="H76" s="80" t="n">
        <x:f>F76*G76</x:f>
        <x:v>142325.03999999966</x:v>
      </x:c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</x:row>
    <x:row r="77" ht="23" customHeight="1">
      <x:c r="A77" s="60" t="str">
        <x:v>MQ-0070</x:v>
      </x:c>
      <x:c r="B77" s="60" t="str">
        <x:v>RC03</x:v>
      </x:c>
      <x:c r="C77" s="60" t="n">
        <x:v>10</x:v>
      </x:c>
      <x:c r="D77" s="60" t="str">
        <x:v>ZONE-6</x:v>
      </x:c>
      <x:c r="E77" s="60" t="str">
        <x:v>m3</x:v>
      </x:c>
      <x:c r="F77" s="82" t="n">
        <x:v>995.2799999999975</x:v>
      </x:c>
      <x:c r="G77" s="78" t="n">
        <x:f>INDEX('Baseline'!$F$8:$F$39,MATCH(B77,'Baseline'!$A$8:$A$39,0))</x:f>
        <x:v>143</x:v>
      </x:c>
      <x:c r="H77" s="83" t="n">
        <x:f>F77*G77</x:f>
        <x:v>142325.03999999963</x:v>
      </x:c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</x:row>
    <x:row r="78" ht="23" customHeight="1">
      <x:c r="A78" s="58" t="str">
        <x:v>MQ-0071</x:v>
      </x:c>
      <x:c r="B78" s="58" t="str">
        <x:v>RC03</x:v>
      </x:c>
      <x:c r="C78" s="58" t="n">
        <x:v>11</x:v>
      </x:c>
      <x:c r="D78" s="58" t="str">
        <x:v>ZONE-6</x:v>
      </x:c>
      <x:c r="E78" s="58" t="str">
        <x:v>m3</x:v>
      </x:c>
      <x:c r="F78" s="79" t="n">
        <x:v>995.2799999999984</x:v>
      </x:c>
      <x:c r="G78" s="74" t="n">
        <x:f>INDEX('Baseline'!$F$8:$F$39,MATCH(B78,'Baseline'!$A$8:$A$39,0))</x:f>
        <x:v>143</x:v>
      </x:c>
      <x:c r="H78" s="80" t="n">
        <x:f>F78*G78</x:f>
        <x:v>142325.03999999978</x:v>
      </x:c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</x:row>
    <x:row r="79" ht="23" customHeight="1">
      <x:c r="A79" s="60" t="str">
        <x:v>MQ-0072</x:v>
      </x:c>
      <x:c r="B79" s="60" t="str">
        <x:v>RC03</x:v>
      </x:c>
      <x:c r="C79" s="60" t="n">
        <x:v>12</x:v>
      </x:c>
      <x:c r="D79" s="60" t="str">
        <x:v>ZONE-6</x:v>
      </x:c>
      <x:c r="E79" s="60" t="str">
        <x:v>m3</x:v>
      </x:c>
      <x:c r="F79" s="82" t="n">
        <x:v>995.279999999997</x:v>
      </x:c>
      <x:c r="G79" s="78" t="n">
        <x:f>INDEX('Baseline'!$F$8:$F$39,MATCH(B79,'Baseline'!$A$8:$A$39,0))</x:f>
        <x:v>143</x:v>
      </x:c>
      <x:c r="H79" s="83" t="n">
        <x:f>F79*G79</x:f>
        <x:v>142325.03999999957</x:v>
      </x:c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</x:row>
    <x:row r="80" ht="23" customHeight="1">
      <x:c r="A80" s="58" t="str">
        <x:v>MQ-0073</x:v>
      </x:c>
      <x:c r="B80" s="58" t="str">
        <x:v>RC04</x:v>
      </x:c>
      <x:c r="C80" s="58" t="n">
        <x:v>1</x:v>
      </x:c>
      <x:c r="D80" s="58" t="str">
        <x:v>ZONE-1</x:v>
      </x:c>
      <x:c r="E80" s="58" t="str">
        <x:v>m3</x:v>
      </x:c>
      <x:c r="F80" s="79" t="n">
        <x:v>0</x:v>
      </x:c>
      <x:c r="G80" s="74" t="n">
        <x:f>INDEX('Baseline'!$F$8:$F$39,MATCH(B80,'Baseline'!$A$8:$A$39,0))</x:f>
        <x:v>151</x:v>
      </x:c>
      <x:c r="H80" s="80" t="n">
        <x:f>F80*G80</x:f>
        <x:v>0</x:v>
      </x:c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</x:row>
    <x:row r="81" ht="23" customHeight="1">
      <x:c r="A81" s="60" t="str">
        <x:v>MQ-0074</x:v>
      </x:c>
      <x:c r="B81" s="60" t="str">
        <x:v>RC04</x:v>
      </x:c>
      <x:c r="C81" s="60" t="n">
        <x:v>2</x:v>
      </x:c>
      <x:c r="D81" s="60" t="str">
        <x:v>ZONE-1</x:v>
      </x:c>
      <x:c r="E81" s="60" t="str">
        <x:v>m3</x:v>
      </x:c>
      <x:c r="F81" s="82" t="n">
        <x:v>0</x:v>
      </x:c>
      <x:c r="G81" s="78" t="n">
        <x:f>INDEX('Baseline'!$F$8:$F$39,MATCH(B81,'Baseline'!$A$8:$A$39,0))</x:f>
        <x:v>151</x:v>
      </x:c>
      <x:c r="H81" s="83" t="n">
        <x:f>F81*G81</x:f>
        <x:v>0</x:v>
      </x:c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</x:row>
    <x:row r="82" ht="23" customHeight="1">
      <x:c r="A82" s="58" t="str">
        <x:v>MQ-0075</x:v>
      </x:c>
      <x:c r="B82" s="58" t="str">
        <x:v>RC04</x:v>
      </x:c>
      <x:c r="C82" s="58" t="n">
        <x:v>3</x:v>
      </x:c>
      <x:c r="D82" s="58" t="str">
        <x:v>ZONE-1</x:v>
      </x:c>
      <x:c r="E82" s="58" t="str">
        <x:v>m3</x:v>
      </x:c>
      <x:c r="F82" s="79" t="n">
        <x:v>0</x:v>
      </x:c>
      <x:c r="G82" s="74" t="n">
        <x:f>INDEX('Baseline'!$F$8:$F$39,MATCH(B82,'Baseline'!$A$8:$A$39,0))</x:f>
        <x:v>151</x:v>
      </x:c>
      <x:c r="H82" s="80" t="n">
        <x:f>F82*G82</x:f>
        <x:v>0</x:v>
      </x:c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</x:row>
    <x:row r="83" ht="23" customHeight="1">
      <x:c r="A83" s="60" t="str">
        <x:v>MQ-0076</x:v>
      </x:c>
      <x:c r="B83" s="60" t="str">
        <x:v>RC04</x:v>
      </x:c>
      <x:c r="C83" s="60" t="n">
        <x:v>4</x:v>
      </x:c>
      <x:c r="D83" s="60" t="str">
        <x:v>ZONE-1</x:v>
      </x:c>
      <x:c r="E83" s="60" t="str">
        <x:v>m3</x:v>
      </x:c>
      <x:c r="F83" s="82" t="n">
        <x:v>0</x:v>
      </x:c>
      <x:c r="G83" s="78" t="n">
        <x:f>INDEX('Baseline'!$F$8:$F$39,MATCH(B83,'Baseline'!$A$8:$A$39,0))</x:f>
        <x:v>151</x:v>
      </x:c>
      <x:c r="H83" s="83" t="n">
        <x:f>F83*G83</x:f>
        <x:v>0</x:v>
      </x:c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</x:row>
    <x:row r="84" ht="23" customHeight="1">
      <x:c r="A84" s="58" t="str">
        <x:v>MQ-0077</x:v>
      </x:c>
      <x:c r="B84" s="58" t="str">
        <x:v>RC04</x:v>
      </x:c>
      <x:c r="C84" s="58" t="n">
        <x:v>5</x:v>
      </x:c>
      <x:c r="D84" s="58" t="str">
        <x:v>ZONE-1</x:v>
      </x:c>
      <x:c r="E84" s="58" t="str">
        <x:v>m3</x:v>
      </x:c>
      <x:c r="F84" s="79" t="n">
        <x:v>0</x:v>
      </x:c>
      <x:c r="G84" s="74" t="n">
        <x:f>INDEX('Baseline'!$F$8:$F$39,MATCH(B84,'Baseline'!$A$8:$A$39,0))</x:f>
        <x:v>151</x:v>
      </x:c>
      <x:c r="H84" s="80" t="n">
        <x:f>F84*G84</x:f>
        <x:v>0</x:v>
      </x:c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</x:row>
    <x:row r="85" ht="23" customHeight="1">
      <x:c r="A85" s="60" t="str">
        <x:v>MQ-0078</x:v>
      </x:c>
      <x:c r="B85" s="60" t="str">
        <x:v>RC04</x:v>
      </x:c>
      <x:c r="C85" s="60" t="n">
        <x:v>6</x:v>
      </x:c>
      <x:c r="D85" s="60" t="str">
        <x:v>ZONE-1</x:v>
      </x:c>
      <x:c r="E85" s="60" t="str">
        <x:v>m3</x:v>
      </x:c>
      <x:c r="F85" s="82" t="n">
        <x:v>199.69949999999977</x:v>
      </x:c>
      <x:c r="G85" s="78" t="n">
        <x:f>INDEX('Baseline'!$F$8:$F$39,MATCH(B85,'Baseline'!$A$8:$A$39,0))</x:f>
        <x:v>151</x:v>
      </x:c>
      <x:c r="H85" s="83" t="n">
        <x:f>F85*G85</x:f>
        <x:v>30154.624499999965</x:v>
      </x:c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</x:row>
    <x:row r="86" ht="23" customHeight="1">
      <x:c r="A86" s="58" t="str">
        <x:v>MQ-0079</x:v>
      </x:c>
      <x:c r="B86" s="58" t="str">
        <x:v>RC04</x:v>
      </x:c>
      <x:c r="C86" s="58" t="n">
        <x:v>7</x:v>
      </x:c>
      <x:c r="D86" s="58" t="str">
        <x:v>ZONE-1</x:v>
      </x:c>
      <x:c r="E86" s="58" t="str">
        <x:v>m3</x:v>
      </x:c>
      <x:c r="F86" s="79" t="n">
        <x:v>199.69949999999977</x:v>
      </x:c>
      <x:c r="G86" s="74" t="n">
        <x:f>INDEX('Baseline'!$F$8:$F$39,MATCH(B86,'Baseline'!$A$8:$A$39,0))</x:f>
        <x:v>151</x:v>
      </x:c>
      <x:c r="H86" s="80" t="n">
        <x:f>F86*G86</x:f>
        <x:v>30154.624499999965</x:v>
      </x:c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</x:row>
    <x:row r="87" ht="23" customHeight="1">
      <x:c r="A87" s="60" t="str">
        <x:v>MQ-0080</x:v>
      </x:c>
      <x:c r="B87" s="60" t="str">
        <x:v>RC04</x:v>
      </x:c>
      <x:c r="C87" s="60" t="n">
        <x:v>8</x:v>
      </x:c>
      <x:c r="D87" s="60" t="str">
        <x:v>ZONE-1</x:v>
      </x:c>
      <x:c r="E87" s="60" t="str">
        <x:v>m3</x:v>
      </x:c>
      <x:c r="F87" s="82" t="n">
        <x:v>199.69949999999983</x:v>
      </x:c>
      <x:c r="G87" s="78" t="n">
        <x:f>INDEX('Baseline'!$F$8:$F$39,MATCH(B87,'Baseline'!$A$8:$A$39,0))</x:f>
        <x:v>151</x:v>
      </x:c>
      <x:c r="H87" s="83" t="n">
        <x:f>F87*G87</x:f>
        <x:v>30154.624499999973</x:v>
      </x:c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</x:row>
    <x:row r="88" ht="23" customHeight="1">
      <x:c r="A88" s="58" t="str">
        <x:v>MQ-0081</x:v>
      </x:c>
      <x:c r="B88" s="58" t="str">
        <x:v>RC04</x:v>
      </x:c>
      <x:c r="C88" s="58" t="n">
        <x:v>9</x:v>
      </x:c>
      <x:c r="D88" s="58" t="str">
        <x:v>ZONE-1</x:v>
      </x:c>
      <x:c r="E88" s="58" t="str">
        <x:v>m3</x:v>
      </x:c>
      <x:c r="F88" s="79" t="n">
        <x:v>199.69949999999972</x:v>
      </x:c>
      <x:c r="G88" s="74" t="n">
        <x:f>INDEX('Baseline'!$F$8:$F$39,MATCH(B88,'Baseline'!$A$8:$A$39,0))</x:f>
        <x:v>151</x:v>
      </x:c>
      <x:c r="H88" s="80" t="n">
        <x:f>F88*G88</x:f>
        <x:v>30154.624499999958</x:v>
      </x:c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</x:row>
    <x:row r="89" ht="23" customHeight="1">
      <x:c r="A89" s="60" t="str">
        <x:v>MQ-0082</x:v>
      </x:c>
      <x:c r="B89" s="60" t="str">
        <x:v>RC04</x:v>
      </x:c>
      <x:c r="C89" s="60" t="n">
        <x:v>10</x:v>
      </x:c>
      <x:c r="D89" s="60" t="str">
        <x:v>ZONE-1</x:v>
      </x:c>
      <x:c r="E89" s="60" t="str">
        <x:v>m3</x:v>
      </x:c>
      <x:c r="F89" s="82" t="n">
        <x:v>199.69949999999994</x:v>
      </x:c>
      <x:c r="G89" s="78" t="n">
        <x:f>INDEX('Baseline'!$F$8:$F$39,MATCH(B89,'Baseline'!$A$8:$A$39,0))</x:f>
        <x:v>151</x:v>
      </x:c>
      <x:c r="H89" s="83" t="n">
        <x:f>F89*G89</x:f>
        <x:v>30154.62449999999</x:v>
      </x:c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</x:row>
    <x:row r="90" ht="23" customHeight="1">
      <x:c r="A90" s="58" t="str">
        <x:v>MQ-0083</x:v>
      </x:c>
      <x:c r="B90" s="58" t="str">
        <x:v>RC04</x:v>
      </x:c>
      <x:c r="C90" s="58" t="n">
        <x:v>11</x:v>
      </x:c>
      <x:c r="D90" s="58" t="str">
        <x:v>ZONE-1</x:v>
      </x:c>
      <x:c r="E90" s="58" t="str">
        <x:v>m3</x:v>
      </x:c>
      <x:c r="F90" s="79" t="n">
        <x:v>199.69949999999972</x:v>
      </x:c>
      <x:c r="G90" s="74" t="n">
        <x:f>INDEX('Baseline'!$F$8:$F$39,MATCH(B90,'Baseline'!$A$8:$A$39,0))</x:f>
        <x:v>151</x:v>
      </x:c>
      <x:c r="H90" s="80" t="n">
        <x:f>F90*G90</x:f>
        <x:v>30154.624499999958</x:v>
      </x:c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</x:row>
    <x:row r="91" ht="23" customHeight="1">
      <x:c r="A91" s="60" t="str">
        <x:v>MQ-0084</x:v>
      </x:c>
      <x:c r="B91" s="60" t="str">
        <x:v>RC04</x:v>
      </x:c>
      <x:c r="C91" s="60" t="n">
        <x:v>12</x:v>
      </x:c>
      <x:c r="D91" s="60" t="str">
        <x:v>ZONE-1</x:v>
      </x:c>
      <x:c r="E91" s="60" t="str">
        <x:v>m3</x:v>
      </x:c>
      <x:c r="F91" s="82" t="n">
        <x:v>199.69949999999994</x:v>
      </x:c>
      <x:c r="G91" s="78" t="n">
        <x:f>INDEX('Baseline'!$F$8:$F$39,MATCH(B91,'Baseline'!$A$8:$A$39,0))</x:f>
        <x:v>151</x:v>
      </x:c>
      <x:c r="H91" s="83" t="n">
        <x:f>F91*G91</x:f>
        <x:v>30154.62449999999</x:v>
      </x:c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</x:row>
    <x:row r="92" ht="23" customHeight="1">
      <x:c r="A92" s="58" t="str">
        <x:v>MQ-0085</x:v>
      </x:c>
      <x:c r="B92" s="58" t="str">
        <x:v>RC05</x:v>
      </x:c>
      <x:c r="C92" s="58" t="n">
        <x:v>1</x:v>
      </x:c>
      <x:c r="D92" s="58" t="str">
        <x:v>ZONE-2</x:v>
      </x:c>
      <x:c r="E92" s="58" t="str">
        <x:v>m3</x:v>
      </x:c>
      <x:c r="F92" s="79" t="n">
        <x:v>0</x:v>
      </x:c>
      <x:c r="G92" s="74" t="n">
        <x:f>INDEX('Baseline'!$F$8:$F$39,MATCH(B92,'Baseline'!$A$8:$A$39,0))</x:f>
        <x:v>164</x:v>
      </x:c>
      <x:c r="H92" s="80" t="n">
        <x:f>F92*G92</x:f>
        <x:v>0</x:v>
      </x:c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</x:row>
    <x:row r="93" ht="23" customHeight="1">
      <x:c r="A93" s="60" t="str">
        <x:v>MQ-0086</x:v>
      </x:c>
      <x:c r="B93" s="60" t="str">
        <x:v>RC05</x:v>
      </x:c>
      <x:c r="C93" s="60" t="n">
        <x:v>2</x:v>
      </x:c>
      <x:c r="D93" s="60" t="str">
        <x:v>ZONE-2</x:v>
      </x:c>
      <x:c r="E93" s="60" t="str">
        <x:v>m3</x:v>
      </x:c>
      <x:c r="F93" s="82" t="n">
        <x:v>0</x:v>
      </x:c>
      <x:c r="G93" s="78" t="n">
        <x:f>INDEX('Baseline'!$F$8:$F$39,MATCH(B93,'Baseline'!$A$8:$A$39,0))</x:f>
        <x:v>164</x:v>
      </x:c>
      <x:c r="H93" s="83" t="n">
        <x:f>F93*G93</x:f>
        <x:v>0</x:v>
      </x:c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</x:row>
    <x:row r="94" ht="23" customHeight="1">
      <x:c r="A94" s="58" t="str">
        <x:v>MQ-0087</x:v>
      </x:c>
      <x:c r="B94" s="58" t="str">
        <x:v>RC05</x:v>
      </x:c>
      <x:c r="C94" s="58" t="n">
        <x:v>3</x:v>
      </x:c>
      <x:c r="D94" s="58" t="str">
        <x:v>ZONE-2</x:v>
      </x:c>
      <x:c r="E94" s="58" t="str">
        <x:v>m3</x:v>
      </x:c>
      <x:c r="F94" s="79" t="n">
        <x:v>0</x:v>
      </x:c>
      <x:c r="G94" s="74" t="n">
        <x:f>INDEX('Baseline'!$F$8:$F$39,MATCH(B94,'Baseline'!$A$8:$A$39,0))</x:f>
        <x:v>164</x:v>
      </x:c>
      <x:c r="H94" s="80" t="n">
        <x:f>F94*G94</x:f>
        <x:v>0</x:v>
      </x:c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</x:row>
    <x:row r="95" ht="23" customHeight="1">
      <x:c r="A95" s="60" t="str">
        <x:v>MQ-0088</x:v>
      </x:c>
      <x:c r="B95" s="60" t="str">
        <x:v>RC05</x:v>
      </x:c>
      <x:c r="C95" s="60" t="n">
        <x:v>4</x:v>
      </x:c>
      <x:c r="D95" s="60" t="str">
        <x:v>ZONE-2</x:v>
      </x:c>
      <x:c r="E95" s="60" t="str">
        <x:v>m3</x:v>
      </x:c>
      <x:c r="F95" s="82" t="n">
        <x:v>0</x:v>
      </x:c>
      <x:c r="G95" s="78" t="n">
        <x:f>INDEX('Baseline'!$F$8:$F$39,MATCH(B95,'Baseline'!$A$8:$A$39,0))</x:f>
        <x:v>164</x:v>
      </x:c>
      <x:c r="H95" s="83" t="n">
        <x:f>F95*G95</x:f>
        <x:v>0</x:v>
      </x:c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</x:row>
    <x:row r="96" ht="23" customHeight="1">
      <x:c r="A96" s="58" t="str">
        <x:v>MQ-0089</x:v>
      </x:c>
      <x:c r="B96" s="58" t="str">
        <x:v>RC05</x:v>
      </x:c>
      <x:c r="C96" s="58" t="n">
        <x:v>5</x:v>
      </x:c>
      <x:c r="D96" s="58" t="str">
        <x:v>ZONE-2</x:v>
      </x:c>
      <x:c r="E96" s="58" t="str">
        <x:v>m3</x:v>
      </x:c>
      <x:c r="F96" s="79" t="n">
        <x:v>140.9167499999998</x:v>
      </x:c>
      <x:c r="G96" s="74" t="n">
        <x:f>INDEX('Baseline'!$F$8:$F$39,MATCH(B96,'Baseline'!$A$8:$A$39,0))</x:f>
        <x:v>164</x:v>
      </x:c>
      <x:c r="H96" s="80" t="n">
        <x:f>F96*G96</x:f>
        <x:v>23110.34699999997</x:v>
      </x:c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</x:row>
    <x:row r="97" ht="23" customHeight="1">
      <x:c r="A97" s="60" t="str">
        <x:v>MQ-0090</x:v>
      </x:c>
      <x:c r="B97" s="60" t="str">
        <x:v>RC05</x:v>
      </x:c>
      <x:c r="C97" s="60" t="n">
        <x:v>6</x:v>
      </x:c>
      <x:c r="D97" s="60" t="str">
        <x:v>ZONE-2</x:v>
      </x:c>
      <x:c r="E97" s="60" t="str">
        <x:v>m3</x:v>
      </x:c>
      <x:c r="F97" s="82" t="n">
        <x:v>140.9167499999998</x:v>
      </x:c>
      <x:c r="G97" s="78" t="n">
        <x:f>INDEX('Baseline'!$F$8:$F$39,MATCH(B97,'Baseline'!$A$8:$A$39,0))</x:f>
        <x:v>164</x:v>
      </x:c>
      <x:c r="H97" s="83" t="n">
        <x:f>F97*G97</x:f>
        <x:v>23110.34699999997</x:v>
      </x:c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</x:row>
    <x:row r="98" ht="23" customHeight="1">
      <x:c r="A98" s="58" t="str">
        <x:v>MQ-0091</x:v>
      </x:c>
      <x:c r="B98" s="58" t="str">
        <x:v>RC05</x:v>
      </x:c>
      <x:c r="C98" s="58" t="n">
        <x:v>7</x:v>
      </x:c>
      <x:c r="D98" s="58" t="str">
        <x:v>ZONE-2</x:v>
      </x:c>
      <x:c r="E98" s="58" t="str">
        <x:v>m3</x:v>
      </x:c>
      <x:c r="F98" s="79" t="n">
        <x:v>140.9167499999998</x:v>
      </x:c>
      <x:c r="G98" s="74" t="n">
        <x:f>INDEX('Baseline'!$F$8:$F$39,MATCH(B98,'Baseline'!$A$8:$A$39,0))</x:f>
        <x:v>164</x:v>
      </x:c>
      <x:c r="H98" s="80" t="n">
        <x:f>F98*G98</x:f>
        <x:v>23110.34699999997</x:v>
      </x:c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</x:row>
    <x:row r="99" ht="23" customHeight="1">
      <x:c r="A99" s="60" t="str">
        <x:v>MQ-0092</x:v>
      </x:c>
      <x:c r="B99" s="60" t="str">
        <x:v>RC05</x:v>
      </x:c>
      <x:c r="C99" s="60" t="n">
        <x:v>8</x:v>
      </x:c>
      <x:c r="D99" s="60" t="str">
        <x:v>ZONE-2</x:v>
      </x:c>
      <x:c r="E99" s="60" t="str">
        <x:v>m3</x:v>
      </x:c>
      <x:c r="F99" s="82" t="n">
        <x:v>140.9167499999998</x:v>
      </x:c>
      <x:c r="G99" s="78" t="n">
        <x:f>INDEX('Baseline'!$F$8:$F$39,MATCH(B99,'Baseline'!$A$8:$A$39,0))</x:f>
        <x:v>164</x:v>
      </x:c>
      <x:c r="H99" s="83" t="n">
        <x:f>F99*G99</x:f>
        <x:v>23110.34699999997</x:v>
      </x:c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</x:row>
    <x:row r="100" ht="23" customHeight="1">
      <x:c r="A100" s="58" t="str">
        <x:v>MQ-0093</x:v>
      </x:c>
      <x:c r="B100" s="58" t="str">
        <x:v>RC05</x:v>
      </x:c>
      <x:c r="C100" s="58" t="n">
        <x:v>9</x:v>
      </x:c>
      <x:c r="D100" s="58" t="str">
        <x:v>ZONE-2</x:v>
      </x:c>
      <x:c r="E100" s="58" t="str">
        <x:v>m3</x:v>
      </x:c>
      <x:c r="F100" s="79" t="n">
        <x:v>140.91674999999987</x:v>
      </x:c>
      <x:c r="G100" s="74" t="n">
        <x:f>INDEX('Baseline'!$F$8:$F$39,MATCH(B100,'Baseline'!$A$8:$A$39,0))</x:f>
        <x:v>164</x:v>
      </x:c>
      <x:c r="H100" s="80" t="n">
        <x:f>F100*G100</x:f>
        <x:v>23110.34699999998</x:v>
      </x:c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</x:row>
    <x:row r="101" ht="23" customHeight="1">
      <x:c r="A101" s="60" t="str">
        <x:v>MQ-0094</x:v>
      </x:c>
      <x:c r="B101" s="60" t="str">
        <x:v>RC05</x:v>
      </x:c>
      <x:c r="C101" s="60" t="n">
        <x:v>10</x:v>
      </x:c>
      <x:c r="D101" s="60" t="str">
        <x:v>ZONE-2</x:v>
      </x:c>
      <x:c r="E101" s="60" t="str">
        <x:v>m3</x:v>
      </x:c>
      <x:c r="F101" s="82" t="n">
        <x:v>140.91674999999975</x:v>
      </x:c>
      <x:c r="G101" s="78" t="n">
        <x:f>INDEX('Baseline'!$F$8:$F$39,MATCH(B101,'Baseline'!$A$8:$A$39,0))</x:f>
        <x:v>164</x:v>
      </x:c>
      <x:c r="H101" s="83" t="n">
        <x:f>F101*G101</x:f>
        <x:v>23110.346999999958</x:v>
      </x:c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</x:row>
    <x:row r="102" ht="23" customHeight="1">
      <x:c r="A102" s="58" t="str">
        <x:v>MQ-0095</x:v>
      </x:c>
      <x:c r="B102" s="58" t="str">
        <x:v>RC05</x:v>
      </x:c>
      <x:c r="C102" s="58" t="n">
        <x:v>11</x:v>
      </x:c>
      <x:c r="D102" s="58" t="str">
        <x:v>ZONE-2</x:v>
      </x:c>
      <x:c r="E102" s="58" t="str">
        <x:v>m3</x:v>
      </x:c>
      <x:c r="F102" s="79" t="n">
        <x:v>140.91674999999987</x:v>
      </x:c>
      <x:c r="G102" s="74" t="n">
        <x:f>INDEX('Baseline'!$F$8:$F$39,MATCH(B102,'Baseline'!$A$8:$A$39,0))</x:f>
        <x:v>164</x:v>
      </x:c>
      <x:c r="H102" s="80" t="n">
        <x:f>F102*G102</x:f>
        <x:v>23110.34699999998</x:v>
      </x:c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</x:row>
    <x:row r="103" ht="23" customHeight="1">
      <x:c r="A103" s="60" t="str">
        <x:v>MQ-0096</x:v>
      </x:c>
      <x:c r="B103" s="60" t="str">
        <x:v>RC05</x:v>
      </x:c>
      <x:c r="C103" s="60" t="n">
        <x:v>12</x:v>
      </x:c>
      <x:c r="D103" s="60" t="str">
        <x:v>ZONE-2</x:v>
      </x:c>
      <x:c r="E103" s="60" t="str">
        <x:v>m3</x:v>
      </x:c>
      <x:c r="F103" s="82" t="n">
        <x:v>140.91674999999975</x:v>
      </x:c>
      <x:c r="G103" s="78" t="n">
        <x:f>INDEX('Baseline'!$F$8:$F$39,MATCH(B103,'Baseline'!$A$8:$A$39,0))</x:f>
        <x:v>164</x:v>
      </x:c>
      <x:c r="H103" s="83" t="n">
        <x:f>F103*G103</x:f>
        <x:v>23110.346999999958</x:v>
      </x:c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</x:row>
    <x:row r="104" ht="23" customHeight="1">
      <x:c r="A104" s="58" t="str">
        <x:v>MQ-0097</x:v>
      </x:c>
      <x:c r="B104" s="58" t="str">
        <x:v>RC06</x:v>
      </x:c>
      <x:c r="C104" s="58" t="n">
        <x:v>1</x:v>
      </x:c>
      <x:c r="D104" s="58" t="str">
        <x:v>ZONE-3</x:v>
      </x:c>
      <x:c r="E104" s="58" t="str">
        <x:v>m3</x:v>
      </x:c>
      <x:c r="F104" s="79" t="n">
        <x:v>0</x:v>
      </x:c>
      <x:c r="G104" s="74" t="n">
        <x:f>INDEX('Baseline'!$F$8:$F$39,MATCH(B104,'Baseline'!$A$8:$A$39,0))</x:f>
        <x:v>161</x:v>
      </x:c>
      <x:c r="H104" s="80" t="n">
        <x:f>F104*G104</x:f>
        <x:v>0</x:v>
      </x:c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</x:row>
    <x:row r="105" ht="23" customHeight="1">
      <x:c r="A105" s="60" t="str">
        <x:v>MQ-0098</x:v>
      </x:c>
      <x:c r="B105" s="60" t="str">
        <x:v>RC06</x:v>
      </x:c>
      <x:c r="C105" s="60" t="n">
        <x:v>2</x:v>
      </x:c>
      <x:c r="D105" s="60" t="str">
        <x:v>ZONE-3</x:v>
      </x:c>
      <x:c r="E105" s="60" t="str">
        <x:v>m3</x:v>
      </x:c>
      <x:c r="F105" s="82" t="n">
        <x:v>0</x:v>
      </x:c>
      <x:c r="G105" s="78" t="n">
        <x:f>INDEX('Baseline'!$F$8:$F$39,MATCH(B105,'Baseline'!$A$8:$A$39,0))</x:f>
        <x:v>161</x:v>
      </x:c>
      <x:c r="H105" s="83" t="n">
        <x:f>F105*G105</x:f>
        <x:v>0</x:v>
      </x:c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</x:row>
    <x:row r="106" ht="23" customHeight="1">
      <x:c r="A106" s="58" t="str">
        <x:v>MQ-0099</x:v>
      </x:c>
      <x:c r="B106" s="58" t="str">
        <x:v>RC06</x:v>
      </x:c>
      <x:c r="C106" s="58" t="n">
        <x:v>3</x:v>
      </x:c>
      <x:c r="D106" s="58" t="str">
        <x:v>ZONE-3</x:v>
      </x:c>
      <x:c r="E106" s="58" t="str">
        <x:v>m3</x:v>
      </x:c>
      <x:c r="F106" s="79" t="n">
        <x:v>0</x:v>
      </x:c>
      <x:c r="G106" s="74" t="n">
        <x:f>INDEX('Baseline'!$F$8:$F$39,MATCH(B106,'Baseline'!$A$8:$A$39,0))</x:f>
        <x:v>161</x:v>
      </x:c>
      <x:c r="H106" s="80" t="n">
        <x:f>F106*G106</x:f>
        <x:v>0</x:v>
      </x:c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</x:row>
    <x:row r="107" ht="23" customHeight="1">
      <x:c r="A107" s="60" t="str">
        <x:v>MQ-0100</x:v>
      </x:c>
      <x:c r="B107" s="60" t="str">
        <x:v>RC06</x:v>
      </x:c>
      <x:c r="C107" s="60" t="n">
        <x:v>4</x:v>
      </x:c>
      <x:c r="D107" s="60" t="str">
        <x:v>ZONE-3</x:v>
      </x:c>
      <x:c r="E107" s="60" t="str">
        <x:v>m3</x:v>
      </x:c>
      <x:c r="F107" s="82" t="n">
        <x:v>0</x:v>
      </x:c>
      <x:c r="G107" s="78" t="n">
        <x:f>INDEX('Baseline'!$F$8:$F$39,MATCH(B107,'Baseline'!$A$8:$A$39,0))</x:f>
        <x:v>161</x:v>
      </x:c>
      <x:c r="H107" s="83" t="n">
        <x:f>F107*G107</x:f>
        <x:v>0</x:v>
      </x:c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</x:row>
    <x:row r="108" ht="23" customHeight="1">
      <x:c r="A108" s="58" t="str">
        <x:v>MQ-0101</x:v>
      </x:c>
      <x:c r="B108" s="58" t="str">
        <x:v>RC06</x:v>
      </x:c>
      <x:c r="C108" s="58" t="n">
        <x:v>5</x:v>
      </x:c>
      <x:c r="D108" s="58" t="str">
        <x:v>ZONE-3</x:v>
      </x:c>
      <x:c r="E108" s="58" t="str">
        <x:v>m3</x:v>
      </x:c>
      <x:c r="F108" s="79" t="n">
        <x:v>116.22000000000017</x:v>
      </x:c>
      <x:c r="G108" s="74" t="n">
        <x:f>INDEX('Baseline'!$F$8:$F$39,MATCH(B108,'Baseline'!$A$8:$A$39,0))</x:f>
        <x:v>161</x:v>
      </x:c>
      <x:c r="H108" s="80" t="n">
        <x:f>F108*G108</x:f>
        <x:v>18711.420000000027</x:v>
      </x:c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</x:row>
    <x:row r="109" ht="23" customHeight="1">
      <x:c r="A109" s="60" t="str">
        <x:v>MQ-0102</x:v>
      </x:c>
      <x:c r="B109" s="60" t="str">
        <x:v>RC06</x:v>
      </x:c>
      <x:c r="C109" s="60" t="n">
        <x:v>6</x:v>
      </x:c>
      <x:c r="D109" s="60" t="str">
        <x:v>ZONE-3</x:v>
      </x:c>
      <x:c r="E109" s="60" t="str">
        <x:v>m3</x:v>
      </x:c>
      <x:c r="F109" s="82" t="n">
        <x:v>116.22000000000017</x:v>
      </x:c>
      <x:c r="G109" s="78" t="n">
        <x:f>INDEX('Baseline'!$F$8:$F$39,MATCH(B109,'Baseline'!$A$8:$A$39,0))</x:f>
        <x:v>161</x:v>
      </x:c>
      <x:c r="H109" s="83" t="n">
        <x:f>F109*G109</x:f>
        <x:v>18711.420000000027</x:v>
      </x:c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</x:row>
    <x:row r="110" ht="23" customHeight="1">
      <x:c r="A110" s="58" t="str">
        <x:v>MQ-0103</x:v>
      </x:c>
      <x:c r="B110" s="58" t="str">
        <x:v>RC06</x:v>
      </x:c>
      <x:c r="C110" s="58" t="n">
        <x:v>7</x:v>
      </x:c>
      <x:c r="D110" s="58" t="str">
        <x:v>ZONE-3</x:v>
      </x:c>
      <x:c r="E110" s="58" t="str">
        <x:v>m3</x:v>
      </x:c>
      <x:c r="F110" s="79" t="n">
        <x:v>116.2200000000002</x:v>
      </x:c>
      <x:c r="G110" s="74" t="n">
        <x:f>INDEX('Baseline'!$F$8:$F$39,MATCH(B110,'Baseline'!$A$8:$A$39,0))</x:f>
        <x:v>161</x:v>
      </x:c>
      <x:c r="H110" s="80" t="n">
        <x:f>F110*G110</x:f>
        <x:v>18711.42000000003</x:v>
      </x:c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</x:row>
    <x:row r="111" ht="23" customHeight="1">
      <x:c r="A111" s="60" t="str">
        <x:v>MQ-0104</x:v>
      </x:c>
      <x:c r="B111" s="60" t="str">
        <x:v>RC06</x:v>
      </x:c>
      <x:c r="C111" s="60" t="n">
        <x:v>8</x:v>
      </x:c>
      <x:c r="D111" s="60" t="str">
        <x:v>ZONE-3</x:v>
      </x:c>
      <x:c r="E111" s="60" t="str">
        <x:v>m3</x:v>
      </x:c>
      <x:c r="F111" s="82" t="n">
        <x:v>116.22000000000014</x:v>
      </x:c>
      <x:c r="G111" s="78" t="n">
        <x:f>INDEX('Baseline'!$F$8:$F$39,MATCH(B111,'Baseline'!$A$8:$A$39,0))</x:f>
        <x:v>161</x:v>
      </x:c>
      <x:c r="H111" s="83" t="n">
        <x:f>F111*G111</x:f>
        <x:v>18711.420000000024</x:v>
      </x:c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</x:row>
    <x:row r="112" ht="23" customHeight="1">
      <x:c r="A112" s="58" t="str">
        <x:v>MQ-0105</x:v>
      </x:c>
      <x:c r="B112" s="58" t="str">
        <x:v>RC06</x:v>
      </x:c>
      <x:c r="C112" s="58" t="n">
        <x:v>9</x:v>
      </x:c>
      <x:c r="D112" s="58" t="str">
        <x:v>ZONE-3</x:v>
      </x:c>
      <x:c r="E112" s="58" t="str">
        <x:v>m3</x:v>
      </x:c>
      <x:c r="F112" s="79" t="n">
        <x:v>116.22000000000025</x:v>
      </x:c>
      <x:c r="G112" s="74" t="n">
        <x:f>INDEX('Baseline'!$F$8:$F$39,MATCH(B112,'Baseline'!$A$8:$A$39,0))</x:f>
        <x:v>161</x:v>
      </x:c>
      <x:c r="H112" s="80" t="n">
        <x:f>F112*G112</x:f>
        <x:v>18711.420000000042</x:v>
      </x:c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</x:row>
    <x:row r="113" ht="23" customHeight="1">
      <x:c r="A113" s="60" t="str">
        <x:v>MQ-0106</x:v>
      </x:c>
      <x:c r="B113" s="60" t="str">
        <x:v>RC06</x:v>
      </x:c>
      <x:c r="C113" s="60" t="n">
        <x:v>10</x:v>
      </x:c>
      <x:c r="D113" s="60" t="str">
        <x:v>ZONE-3</x:v>
      </x:c>
      <x:c r="E113" s="60" t="str">
        <x:v>m3</x:v>
      </x:c>
      <x:c r="F113" s="82" t="n">
        <x:v>116.22000000000014</x:v>
      </x:c>
      <x:c r="G113" s="78" t="n">
        <x:f>INDEX('Baseline'!$F$8:$F$39,MATCH(B113,'Baseline'!$A$8:$A$39,0))</x:f>
        <x:v>161</x:v>
      </x:c>
      <x:c r="H113" s="83" t="n">
        <x:f>F113*G113</x:f>
        <x:v>18711.420000000024</x:v>
      </x:c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</x:row>
    <x:row r="114" ht="23" customHeight="1">
      <x:c r="A114" s="58" t="str">
        <x:v>MQ-0107</x:v>
      </x:c>
      <x:c r="B114" s="58" t="str">
        <x:v>RC06</x:v>
      </x:c>
      <x:c r="C114" s="58" t="n">
        <x:v>11</x:v>
      </x:c>
      <x:c r="D114" s="58" t="str">
        <x:v>ZONE-3</x:v>
      </x:c>
      <x:c r="E114" s="58" t="str">
        <x:v>m3</x:v>
      </x:c>
      <x:c r="F114" s="79" t="n">
        <x:v>116.22000000000025</x:v>
      </x:c>
      <x:c r="G114" s="74" t="n">
        <x:f>INDEX('Baseline'!$F$8:$F$39,MATCH(B114,'Baseline'!$A$8:$A$39,0))</x:f>
        <x:v>161</x:v>
      </x:c>
      <x:c r="H114" s="80" t="n">
        <x:f>F114*G114</x:f>
        <x:v>18711.420000000042</x:v>
      </x:c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</x:row>
    <x:row r="115" ht="23" customHeight="1">
      <x:c r="A115" s="60" t="str">
        <x:v>MQ-0108</x:v>
      </x:c>
      <x:c r="B115" s="60" t="str">
        <x:v>RC06</x:v>
      </x:c>
      <x:c r="C115" s="60" t="n">
        <x:v>12</x:v>
      </x:c>
      <x:c r="D115" s="60" t="str">
        <x:v>ZONE-3</x:v>
      </x:c>
      <x:c r="E115" s="60" t="str">
        <x:v>m3</x:v>
      </x:c>
      <x:c r="F115" s="82" t="n">
        <x:v>116.22000000000003</x:v>
      </x:c>
      <x:c r="G115" s="78" t="n">
        <x:f>INDEX('Baseline'!$F$8:$F$39,MATCH(B115,'Baseline'!$A$8:$A$39,0))</x:f>
        <x:v>161</x:v>
      </x:c>
      <x:c r="H115" s="83" t="n">
        <x:f>F115*G115</x:f>
        <x:v>18711.420000000006</x:v>
      </x:c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</x:row>
    <x:row r="116" ht="23" customHeight="1">
      <x:c r="A116" s="58" t="str">
        <x:v>MQ-0109</x:v>
      </x:c>
      <x:c r="B116" s="58" t="str">
        <x:v>RC07</x:v>
      </x:c>
      <x:c r="C116" s="58" t="n">
        <x:v>1</x:v>
      </x:c>
      <x:c r="D116" s="58" t="str">
        <x:v>ZONE-4</x:v>
      </x:c>
      <x:c r="E116" s="58" t="str">
        <x:v>m3</x:v>
      </x:c>
      <x:c r="F116" s="79" t="n">
        <x:v>0</x:v>
      </x:c>
      <x:c r="G116" s="74" t="n">
        <x:f>INDEX('Baseline'!$F$8:$F$39,MATCH(B116,'Baseline'!$A$8:$A$39,0))</x:f>
        <x:v>170</x:v>
      </x:c>
      <x:c r="H116" s="80" t="n">
        <x:f>F116*G116</x:f>
        <x:v>0</x:v>
      </x:c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</x:row>
    <x:row r="117" ht="23" customHeight="1">
      <x:c r="A117" s="60" t="str">
        <x:v>MQ-0110</x:v>
      </x:c>
      <x:c r="B117" s="60" t="str">
        <x:v>RC07</x:v>
      </x:c>
      <x:c r="C117" s="60" t="n">
        <x:v>2</x:v>
      </x:c>
      <x:c r="D117" s="60" t="str">
        <x:v>ZONE-4</x:v>
      </x:c>
      <x:c r="E117" s="60" t="str">
        <x:v>m3</x:v>
      </x:c>
      <x:c r="F117" s="82" t="n">
        <x:v>0</x:v>
      </x:c>
      <x:c r="G117" s="78" t="n">
        <x:f>INDEX('Baseline'!$F$8:$F$39,MATCH(B117,'Baseline'!$A$8:$A$39,0))</x:f>
        <x:v>170</x:v>
      </x:c>
      <x:c r="H117" s="83" t="n">
        <x:f>F117*G117</x:f>
        <x:v>0</x:v>
      </x:c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</x:row>
    <x:row r="118" ht="23" customHeight="1">
      <x:c r="A118" s="58" t="str">
        <x:v>MQ-0111</x:v>
      </x:c>
      <x:c r="B118" s="58" t="str">
        <x:v>RC07</x:v>
      </x:c>
      <x:c r="C118" s="58" t="n">
        <x:v>3</x:v>
      </x:c>
      <x:c r="D118" s="58" t="str">
        <x:v>ZONE-4</x:v>
      </x:c>
      <x:c r="E118" s="58" t="str">
        <x:v>m3</x:v>
      </x:c>
      <x:c r="F118" s="79" t="n">
        <x:v>0</x:v>
      </x:c>
      <x:c r="G118" s="74" t="n">
        <x:f>INDEX('Baseline'!$F$8:$F$39,MATCH(B118,'Baseline'!$A$8:$A$39,0))</x:f>
        <x:v>170</x:v>
      </x:c>
      <x:c r="H118" s="80" t="n">
        <x:f>F118*G118</x:f>
        <x:v>0</x:v>
      </x:c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</x:row>
    <x:row r="119" ht="23" customHeight="1">
      <x:c r="A119" s="60" t="str">
        <x:v>MQ-0112</x:v>
      </x:c>
      <x:c r="B119" s="60" t="str">
        <x:v>RC07</x:v>
      </x:c>
      <x:c r="C119" s="60" t="n">
        <x:v>4</x:v>
      </x:c>
      <x:c r="D119" s="60" t="str">
        <x:v>ZONE-4</x:v>
      </x:c>
      <x:c r="E119" s="60" t="str">
        <x:v>m3</x:v>
      </x:c>
      <x:c r="F119" s="82" t="n">
        <x:v>0</x:v>
      </x:c>
      <x:c r="G119" s="78" t="n">
        <x:f>INDEX('Baseline'!$F$8:$F$39,MATCH(B119,'Baseline'!$A$8:$A$39,0))</x:f>
        <x:v>170</x:v>
      </x:c>
      <x:c r="H119" s="83" t="n">
        <x:f>F119*G119</x:f>
        <x:v>0</x:v>
      </x:c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</x:row>
    <x:row r="120" ht="23" customHeight="1">
      <x:c r="A120" s="58" t="str">
        <x:v>MQ-0113</x:v>
      </x:c>
      <x:c r="B120" s="58" t="str">
        <x:v>RC07</x:v>
      </x:c>
      <x:c r="C120" s="58" t="n">
        <x:v>5</x:v>
      </x:c>
      <x:c r="D120" s="58" t="str">
        <x:v>ZONE-4</x:v>
      </x:c>
      <x:c r="E120" s="58" t="str">
        <x:v>m3</x:v>
      </x:c>
      <x:c r="F120" s="79" t="n">
        <x:v>0</x:v>
      </x:c>
      <x:c r="G120" s="74" t="n">
        <x:f>INDEX('Baseline'!$F$8:$F$39,MATCH(B120,'Baseline'!$A$8:$A$39,0))</x:f>
        <x:v>170</x:v>
      </x:c>
      <x:c r="H120" s="80" t="n">
        <x:f>F120*G120</x:f>
        <x:v>0</x:v>
      </x:c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</x:row>
    <x:row r="121" ht="23" customHeight="1">
      <x:c r="A121" s="60" t="str">
        <x:v>MQ-0114</x:v>
      </x:c>
      <x:c r="B121" s="60" t="str">
        <x:v>RC07</x:v>
      </x:c>
      <x:c r="C121" s="60" t="n">
        <x:v>6</x:v>
      </x:c>
      <x:c r="D121" s="60" t="str">
        <x:v>ZONE-4</x:v>
      </x:c>
      <x:c r="E121" s="60" t="str">
        <x:v>m3</x:v>
      </x:c>
      <x:c r="F121" s="82" t="n">
        <x:v>15.81119999999999</x:v>
      </x:c>
      <x:c r="G121" s="78" t="n">
        <x:f>INDEX('Baseline'!$F$8:$F$39,MATCH(B121,'Baseline'!$A$8:$A$39,0))</x:f>
        <x:v>170</x:v>
      </x:c>
      <x:c r="H121" s="83" t="n">
        <x:f>F121*G121</x:f>
        <x:v>2687.903999999998</x:v>
      </x:c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</x:row>
    <x:row r="122" ht="23" customHeight="1">
      <x:c r="A122" s="58" t="str">
        <x:v>MQ-0115</x:v>
      </x:c>
      <x:c r="B122" s="58" t="str">
        <x:v>RC07</x:v>
      </x:c>
      <x:c r="C122" s="58" t="n">
        <x:v>7</x:v>
      </x:c>
      <x:c r="D122" s="58" t="str">
        <x:v>ZONE-4</x:v>
      </x:c>
      <x:c r="E122" s="58" t="str">
        <x:v>m3</x:v>
      </x:c>
      <x:c r="F122" s="79" t="n">
        <x:v>15.81119999999999</x:v>
      </x:c>
      <x:c r="G122" s="74" t="n">
        <x:f>INDEX('Baseline'!$F$8:$F$39,MATCH(B122,'Baseline'!$A$8:$A$39,0))</x:f>
        <x:v>170</x:v>
      </x:c>
      <x:c r="H122" s="80" t="n">
        <x:f>F122*G122</x:f>
        <x:v>2687.903999999998</x:v>
      </x:c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</x:row>
    <x:row r="123" ht="23" customHeight="1">
      <x:c r="A123" s="60" t="str">
        <x:v>MQ-0116</x:v>
      </x:c>
      <x:c r="B123" s="60" t="str">
        <x:v>RC07</x:v>
      </x:c>
      <x:c r="C123" s="60" t="n">
        <x:v>8</x:v>
      </x:c>
      <x:c r="D123" s="60" t="str">
        <x:v>ZONE-4</x:v>
      </x:c>
      <x:c r="E123" s="60" t="str">
        <x:v>m3</x:v>
      </x:c>
      <x:c r="F123" s="82" t="n">
        <x:v>15.811199999999989</x:v>
      </x:c>
      <x:c r="G123" s="78" t="n">
        <x:f>INDEX('Baseline'!$F$8:$F$39,MATCH(B123,'Baseline'!$A$8:$A$39,0))</x:f>
        <x:v>170</x:v>
      </x:c>
      <x:c r="H123" s="83" t="n">
        <x:f>F123*G123</x:f>
        <x:v>2687.903999999998</x:v>
      </x:c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</x:row>
    <x:row r="124" ht="23" customHeight="1">
      <x:c r="A124" s="58" t="str">
        <x:v>MQ-0117</x:v>
      </x:c>
      <x:c r="B124" s="58" t="str">
        <x:v>RC07</x:v>
      </x:c>
      <x:c r="C124" s="58" t="n">
        <x:v>9</x:v>
      </x:c>
      <x:c r="D124" s="58" t="str">
        <x:v>ZONE-4</x:v>
      </x:c>
      <x:c r="E124" s="58" t="str">
        <x:v>m3</x:v>
      </x:c>
      <x:c r="F124" s="79" t="n">
        <x:v>15.811199999999992</x:v>
      </x:c>
      <x:c r="G124" s="74" t="n">
        <x:f>INDEX('Baseline'!$F$8:$F$39,MATCH(B124,'Baseline'!$A$8:$A$39,0))</x:f>
        <x:v>170</x:v>
      </x:c>
      <x:c r="H124" s="80" t="n">
        <x:f>F124*G124</x:f>
        <x:v>2687.9039999999986</x:v>
      </x:c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</x:row>
    <x:row r="125" ht="23" customHeight="1">
      <x:c r="A125" s="60" t="str">
        <x:v>MQ-0118</x:v>
      </x:c>
      <x:c r="B125" s="60" t="str">
        <x:v>RC07</x:v>
      </x:c>
      <x:c r="C125" s="60" t="n">
        <x:v>10</x:v>
      </x:c>
      <x:c r="D125" s="60" t="str">
        <x:v>ZONE-4</x:v>
      </x:c>
      <x:c r="E125" s="60" t="str">
        <x:v>m3</x:v>
      </x:c>
      <x:c r="F125" s="82" t="n">
        <x:v>15.811199999999992</x:v>
      </x:c>
      <x:c r="G125" s="78" t="n">
        <x:f>INDEX('Baseline'!$F$8:$F$39,MATCH(B125,'Baseline'!$A$8:$A$39,0))</x:f>
        <x:v>170</x:v>
      </x:c>
      <x:c r="H125" s="83" t="n">
        <x:f>F125*G125</x:f>
        <x:v>2687.9039999999986</x:v>
      </x:c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</x:row>
    <x:row r="126" ht="23" customHeight="1">
      <x:c r="A126" s="58" t="str">
        <x:v>MQ-0119</x:v>
      </x:c>
      <x:c r="B126" s="58" t="str">
        <x:v>RC07</x:v>
      </x:c>
      <x:c r="C126" s="58" t="n">
        <x:v>11</x:v>
      </x:c>
      <x:c r="D126" s="58" t="str">
        <x:v>ZONE-4</x:v>
      </x:c>
      <x:c r="E126" s="58" t="str">
        <x:v>m3</x:v>
      </x:c>
      <x:c r="F126" s="79" t="n">
        <x:v>15.811199999999985</x:v>
      </x:c>
      <x:c r="G126" s="74" t="n">
        <x:f>INDEX('Baseline'!$F$8:$F$39,MATCH(B126,'Baseline'!$A$8:$A$39,0))</x:f>
        <x:v>170</x:v>
      </x:c>
      <x:c r="H126" s="80" t="n">
        <x:f>F126*G126</x:f>
        <x:v>2687.9039999999977</x:v>
      </x:c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</x:row>
    <x:row r="127" ht="23" customHeight="1">
      <x:c r="A127" s="60" t="str">
        <x:v>MQ-0120</x:v>
      </x:c>
      <x:c r="B127" s="60" t="str">
        <x:v>RC07</x:v>
      </x:c>
      <x:c r="C127" s="60" t="n">
        <x:v>12</x:v>
      </x:c>
      <x:c r="D127" s="60" t="str">
        <x:v>ZONE-4</x:v>
      </x:c>
      <x:c r="E127" s="60" t="str">
        <x:v>m3</x:v>
      </x:c>
      <x:c r="F127" s="82" t="n">
        <x:v>15.811199999999985</x:v>
      </x:c>
      <x:c r="G127" s="78" t="n">
        <x:f>INDEX('Baseline'!$F$8:$F$39,MATCH(B127,'Baseline'!$A$8:$A$39,0))</x:f>
        <x:v>170</x:v>
      </x:c>
      <x:c r="H127" s="83" t="n">
        <x:f>F127*G127</x:f>
        <x:v>2687.9039999999977</x:v>
      </x:c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</x:row>
    <x:row r="128" ht="23" customHeight="1">
      <x:c r="A128" s="58" t="str">
        <x:v>MQ-0121</x:v>
      </x:c>
      <x:c r="B128" s="58" t="str">
        <x:v>RC08</x:v>
      </x:c>
      <x:c r="C128" s="58" t="n">
        <x:v>1</x:v>
      </x:c>
      <x:c r="D128" s="58" t="str">
        <x:v>ZONE-5</x:v>
      </x:c>
      <x:c r="E128" s="58" t="str">
        <x:v>m3</x:v>
      </x:c>
      <x:c r="F128" s="79" t="n">
        <x:v>0</x:v>
      </x:c>
      <x:c r="G128" s="74" t="n">
        <x:f>INDEX('Baseline'!$F$8:$F$39,MATCH(B128,'Baseline'!$A$8:$A$39,0))</x:f>
        <x:v>155</x:v>
      </x:c>
      <x:c r="H128" s="80" t="n">
        <x:f>F128*G128</x:f>
        <x:v>0</x:v>
      </x:c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</x:row>
    <x:row r="129" ht="23" customHeight="1">
      <x:c r="A129" s="60" t="str">
        <x:v>MQ-0122</x:v>
      </x:c>
      <x:c r="B129" s="60" t="str">
        <x:v>RC08</x:v>
      </x:c>
      <x:c r="C129" s="60" t="n">
        <x:v>2</x:v>
      </x:c>
      <x:c r="D129" s="60" t="str">
        <x:v>ZONE-5</x:v>
      </x:c>
      <x:c r="E129" s="60" t="str">
        <x:v>m3</x:v>
      </x:c>
      <x:c r="F129" s="82" t="n">
        <x:v>0</x:v>
      </x:c>
      <x:c r="G129" s="78" t="n">
        <x:f>INDEX('Baseline'!$F$8:$F$39,MATCH(B129,'Baseline'!$A$8:$A$39,0))</x:f>
        <x:v>155</x:v>
      </x:c>
      <x:c r="H129" s="83" t="n">
        <x:f>F129*G129</x:f>
        <x:v>0</x:v>
      </x:c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</x:row>
    <x:row r="130" ht="23" customHeight="1">
      <x:c r="A130" s="58" t="str">
        <x:v>MQ-0123</x:v>
      </x:c>
      <x:c r="B130" s="58" t="str">
        <x:v>RC08</x:v>
      </x:c>
      <x:c r="C130" s="58" t="n">
        <x:v>3</x:v>
      </x:c>
      <x:c r="D130" s="58" t="str">
        <x:v>ZONE-5</x:v>
      </x:c>
      <x:c r="E130" s="58" t="str">
        <x:v>m3</x:v>
      </x:c>
      <x:c r="F130" s="79" t="n">
        <x:v>0</x:v>
      </x:c>
      <x:c r="G130" s="74" t="n">
        <x:f>INDEX('Baseline'!$F$8:$F$39,MATCH(B130,'Baseline'!$A$8:$A$39,0))</x:f>
        <x:v>155</x:v>
      </x:c>
      <x:c r="H130" s="80" t="n">
        <x:f>F130*G130</x:f>
        <x:v>0</x:v>
      </x:c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</x:row>
    <x:row r="131" ht="23" customHeight="1">
      <x:c r="A131" s="60" t="str">
        <x:v>MQ-0124</x:v>
      </x:c>
      <x:c r="B131" s="60" t="str">
        <x:v>RC08</x:v>
      </x:c>
      <x:c r="C131" s="60" t="n">
        <x:v>4</x:v>
      </x:c>
      <x:c r="D131" s="60" t="str">
        <x:v>ZONE-5</x:v>
      </x:c>
      <x:c r="E131" s="60" t="str">
        <x:v>m3</x:v>
      </x:c>
      <x:c r="F131" s="82" t="n">
        <x:v>125.68499999999999</x:v>
      </x:c>
      <x:c r="G131" s="78" t="n">
        <x:f>INDEX('Baseline'!$F$8:$F$39,MATCH(B131,'Baseline'!$A$8:$A$39,0))</x:f>
        <x:v>155</x:v>
      </x:c>
      <x:c r="H131" s="83" t="n">
        <x:f>F131*G131</x:f>
        <x:v>19481.175</x:v>
      </x:c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</x:row>
    <x:row r="132" ht="23" customHeight="1">
      <x:c r="A132" s="58" t="str">
        <x:v>MQ-0125</x:v>
      </x:c>
      <x:c r="B132" s="58" t="str">
        <x:v>RC08</x:v>
      </x:c>
      <x:c r="C132" s="58" t="n">
        <x:v>5</x:v>
      </x:c>
      <x:c r="D132" s="58" t="str">
        <x:v>ZONE-5</x:v>
      </x:c>
      <x:c r="E132" s="58" t="str">
        <x:v>m3</x:v>
      </x:c>
      <x:c r="F132" s="79" t="n">
        <x:v>125.68499999999999</x:v>
      </x:c>
      <x:c r="G132" s="74" t="n">
        <x:f>INDEX('Baseline'!$F$8:$F$39,MATCH(B132,'Baseline'!$A$8:$A$39,0))</x:f>
        <x:v>155</x:v>
      </x:c>
      <x:c r="H132" s="80" t="n">
        <x:f>F132*G132</x:f>
        <x:v>19481.175</x:v>
      </x:c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</x:row>
    <x:row r="133" ht="23" customHeight="1">
      <x:c r="A133" s="60" t="str">
        <x:v>MQ-0126</x:v>
      </x:c>
      <x:c r="B133" s="60" t="str">
        <x:v>RC08</x:v>
      </x:c>
      <x:c r="C133" s="60" t="n">
        <x:v>6</x:v>
      </x:c>
      <x:c r="D133" s="60" t="str">
        <x:v>ZONE-5</x:v>
      </x:c>
      <x:c r="E133" s="60" t="str">
        <x:v>m3</x:v>
      </x:c>
      <x:c r="F133" s="82" t="n">
        <x:v>125.68499999999997</x:v>
      </x:c>
      <x:c r="G133" s="78" t="n">
        <x:f>INDEX('Baseline'!$F$8:$F$39,MATCH(B133,'Baseline'!$A$8:$A$39,0))</x:f>
        <x:v>155</x:v>
      </x:c>
      <x:c r="H133" s="83" t="n">
        <x:f>F133*G133</x:f>
        <x:v>19481.174999999996</x:v>
      </x:c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</x:row>
    <x:row r="134" ht="23" customHeight="1">
      <x:c r="A134" s="58" t="str">
        <x:v>MQ-0127</x:v>
      </x:c>
      <x:c r="B134" s="58" t="str">
        <x:v>RC08</x:v>
      </x:c>
      <x:c r="C134" s="58" t="n">
        <x:v>7</x:v>
      </x:c>
      <x:c r="D134" s="58" t="str">
        <x:v>ZONE-5</x:v>
      </x:c>
      <x:c r="E134" s="58" t="str">
        <x:v>m3</x:v>
      </x:c>
      <x:c r="F134" s="79" t="n">
        <x:v>125.685</x:v>
      </x:c>
      <x:c r="G134" s="74" t="n">
        <x:f>INDEX('Baseline'!$F$8:$F$39,MATCH(B134,'Baseline'!$A$8:$A$39,0))</x:f>
        <x:v>155</x:v>
      </x:c>
      <x:c r="H134" s="80" t="n">
        <x:f>F134*G134</x:f>
        <x:v>19481.175</x:v>
      </x:c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</x:row>
    <x:row r="135" ht="23" customHeight="1">
      <x:c r="A135" s="60" t="str">
        <x:v>MQ-0128</x:v>
      </x:c>
      <x:c r="B135" s="60" t="str">
        <x:v>RC08</x:v>
      </x:c>
      <x:c r="C135" s="60" t="n">
        <x:v>8</x:v>
      </x:c>
      <x:c r="D135" s="60" t="str">
        <x:v>ZONE-5</x:v>
      </x:c>
      <x:c r="E135" s="60" t="str">
        <x:v>m3</x:v>
      </x:c>
      <x:c r="F135" s="82" t="n">
        <x:v>0</x:v>
      </x:c>
      <x:c r="G135" s="78" t="n">
        <x:f>INDEX('Baseline'!$F$8:$F$39,MATCH(B135,'Baseline'!$A$8:$A$39,0))</x:f>
        <x:v>155</x:v>
      </x:c>
      <x:c r="H135" s="83" t="n">
        <x:f>F135*G135</x:f>
        <x:v>0</x:v>
      </x:c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</x:row>
    <x:row r="136" ht="23" customHeight="1">
      <x:c r="A136" s="58" t="str">
        <x:v>MQ-0129</x:v>
      </x:c>
      <x:c r="B136" s="58" t="str">
        <x:v>RC08</x:v>
      </x:c>
      <x:c r="C136" s="58" t="n">
        <x:v>9</x:v>
      </x:c>
      <x:c r="D136" s="58" t="str">
        <x:v>ZONE-5</x:v>
      </x:c>
      <x:c r="E136" s="58" t="str">
        <x:v>m3</x:v>
      </x:c>
      <x:c r="F136" s="79" t="n">
        <x:v>0</x:v>
      </x:c>
      <x:c r="G136" s="74" t="n">
        <x:f>INDEX('Baseline'!$F$8:$F$39,MATCH(B136,'Baseline'!$A$8:$A$39,0))</x:f>
        <x:v>155</x:v>
      </x:c>
      <x:c r="H136" s="80" t="n">
        <x:f>F136*G136</x:f>
        <x:v>0</x:v>
      </x:c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</x:row>
    <x:row r="137" ht="23" customHeight="1">
      <x:c r="A137" s="60" t="str">
        <x:v>MQ-0130</x:v>
      </x:c>
      <x:c r="B137" s="60" t="str">
        <x:v>RC08</x:v>
      </x:c>
      <x:c r="C137" s="60" t="n">
        <x:v>10</x:v>
      </x:c>
      <x:c r="D137" s="60" t="str">
        <x:v>ZONE-5</x:v>
      </x:c>
      <x:c r="E137" s="60" t="str">
        <x:v>m3</x:v>
      </x:c>
      <x:c r="F137" s="82" t="n">
        <x:v>0</x:v>
      </x:c>
      <x:c r="G137" s="78" t="n">
        <x:f>INDEX('Baseline'!$F$8:$F$39,MATCH(B137,'Baseline'!$A$8:$A$39,0))</x:f>
        <x:v>155</x:v>
      </x:c>
      <x:c r="H137" s="83" t="n">
        <x:f>F137*G137</x:f>
        <x:v>0</x:v>
      </x:c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</x:row>
    <x:row r="138" ht="23" customHeight="1">
      <x:c r="A138" s="58" t="str">
        <x:v>MQ-0131</x:v>
      </x:c>
      <x:c r="B138" s="58" t="str">
        <x:v>RC08</x:v>
      </x:c>
      <x:c r="C138" s="58" t="n">
        <x:v>11</x:v>
      </x:c>
      <x:c r="D138" s="58" t="str">
        <x:v>ZONE-5</x:v>
      </x:c>
      <x:c r="E138" s="58" t="str">
        <x:v>m3</x:v>
      </x:c>
      <x:c r="F138" s="79" t="n">
        <x:v>0</x:v>
      </x:c>
      <x:c r="G138" s="74" t="n">
        <x:f>INDEX('Baseline'!$F$8:$F$39,MATCH(B138,'Baseline'!$A$8:$A$39,0))</x:f>
        <x:v>155</x:v>
      </x:c>
      <x:c r="H138" s="80" t="n">
        <x:f>F138*G138</x:f>
        <x:v>0</x:v>
      </x:c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</x:row>
    <x:row r="139" ht="23" customHeight="1">
      <x:c r="A139" s="60" t="str">
        <x:v>MQ-0132</x:v>
      </x:c>
      <x:c r="B139" s="60" t="str">
        <x:v>RC08</x:v>
      </x:c>
      <x:c r="C139" s="60" t="n">
        <x:v>12</x:v>
      </x:c>
      <x:c r="D139" s="60" t="str">
        <x:v>ZONE-5</x:v>
      </x:c>
      <x:c r="E139" s="60" t="str">
        <x:v>m3</x:v>
      </x:c>
      <x:c r="F139" s="82" t="n">
        <x:v>0</x:v>
      </x:c>
      <x:c r="G139" s="78" t="n">
        <x:f>INDEX('Baseline'!$F$8:$F$39,MATCH(B139,'Baseline'!$A$8:$A$39,0))</x:f>
        <x:v>155</x:v>
      </x:c>
      <x:c r="H139" s="83" t="n">
        <x:f>F139*G139</x:f>
        <x:v>0</x:v>
      </x:c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</x:row>
    <x:row r="140" ht="23" customHeight="1">
      <x:c r="A140" s="58" t="str">
        <x:v>MQ-0133</x:v>
      </x:c>
      <x:c r="B140" s="58" t="str">
        <x:v>RC09</x:v>
      </x:c>
      <x:c r="C140" s="58" t="n">
        <x:v>1</x:v>
      </x:c>
      <x:c r="D140" s="58" t="str">
        <x:v>ZONE-6</x:v>
      </x:c>
      <x:c r="E140" s="58" t="str">
        <x:v>m3</x:v>
      </x:c>
      <x:c r="F140" s="79" t="n">
        <x:v>0</x:v>
      </x:c>
      <x:c r="G140" s="74" t="n">
        <x:f>INDEX('Baseline'!$F$8:$F$39,MATCH(B140,'Baseline'!$A$8:$A$39,0))</x:f>
        <x:v>143</x:v>
      </x:c>
      <x:c r="H140" s="80" t="n">
        <x:f>F140*G140</x:f>
        <x:v>0</x:v>
      </x:c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</x:row>
    <x:row r="141" ht="23" customHeight="1">
      <x:c r="A141" s="60" t="str">
        <x:v>MQ-0134</x:v>
      </x:c>
      <x:c r="B141" s="60" t="str">
        <x:v>RC09</x:v>
      </x:c>
      <x:c r="C141" s="60" t="n">
        <x:v>2</x:v>
      </x:c>
      <x:c r="D141" s="60" t="str">
        <x:v>ZONE-6</x:v>
      </x:c>
      <x:c r="E141" s="60" t="str">
        <x:v>m3</x:v>
      </x:c>
      <x:c r="F141" s="82" t="n">
        <x:v>0</x:v>
      </x:c>
      <x:c r="G141" s="78" t="n">
        <x:f>INDEX('Baseline'!$F$8:$F$39,MATCH(B141,'Baseline'!$A$8:$A$39,0))</x:f>
        <x:v>143</x:v>
      </x:c>
      <x:c r="H141" s="83" t="n">
        <x:f>F141*G141</x:f>
        <x:v>0</x:v>
      </x:c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</x:row>
    <x:row r="142" ht="23" customHeight="1">
      <x:c r="A142" s="58" t="str">
        <x:v>MQ-0135</x:v>
      </x:c>
      <x:c r="B142" s="58" t="str">
        <x:v>RC09</x:v>
      </x:c>
      <x:c r="C142" s="58" t="n">
        <x:v>3</x:v>
      </x:c>
      <x:c r="D142" s="58" t="str">
        <x:v>ZONE-6</x:v>
      </x:c>
      <x:c r="E142" s="58" t="str">
        <x:v>m3</x:v>
      </x:c>
      <x:c r="F142" s="79" t="n">
        <x:v>0</x:v>
      </x:c>
      <x:c r="G142" s="74" t="n">
        <x:f>INDEX('Baseline'!$F$8:$F$39,MATCH(B142,'Baseline'!$A$8:$A$39,0))</x:f>
        <x:v>143</x:v>
      </x:c>
      <x:c r="H142" s="80" t="n">
        <x:f>F142*G142</x:f>
        <x:v>0</x:v>
      </x:c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</x:row>
    <x:row r="143" ht="23" customHeight="1">
      <x:c r="A143" s="60" t="str">
        <x:v>MQ-0136</x:v>
      </x:c>
      <x:c r="B143" s="60" t="str">
        <x:v>RC09</x:v>
      </x:c>
      <x:c r="C143" s="60" t="n">
        <x:v>4</x:v>
      </x:c>
      <x:c r="D143" s="60" t="str">
        <x:v>ZONE-6</x:v>
      </x:c>
      <x:c r="E143" s="60" t="str">
        <x:v>m3</x:v>
      </x:c>
      <x:c r="F143" s="82" t="n">
        <x:v>0</x:v>
      </x:c>
      <x:c r="G143" s="78" t="n">
        <x:f>INDEX('Baseline'!$F$8:$F$39,MATCH(B143,'Baseline'!$A$8:$A$39,0))</x:f>
        <x:v>143</x:v>
      </x:c>
      <x:c r="H143" s="83" t="n">
        <x:f>F143*G143</x:f>
        <x:v>0</x:v>
      </x:c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</x:row>
    <x:row r="144" ht="23" customHeight="1">
      <x:c r="A144" s="58" t="str">
        <x:v>MQ-0137</x:v>
      </x:c>
      <x:c r="B144" s="58" t="str">
        <x:v>RC09</x:v>
      </x:c>
      <x:c r="C144" s="58" t="n">
        <x:v>5</x:v>
      </x:c>
      <x:c r="D144" s="58" t="str">
        <x:v>ZONE-6</x:v>
      </x:c>
      <x:c r="E144" s="58" t="str">
        <x:v>m3</x:v>
      </x:c>
      <x:c r="F144" s="79" t="n">
        <x:v>630</x:v>
      </x:c>
      <x:c r="G144" s="74" t="n">
        <x:f>INDEX('Baseline'!$F$8:$F$39,MATCH(B144,'Baseline'!$A$8:$A$39,0))</x:f>
        <x:v>143</x:v>
      </x:c>
      <x:c r="H144" s="80" t="n">
        <x:f>F144*G144</x:f>
        <x:v>90090</x:v>
      </x:c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</x:row>
    <x:row r="145" ht="23" customHeight="1">
      <x:c r="A145" s="60" t="str">
        <x:v>MQ-0138</x:v>
      </x:c>
      <x:c r="B145" s="60" t="str">
        <x:v>RC09</x:v>
      </x:c>
      <x:c r="C145" s="60" t="n">
        <x:v>6</x:v>
      </x:c>
      <x:c r="D145" s="60" t="str">
        <x:v>ZONE-6</x:v>
      </x:c>
      <x:c r="E145" s="60" t="str">
        <x:v>m3</x:v>
      </x:c>
      <x:c r="F145" s="82" t="n">
        <x:v>630</x:v>
      </x:c>
      <x:c r="G145" s="78" t="n">
        <x:f>INDEX('Baseline'!$F$8:$F$39,MATCH(B145,'Baseline'!$A$8:$A$39,0))</x:f>
        <x:v>143</x:v>
      </x:c>
      <x:c r="H145" s="83" t="n">
        <x:f>F145*G145</x:f>
        <x:v>90090</x:v>
      </x:c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</x:row>
    <x:row r="146" ht="23" customHeight="1">
      <x:c r="A146" s="58" t="str">
        <x:v>MQ-0139</x:v>
      </x:c>
      <x:c r="B146" s="58" t="str">
        <x:v>RC09</x:v>
      </x:c>
      <x:c r="C146" s="58" t="n">
        <x:v>7</x:v>
      </x:c>
      <x:c r="D146" s="58" t="str">
        <x:v>ZONE-6</x:v>
      </x:c>
      <x:c r="E146" s="58" t="str">
        <x:v>m3</x:v>
      </x:c>
      <x:c r="F146" s="79" t="n">
        <x:v>630</x:v>
      </x:c>
      <x:c r="G146" s="74" t="n">
        <x:f>INDEX('Baseline'!$F$8:$F$39,MATCH(B146,'Baseline'!$A$8:$A$39,0))</x:f>
        <x:v>143</x:v>
      </x:c>
      <x:c r="H146" s="80" t="n">
        <x:f>F146*G146</x:f>
        <x:v>90090</x:v>
      </x:c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</x:row>
    <x:row r="147" ht="23" customHeight="1">
      <x:c r="A147" s="60" t="str">
        <x:v>MQ-0140</x:v>
      </x:c>
      <x:c r="B147" s="60" t="str">
        <x:v>RC09</x:v>
      </x:c>
      <x:c r="C147" s="60" t="n">
        <x:v>8</x:v>
      </x:c>
      <x:c r="D147" s="60" t="str">
        <x:v>ZONE-6</x:v>
      </x:c>
      <x:c r="E147" s="60" t="str">
        <x:v>m3</x:v>
      </x:c>
      <x:c r="F147" s="82" t="n">
        <x:v>630</x:v>
      </x:c>
      <x:c r="G147" s="78" t="n">
        <x:f>INDEX('Baseline'!$F$8:$F$39,MATCH(B147,'Baseline'!$A$8:$A$39,0))</x:f>
        <x:v>143</x:v>
      </x:c>
      <x:c r="H147" s="83" t="n">
        <x:f>F147*G147</x:f>
        <x:v>90090</x:v>
      </x:c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</x:row>
    <x:row r="148" ht="23" customHeight="1">
      <x:c r="A148" s="58" t="str">
        <x:v>MQ-0141</x:v>
      </x:c>
      <x:c r="B148" s="58" t="str">
        <x:v>RC09</x:v>
      </x:c>
      <x:c r="C148" s="58" t="n">
        <x:v>9</x:v>
      </x:c>
      <x:c r="D148" s="58" t="str">
        <x:v>ZONE-6</x:v>
      </x:c>
      <x:c r="E148" s="58" t="str">
        <x:v>m3</x:v>
      </x:c>
      <x:c r="F148" s="79" t="n">
        <x:v>0</x:v>
      </x:c>
      <x:c r="G148" s="74" t="n">
        <x:f>INDEX('Baseline'!$F$8:$F$39,MATCH(B148,'Baseline'!$A$8:$A$39,0))</x:f>
        <x:v>143</x:v>
      </x:c>
      <x:c r="H148" s="80" t="n">
        <x:f>F148*G148</x:f>
        <x:v>0</x:v>
      </x:c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</x:row>
    <x:row r="149" ht="23" customHeight="1">
      <x:c r="A149" s="60" t="str">
        <x:v>MQ-0142</x:v>
      </x:c>
      <x:c r="B149" s="60" t="str">
        <x:v>RC09</x:v>
      </x:c>
      <x:c r="C149" s="60" t="n">
        <x:v>10</x:v>
      </x:c>
      <x:c r="D149" s="60" t="str">
        <x:v>ZONE-6</x:v>
      </x:c>
      <x:c r="E149" s="60" t="str">
        <x:v>m3</x:v>
      </x:c>
      <x:c r="F149" s="82" t="n">
        <x:v>0</x:v>
      </x:c>
      <x:c r="G149" s="78" t="n">
        <x:f>INDEX('Baseline'!$F$8:$F$39,MATCH(B149,'Baseline'!$A$8:$A$39,0))</x:f>
        <x:v>143</x:v>
      </x:c>
      <x:c r="H149" s="83" t="n">
        <x:f>F149*G149</x:f>
        <x:v>0</x:v>
      </x:c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</x:row>
    <x:row r="150" ht="23" customHeight="1">
      <x:c r="A150" s="58" t="str">
        <x:v>MQ-0143</x:v>
      </x:c>
      <x:c r="B150" s="58" t="str">
        <x:v>RC09</x:v>
      </x:c>
      <x:c r="C150" s="58" t="n">
        <x:v>11</x:v>
      </x:c>
      <x:c r="D150" s="58" t="str">
        <x:v>ZONE-6</x:v>
      </x:c>
      <x:c r="E150" s="58" t="str">
        <x:v>m3</x:v>
      </x:c>
      <x:c r="F150" s="79" t="n">
        <x:v>0</x:v>
      </x:c>
      <x:c r="G150" s="74" t="n">
        <x:f>INDEX('Baseline'!$F$8:$F$39,MATCH(B150,'Baseline'!$A$8:$A$39,0))</x:f>
        <x:v>143</x:v>
      </x:c>
      <x:c r="H150" s="80" t="n">
        <x:f>F150*G150</x:f>
        <x:v>0</x:v>
      </x:c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</x:row>
    <x:row r="151" ht="23" customHeight="1">
      <x:c r="A151" s="60" t="str">
        <x:v>MQ-0144</x:v>
      </x:c>
      <x:c r="B151" s="60" t="str">
        <x:v>RC09</x:v>
      </x:c>
      <x:c r="C151" s="60" t="n">
        <x:v>12</x:v>
      </x:c>
      <x:c r="D151" s="60" t="str">
        <x:v>ZONE-6</x:v>
      </x:c>
      <x:c r="E151" s="60" t="str">
        <x:v>m3</x:v>
      </x:c>
      <x:c r="F151" s="82" t="n">
        <x:v>0</x:v>
      </x:c>
      <x:c r="G151" s="78" t="n">
        <x:f>INDEX('Baseline'!$F$8:$F$39,MATCH(B151,'Baseline'!$A$8:$A$39,0))</x:f>
        <x:v>143</x:v>
      </x:c>
      <x:c r="H151" s="83" t="n">
        <x:f>F151*G151</x:f>
        <x:v>0</x:v>
      </x:c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</x:row>
    <x:row r="152" ht="23" customHeight="1">
      <x:c r="A152" s="58" t="str">
        <x:v>MQ-0145</x:v>
      </x:c>
      <x:c r="B152" s="58" t="str">
        <x:v>RB01</x:v>
      </x:c>
      <x:c r="C152" s="58" t="n">
        <x:v>1</x:v>
      </x:c>
      <x:c r="D152" s="58" t="str">
        <x:v>ZONE-1</x:v>
      </x:c>
      <x:c r="E152" s="58" t="str">
        <x:v>t</x:v>
      </x:c>
      <x:c r="F152" s="79" t="n">
        <x:v>0</x:v>
      </x:c>
      <x:c r="G152" s="74" t="n">
        <x:f>INDEX('Baseline'!$F$8:$F$39,MATCH(B152,'Baseline'!$A$8:$A$39,0))</x:f>
        <x:v>869</x:v>
      </x:c>
      <x:c r="H152" s="80" t="n">
        <x:f>F152*G152</x:f>
        <x:v>0</x:v>
      </x:c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</x:row>
    <x:row r="153" ht="23" customHeight="1">
      <x:c r="A153" s="60" t="str">
        <x:v>MQ-0146</x:v>
      </x:c>
      <x:c r="B153" s="60" t="str">
        <x:v>RB01</x:v>
      </x:c>
      <x:c r="C153" s="60" t="n">
        <x:v>2</x:v>
      </x:c>
      <x:c r="D153" s="60" t="str">
        <x:v>ZONE-1</x:v>
      </x:c>
      <x:c r="E153" s="60" t="str">
        <x:v>t</x:v>
      </x:c>
      <x:c r="F153" s="82" t="n">
        <x:v>0</x:v>
      </x:c>
      <x:c r="G153" s="78" t="n">
        <x:f>INDEX('Baseline'!$F$8:$F$39,MATCH(B153,'Baseline'!$A$8:$A$39,0))</x:f>
        <x:v>869</x:v>
      </x:c>
      <x:c r="H153" s="83" t="n">
        <x:f>F153*G153</x:f>
        <x:v>0</x:v>
      </x:c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</x:row>
    <x:row r="154" ht="23" customHeight="1">
      <x:c r="A154" s="58" t="str">
        <x:v>MQ-0147</x:v>
      </x:c>
      <x:c r="B154" s="58" t="str">
        <x:v>RB01</x:v>
      </x:c>
      <x:c r="C154" s="58" t="n">
        <x:v>3</x:v>
      </x:c>
      <x:c r="D154" s="58" t="str">
        <x:v>ZONE-1</x:v>
      </x:c>
      <x:c r="E154" s="58" t="str">
        <x:v>t</x:v>
      </x:c>
      <x:c r="F154" s="79" t="n">
        <x:v>289.42035988522554</x:v>
      </x:c>
      <x:c r="G154" s="74" t="n">
        <x:f>INDEX('Baseline'!$F$8:$F$39,MATCH(B154,'Baseline'!$A$8:$A$39,0))</x:f>
        <x:v>869</x:v>
      </x:c>
      <x:c r="H154" s="80" t="n">
        <x:f>F154*G154</x:f>
        <x:v>251506.29274026098</x:v>
      </x:c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</x:row>
    <x:row r="155" ht="23" customHeight="1">
      <x:c r="A155" s="60" t="str">
        <x:v>MQ-0148</x:v>
      </x:c>
      <x:c r="B155" s="60" t="str">
        <x:v>RB01</x:v>
      </x:c>
      <x:c r="C155" s="60" t="n">
        <x:v>4</x:v>
      </x:c>
      <x:c r="D155" s="60" t="str">
        <x:v>ZONE-1</x:v>
      </x:c>
      <x:c r="E155" s="60" t="str">
        <x:v>t</x:v>
      </x:c>
      <x:c r="F155" s="82" t="n">
        <x:v>289.42035988522554</x:v>
      </x:c>
      <x:c r="G155" s="78" t="n">
        <x:f>INDEX('Baseline'!$F$8:$F$39,MATCH(B155,'Baseline'!$A$8:$A$39,0))</x:f>
        <x:v>869</x:v>
      </x:c>
      <x:c r="H155" s="83" t="n">
        <x:f>F155*G155</x:f>
        <x:v>251506.29274026098</x:v>
      </x:c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</x:row>
    <x:row r="156" ht="23" customHeight="1">
      <x:c r="A156" s="58" t="str">
        <x:v>MQ-0149</x:v>
      </x:c>
      <x:c r="B156" s="58" t="str">
        <x:v>RB01</x:v>
      </x:c>
      <x:c r="C156" s="58" t="n">
        <x:v>5</x:v>
      </x:c>
      <x:c r="D156" s="58" t="str">
        <x:v>ZONE-1</x:v>
      </x:c>
      <x:c r="E156" s="58" t="str">
        <x:v>t</x:v>
      </x:c>
      <x:c r="F156" s="79" t="n">
        <x:v>289.4203598852256</x:v>
      </x:c>
      <x:c r="G156" s="74" t="n">
        <x:f>INDEX('Baseline'!$F$8:$F$39,MATCH(B156,'Baseline'!$A$8:$A$39,0))</x:f>
        <x:v>869</x:v>
      </x:c>
      <x:c r="H156" s="80" t="n">
        <x:f>F156*G156</x:f>
        <x:v>251506.29274026104</x:v>
      </x:c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</x:row>
    <x:row r="157" ht="23" customHeight="1">
      <x:c r="A157" s="60" t="str">
        <x:v>MQ-0150</x:v>
      </x:c>
      <x:c r="B157" s="60" t="str">
        <x:v>RB01</x:v>
      </x:c>
      <x:c r="C157" s="60" t="n">
        <x:v>6</x:v>
      </x:c>
      <x:c r="D157" s="60" t="str">
        <x:v>ZONE-1</x:v>
      </x:c>
      <x:c r="E157" s="60" t="str">
        <x:v>t</x:v>
      </x:c>
      <x:c r="F157" s="82" t="n">
        <x:v>289.4203598852255</x:v>
      </x:c>
      <x:c r="G157" s="78" t="n">
        <x:f>INDEX('Baseline'!$F$8:$F$39,MATCH(B157,'Baseline'!$A$8:$A$39,0))</x:f>
        <x:v>869</x:v>
      </x:c>
      <x:c r="H157" s="83" t="n">
        <x:f>F157*G157</x:f>
        <x:v>251506.29274026095</x:v>
      </x:c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</x:row>
    <x:row r="158" ht="23" customHeight="1">
      <x:c r="A158" s="58" t="str">
        <x:v>MQ-0151</x:v>
      </x:c>
      <x:c r="B158" s="58" t="str">
        <x:v>RB01</x:v>
      </x:c>
      <x:c r="C158" s="58" t="n">
        <x:v>7</x:v>
      </x:c>
      <x:c r="D158" s="58" t="str">
        <x:v>ZONE-1</x:v>
      </x:c>
      <x:c r="E158" s="58" t="str">
        <x:v>t</x:v>
      </x:c>
      <x:c r="F158" s="79" t="n">
        <x:v>289.4203598852255</x:v>
      </x:c>
      <x:c r="G158" s="74" t="n">
        <x:f>INDEX('Baseline'!$F$8:$F$39,MATCH(B158,'Baseline'!$A$8:$A$39,0))</x:f>
        <x:v>869</x:v>
      </x:c>
      <x:c r="H158" s="80" t="n">
        <x:f>F158*G158</x:f>
        <x:v>251506.29274026095</x:v>
      </x:c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</x:row>
    <x:row r="159" ht="23" customHeight="1">
      <x:c r="A159" s="60" t="str">
        <x:v>MQ-0152</x:v>
      </x:c>
      <x:c r="B159" s="60" t="str">
        <x:v>RB01</x:v>
      </x:c>
      <x:c r="C159" s="60" t="n">
        <x:v>8</x:v>
      </x:c>
      <x:c r="D159" s="60" t="str">
        <x:v>ZONE-1</x:v>
      </x:c>
      <x:c r="E159" s="60" t="str">
        <x:v>t</x:v>
      </x:c>
      <x:c r="F159" s="82" t="n">
        <x:v>289.4203598852257</x:v>
      </x:c>
      <x:c r="G159" s="78" t="n">
        <x:f>INDEX('Baseline'!$F$8:$F$39,MATCH(B159,'Baseline'!$A$8:$A$39,0))</x:f>
        <x:v>869</x:v>
      </x:c>
      <x:c r="H159" s="83" t="n">
        <x:f>F159*G159</x:f>
        <x:v>251506.29274026115</x:v>
      </x:c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</x:row>
    <x:row r="160" ht="23" customHeight="1">
      <x:c r="A160" s="58" t="str">
        <x:v>MQ-0153</x:v>
      </x:c>
      <x:c r="B160" s="58" t="str">
        <x:v>RB01</x:v>
      </x:c>
      <x:c r="C160" s="58" t="n">
        <x:v>9</x:v>
      </x:c>
      <x:c r="D160" s="58" t="str">
        <x:v>ZONE-1</x:v>
      </x:c>
      <x:c r="E160" s="58" t="str">
        <x:v>t</x:v>
      </x:c>
      <x:c r="F160" s="79" t="n">
        <x:v>289.4203598852255</x:v>
      </x:c>
      <x:c r="G160" s="74" t="n">
        <x:f>INDEX('Baseline'!$F$8:$F$39,MATCH(B160,'Baseline'!$A$8:$A$39,0))</x:f>
        <x:v>869</x:v>
      </x:c>
      <x:c r="H160" s="80" t="n">
        <x:f>F160*G160</x:f>
        <x:v>251506.29274026095</x:v>
      </x:c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</x:row>
    <x:row r="161" ht="23" customHeight="1">
      <x:c r="A161" s="60" t="str">
        <x:v>MQ-0154</x:v>
      </x:c>
      <x:c r="B161" s="60" t="str">
        <x:v>RB01</x:v>
      </x:c>
      <x:c r="C161" s="60" t="n">
        <x:v>10</x:v>
      </x:c>
      <x:c r="D161" s="60" t="str">
        <x:v>ZONE-1</x:v>
      </x:c>
      <x:c r="E161" s="60" t="str">
        <x:v>t</x:v>
      </x:c>
      <x:c r="F161" s="82" t="n">
        <x:v>289.4203598852255</x:v>
      </x:c>
      <x:c r="G161" s="78" t="n">
        <x:f>INDEX('Baseline'!$F$8:$F$39,MATCH(B161,'Baseline'!$A$8:$A$39,0))</x:f>
        <x:v>869</x:v>
      </x:c>
      <x:c r="H161" s="83" t="n">
        <x:f>F161*G161</x:f>
        <x:v>251506.29274026095</x:v>
      </x:c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</x:row>
    <x:row r="162" ht="23" customHeight="1">
      <x:c r="A162" s="58" t="str">
        <x:v>MQ-0155</x:v>
      </x:c>
      <x:c r="B162" s="58" t="str">
        <x:v>RB01</x:v>
      </x:c>
      <x:c r="C162" s="58" t="n">
        <x:v>11</x:v>
      </x:c>
      <x:c r="D162" s="58" t="str">
        <x:v>ZONE-1</x:v>
      </x:c>
      <x:c r="E162" s="58" t="str">
        <x:v>t</x:v>
      </x:c>
      <x:c r="F162" s="79" t="n">
        <x:v>289.4203598852255</x:v>
      </x:c>
      <x:c r="G162" s="74" t="n">
        <x:f>INDEX('Baseline'!$F$8:$F$39,MATCH(B162,'Baseline'!$A$8:$A$39,0))</x:f>
        <x:v>869</x:v>
      </x:c>
      <x:c r="H162" s="80" t="n">
        <x:f>F162*G162</x:f>
        <x:v>251506.29274026095</x:v>
      </x:c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</x:row>
    <x:row r="163" ht="23" customHeight="1">
      <x:c r="A163" s="60" t="str">
        <x:v>MQ-0156</x:v>
      </x:c>
      <x:c r="B163" s="60" t="str">
        <x:v>RB01</x:v>
      </x:c>
      <x:c r="C163" s="60" t="n">
        <x:v>12</x:v>
      </x:c>
      <x:c r="D163" s="60" t="str">
        <x:v>ZONE-1</x:v>
      </x:c>
      <x:c r="E163" s="60" t="str">
        <x:v>t</x:v>
      </x:c>
      <x:c r="F163" s="82" t="n">
        <x:v>289.4203598852255</x:v>
      </x:c>
      <x:c r="G163" s="78" t="n">
        <x:f>INDEX('Baseline'!$F$8:$F$39,MATCH(B163,'Baseline'!$A$8:$A$39,0))</x:f>
        <x:v>869</x:v>
      </x:c>
      <x:c r="H163" s="83" t="n">
        <x:f>F163*G163</x:f>
        <x:v>251506.29274026095</x:v>
      </x:c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</x:row>
    <x:row r="164" ht="23" customHeight="1">
      <x:c r="A164" s="58" t="str">
        <x:v>MQ-0157</x:v>
      </x:c>
      <x:c r="B164" s="58" t="str">
        <x:v>FW01</x:v>
      </x:c>
      <x:c r="C164" s="58" t="n">
        <x:v>1</x:v>
      </x:c>
      <x:c r="D164" s="58" t="str">
        <x:v>ZONE-2</x:v>
      </x:c>
      <x:c r="E164" s="58" t="str">
        <x:v>m2</x:v>
      </x:c>
      <x:c r="F164" s="79" t="n">
        <x:v>0</x:v>
      </x:c>
      <x:c r="G164" s="74" t="n">
        <x:f>INDEX('Baseline'!$F$8:$F$39,MATCH(B164,'Baseline'!$A$8:$A$39,0))</x:f>
        <x:v>22</x:v>
      </x:c>
      <x:c r="H164" s="80" t="n">
        <x:f>F164*G164</x:f>
        <x:v>0</x:v>
      </x:c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</x:row>
    <x:row r="165" ht="23" customHeight="1">
      <x:c r="A165" s="60" t="str">
        <x:v>MQ-0158</x:v>
      </x:c>
      <x:c r="B165" s="60" t="str">
        <x:v>FW01</x:v>
      </x:c>
      <x:c r="C165" s="60" t="n">
        <x:v>2</x:v>
      </x:c>
      <x:c r="D165" s="60" t="str">
        <x:v>ZONE-2</x:v>
      </x:c>
      <x:c r="E165" s="60" t="str">
        <x:v>m2</x:v>
      </x:c>
      <x:c r="F165" s="82" t="n">
        <x:v>0</x:v>
      </x:c>
      <x:c r="G165" s="78" t="n">
        <x:f>INDEX('Baseline'!$F$8:$F$39,MATCH(B165,'Baseline'!$A$8:$A$39,0))</x:f>
        <x:v>22</x:v>
      </x:c>
      <x:c r="H165" s="83" t="n">
        <x:f>F165*G165</x:f>
        <x:v>0</x:v>
      </x:c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</x:row>
    <x:row r="166" ht="23" customHeight="1">
      <x:c r="A166" s="58" t="str">
        <x:v>MQ-0159</x:v>
      </x:c>
      <x:c r="B166" s="58" t="str">
        <x:v>FW01</x:v>
      </x:c>
      <x:c r="C166" s="58" t="n">
        <x:v>3</x:v>
      </x:c>
      <x:c r="D166" s="58" t="str">
        <x:v>ZONE-2</x:v>
      </x:c>
      <x:c r="E166" s="58" t="str">
        <x:v>m2</x:v>
      </x:c>
      <x:c r="F166" s="79" t="n">
        <x:v>0</x:v>
      </x:c>
      <x:c r="G166" s="74" t="n">
        <x:f>INDEX('Baseline'!$F$8:$F$39,MATCH(B166,'Baseline'!$A$8:$A$39,0))</x:f>
        <x:v>22</x:v>
      </x:c>
      <x:c r="H166" s="80" t="n">
        <x:f>F166*G166</x:f>
        <x:v>0</x:v>
      </x:c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</x:row>
    <x:row r="167" ht="23" customHeight="1">
      <x:c r="A167" s="60" t="str">
        <x:v>MQ-0160</x:v>
      </x:c>
      <x:c r="B167" s="60" t="str">
        <x:v>FW01</x:v>
      </x:c>
      <x:c r="C167" s="60" t="n">
        <x:v>4</x:v>
      </x:c>
      <x:c r="D167" s="60" t="str">
        <x:v>ZONE-2</x:v>
      </x:c>
      <x:c r="E167" s="60" t="str">
        <x:v>m2</x:v>
      </x:c>
      <x:c r="F167" s="82" t="n">
        <x:v>0</x:v>
      </x:c>
      <x:c r="G167" s="78" t="n">
        <x:f>INDEX('Baseline'!$F$8:$F$39,MATCH(B167,'Baseline'!$A$8:$A$39,0))</x:f>
        <x:v>22</x:v>
      </x:c>
      <x:c r="H167" s="83" t="n">
        <x:f>F167*G167</x:f>
        <x:v>0</x:v>
      </x:c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</x:row>
    <x:row r="168" ht="23" customHeight="1">
      <x:c r="A168" s="58" t="str">
        <x:v>MQ-0161</x:v>
      </x:c>
      <x:c r="B168" s="58" t="str">
        <x:v>FW01</x:v>
      </x:c>
      <x:c r="C168" s="58" t="n">
        <x:v>5</x:v>
      </x:c>
      <x:c r="D168" s="58" t="str">
        <x:v>ZONE-2</x:v>
      </x:c>
      <x:c r="E168" s="58" t="str">
        <x:v>m2</x:v>
      </x:c>
      <x:c r="F168" s="79" t="n">
        <x:v>0</x:v>
      </x:c>
      <x:c r="G168" s="74" t="n">
        <x:f>INDEX('Baseline'!$F$8:$F$39,MATCH(B168,'Baseline'!$A$8:$A$39,0))</x:f>
        <x:v>22</x:v>
      </x:c>
      <x:c r="H168" s="80" t="n">
        <x:f>F168*G168</x:f>
        <x:v>0</x:v>
      </x:c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</x:row>
    <x:row r="169" ht="23" customHeight="1">
      <x:c r="A169" s="60" t="str">
        <x:v>MQ-0162</x:v>
      </x:c>
      <x:c r="B169" s="60" t="str">
        <x:v>FW01</x:v>
      </x:c>
      <x:c r="C169" s="60" t="n">
        <x:v>6</x:v>
      </x:c>
      <x:c r="D169" s="60" t="str">
        <x:v>ZONE-2</x:v>
      </x:c>
      <x:c r="E169" s="60" t="str">
        <x:v>m2</x:v>
      </x:c>
      <x:c r="F169" s="82" t="n">
        <x:v>3998.475000000006</x:v>
      </x:c>
      <x:c r="G169" s="78" t="n">
        <x:f>INDEX('Baseline'!$F$8:$F$39,MATCH(B169,'Baseline'!$A$8:$A$39,0))</x:f>
        <x:v>22</x:v>
      </x:c>
      <x:c r="H169" s="83" t="n">
        <x:f>F169*G169</x:f>
        <x:v>87966.45000000013</x:v>
      </x:c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</x:row>
    <x:row r="170" ht="23" customHeight="1">
      <x:c r="A170" s="58" t="str">
        <x:v>MQ-0163</x:v>
      </x:c>
      <x:c r="B170" s="58" t="str">
        <x:v>FW01</x:v>
      </x:c>
      <x:c r="C170" s="58" t="n">
        <x:v>7</x:v>
      </x:c>
      <x:c r="D170" s="58" t="str">
        <x:v>ZONE-2</x:v>
      </x:c>
      <x:c r="E170" s="58" t="str">
        <x:v>m2</x:v>
      </x:c>
      <x:c r="F170" s="79" t="n">
        <x:v>3998.475000000006</x:v>
      </x:c>
      <x:c r="G170" s="74" t="n">
        <x:f>INDEX('Baseline'!$F$8:$F$39,MATCH(B170,'Baseline'!$A$8:$A$39,0))</x:f>
        <x:v>22</x:v>
      </x:c>
      <x:c r="H170" s="80" t="n">
        <x:f>F170*G170</x:f>
        <x:v>87966.45000000013</x:v>
      </x:c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</x:row>
    <x:row r="171" ht="23" customHeight="1">
      <x:c r="A171" s="60" t="str">
        <x:v>MQ-0164</x:v>
      </x:c>
      <x:c r="B171" s="60" t="str">
        <x:v>FW01</x:v>
      </x:c>
      <x:c r="C171" s="60" t="n">
        <x:v>8</x:v>
      </x:c>
      <x:c r="D171" s="60" t="str">
        <x:v>ZONE-2</x:v>
      </x:c>
      <x:c r="E171" s="60" t="str">
        <x:v>m2</x:v>
      </x:c>
      <x:c r="F171" s="82" t="n">
        <x:v>3998.475000000006</x:v>
      </x:c>
      <x:c r="G171" s="78" t="n">
        <x:f>INDEX('Baseline'!$F$8:$F$39,MATCH(B171,'Baseline'!$A$8:$A$39,0))</x:f>
        <x:v>22</x:v>
      </x:c>
      <x:c r="H171" s="83" t="n">
        <x:f>F171*G171</x:f>
        <x:v>87966.45000000013</x:v>
      </x:c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</x:row>
    <x:row r="172" ht="23" customHeight="1">
      <x:c r="A172" s="58" t="str">
        <x:v>MQ-0165</x:v>
      </x:c>
      <x:c r="B172" s="58" t="str">
        <x:v>FW01</x:v>
      </x:c>
      <x:c r="C172" s="58" t="n">
        <x:v>9</x:v>
      </x:c>
      <x:c r="D172" s="58" t="str">
        <x:v>ZONE-2</x:v>
      </x:c>
      <x:c r="E172" s="58" t="str">
        <x:v>m2</x:v>
      </x:c>
      <x:c r="F172" s="79" t="n">
        <x:v>3998.475000000006</x:v>
      </x:c>
      <x:c r="G172" s="74" t="n">
        <x:f>INDEX('Baseline'!$F$8:$F$39,MATCH(B172,'Baseline'!$A$8:$A$39,0))</x:f>
        <x:v>22</x:v>
      </x:c>
      <x:c r="H172" s="80" t="n">
        <x:f>F172*G172</x:f>
        <x:v>87966.45000000013</x:v>
      </x:c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</x:row>
    <x:row r="173" ht="23" customHeight="1">
      <x:c r="A173" s="60" t="str">
        <x:v>MQ-0166</x:v>
      </x:c>
      <x:c r="B173" s="60" t="str">
        <x:v>FW01</x:v>
      </x:c>
      <x:c r="C173" s="60" t="n">
        <x:v>10</x:v>
      </x:c>
      <x:c r="D173" s="60" t="str">
        <x:v>ZONE-2</x:v>
      </x:c>
      <x:c r="E173" s="60" t="str">
        <x:v>m2</x:v>
      </x:c>
      <x:c r="F173" s="82" t="n">
        <x:v>3998.475000000006</x:v>
      </x:c>
      <x:c r="G173" s="78" t="n">
        <x:f>INDEX('Baseline'!$F$8:$F$39,MATCH(B173,'Baseline'!$A$8:$A$39,0))</x:f>
        <x:v>22</x:v>
      </x:c>
      <x:c r="H173" s="83" t="n">
        <x:f>F173*G173</x:f>
        <x:v>87966.45000000013</x:v>
      </x:c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</x:row>
    <x:row r="174" ht="23" customHeight="1">
      <x:c r="A174" s="58" t="str">
        <x:v>MQ-0167</x:v>
      </x:c>
      <x:c r="B174" s="58" t="str">
        <x:v>FW01</x:v>
      </x:c>
      <x:c r="C174" s="58" t="n">
        <x:v>11</x:v>
      </x:c>
      <x:c r="D174" s="58" t="str">
        <x:v>ZONE-2</x:v>
      </x:c>
      <x:c r="E174" s="58" t="str">
        <x:v>m2</x:v>
      </x:c>
      <x:c r="F174" s="79" t="n">
        <x:v>3998.475000000006</x:v>
      </x:c>
      <x:c r="G174" s="74" t="n">
        <x:f>INDEX('Baseline'!$F$8:$F$39,MATCH(B174,'Baseline'!$A$8:$A$39,0))</x:f>
        <x:v>22</x:v>
      </x:c>
      <x:c r="H174" s="80" t="n">
        <x:f>F174*G174</x:f>
        <x:v>87966.45000000013</x:v>
      </x:c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</x:row>
    <x:row r="175" ht="23" customHeight="1">
      <x:c r="A175" s="60" t="str">
        <x:v>MQ-0168</x:v>
      </x:c>
      <x:c r="B175" s="60" t="str">
        <x:v>FW01</x:v>
      </x:c>
      <x:c r="C175" s="60" t="n">
        <x:v>12</x:v>
      </x:c>
      <x:c r="D175" s="60" t="str">
        <x:v>ZONE-2</x:v>
      </x:c>
      <x:c r="E175" s="60" t="str">
        <x:v>m2</x:v>
      </x:c>
      <x:c r="F175" s="82" t="n">
        <x:v>3998.475000000006</x:v>
      </x:c>
      <x:c r="G175" s="78" t="n">
        <x:f>INDEX('Baseline'!$F$8:$F$39,MATCH(B175,'Baseline'!$A$8:$A$39,0))</x:f>
        <x:v>22</x:v>
      </x:c>
      <x:c r="H175" s="83" t="n">
        <x:f>F175*G175</x:f>
        <x:v>87966.45000000013</x:v>
      </x:c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</x:row>
    <x:row r="176" ht="23" customHeight="1">
      <x:c r="A176" s="58" t="str">
        <x:v>MQ-0169</x:v>
      </x:c>
      <x:c r="B176" s="58" t="str">
        <x:v>FW02</x:v>
      </x:c>
      <x:c r="C176" s="58" t="n">
        <x:v>1</x:v>
      </x:c>
      <x:c r="D176" s="58" t="str">
        <x:v>ZONE-3</x:v>
      </x:c>
      <x:c r="E176" s="58" t="str">
        <x:v>m2</x:v>
      </x:c>
      <x:c r="F176" s="79" t="n">
        <x:v>0</x:v>
      </x:c>
      <x:c r="G176" s="74" t="n">
        <x:f>INDEX('Baseline'!$F$8:$F$39,MATCH(B176,'Baseline'!$A$8:$A$39,0))</x:f>
        <x:v>26</x:v>
      </x:c>
      <x:c r="H176" s="80" t="n">
        <x:f>F176*G176</x:f>
        <x:v>0</x:v>
      </x:c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</x:row>
    <x:row r="177" ht="23" customHeight="1">
      <x:c r="A177" s="60" t="str">
        <x:v>MQ-0170</x:v>
      </x:c>
      <x:c r="B177" s="60" t="str">
        <x:v>FW02</x:v>
      </x:c>
      <x:c r="C177" s="60" t="n">
        <x:v>2</x:v>
      </x:c>
      <x:c r="D177" s="60" t="str">
        <x:v>ZONE-3</x:v>
      </x:c>
      <x:c r="E177" s="60" t="str">
        <x:v>m2</x:v>
      </x:c>
      <x:c r="F177" s="82" t="n">
        <x:v>0</x:v>
      </x:c>
      <x:c r="G177" s="78" t="n">
        <x:f>INDEX('Baseline'!$F$8:$F$39,MATCH(B177,'Baseline'!$A$8:$A$39,0))</x:f>
        <x:v>26</x:v>
      </x:c>
      <x:c r="H177" s="83" t="n">
        <x:f>F177*G177</x:f>
        <x:v>0</x:v>
      </x:c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</x:row>
    <x:row r="178" ht="23" customHeight="1">
      <x:c r="A178" s="58" t="str">
        <x:v>MQ-0171</x:v>
      </x:c>
      <x:c r="B178" s="58" t="str">
        <x:v>FW02</x:v>
      </x:c>
      <x:c r="C178" s="58" t="n">
        <x:v>3</x:v>
      </x:c>
      <x:c r="D178" s="58" t="str">
        <x:v>ZONE-3</x:v>
      </x:c>
      <x:c r="E178" s="58" t="str">
        <x:v>m2</x:v>
      </x:c>
      <x:c r="F178" s="79" t="n">
        <x:v>0</x:v>
      </x:c>
      <x:c r="G178" s="74" t="n">
        <x:f>INDEX('Baseline'!$F$8:$F$39,MATCH(B178,'Baseline'!$A$8:$A$39,0))</x:f>
        <x:v>26</x:v>
      </x:c>
      <x:c r="H178" s="80" t="n">
        <x:f>F178*G178</x:f>
        <x:v>0</x:v>
      </x:c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</x:row>
    <x:row r="179" ht="23" customHeight="1">
      <x:c r="A179" s="60" t="str">
        <x:v>MQ-0172</x:v>
      </x:c>
      <x:c r="B179" s="60" t="str">
        <x:v>FW02</x:v>
      </x:c>
      <x:c r="C179" s="60" t="n">
        <x:v>4</x:v>
      </x:c>
      <x:c r="D179" s="60" t="str">
        <x:v>ZONE-3</x:v>
      </x:c>
      <x:c r="E179" s="60" t="str">
        <x:v>m2</x:v>
      </x:c>
      <x:c r="F179" s="82" t="n">
        <x:v>0</x:v>
      </x:c>
      <x:c r="G179" s="78" t="n">
        <x:f>INDEX('Baseline'!$F$8:$F$39,MATCH(B179,'Baseline'!$A$8:$A$39,0))</x:f>
        <x:v>26</x:v>
      </x:c>
      <x:c r="H179" s="83" t="n">
        <x:f>F179*G179</x:f>
        <x:v>0</x:v>
      </x:c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</x:row>
    <x:row r="180" ht="23" customHeight="1">
      <x:c r="A180" s="58" t="str">
        <x:v>MQ-0173</x:v>
      </x:c>
      <x:c r="B180" s="58" t="str">
        <x:v>FW02</x:v>
      </x:c>
      <x:c r="C180" s="58" t="n">
        <x:v>5</x:v>
      </x:c>
      <x:c r="D180" s="58" t="str">
        <x:v>ZONE-3</x:v>
      </x:c>
      <x:c r="E180" s="58" t="str">
        <x:v>m2</x:v>
      </x:c>
      <x:c r="F180" s="79" t="n">
        <x:v>0</x:v>
      </x:c>
      <x:c r="G180" s="74" t="n">
        <x:f>INDEX('Baseline'!$F$8:$F$39,MATCH(B180,'Baseline'!$A$8:$A$39,0))</x:f>
        <x:v>26</x:v>
      </x:c>
      <x:c r="H180" s="80" t="n">
        <x:f>F180*G180</x:f>
        <x:v>0</x:v>
      </x:c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</x:row>
    <x:row r="181" ht="23" customHeight="1">
      <x:c r="A181" s="60" t="str">
        <x:v>MQ-0174</x:v>
      </x:c>
      <x:c r="B181" s="60" t="str">
        <x:v>FW02</x:v>
      </x:c>
      <x:c r="C181" s="60" t="n">
        <x:v>6</x:v>
      </x:c>
      <x:c r="D181" s="60" t="str">
        <x:v>ZONE-3</x:v>
      </x:c>
      <x:c r="E181" s="60" t="str">
        <x:v>m2</x:v>
      </x:c>
      <x:c r="F181" s="82" t="n">
        <x:v>1801.1493499999972</x:v>
      </x:c>
      <x:c r="G181" s="78" t="n">
        <x:f>INDEX('Baseline'!$F$8:$F$39,MATCH(B181,'Baseline'!$A$8:$A$39,0))</x:f>
        <x:v>26</x:v>
      </x:c>
      <x:c r="H181" s="83" t="n">
        <x:f>F181*G181</x:f>
        <x:v>46829.883099999926</x:v>
      </x:c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</x:row>
    <x:row r="182" ht="23" customHeight="1">
      <x:c r="A182" s="58" t="str">
        <x:v>MQ-0175</x:v>
      </x:c>
      <x:c r="B182" s="58" t="str">
        <x:v>FW02</x:v>
      </x:c>
      <x:c r="C182" s="58" t="n">
        <x:v>7</x:v>
      </x:c>
      <x:c r="D182" s="58" t="str">
        <x:v>ZONE-3</x:v>
      </x:c>
      <x:c r="E182" s="58" t="str">
        <x:v>m2</x:v>
      </x:c>
      <x:c r="F182" s="79" t="n">
        <x:v>1801.1493499999972</x:v>
      </x:c>
      <x:c r="G182" s="74" t="n">
        <x:f>INDEX('Baseline'!$F$8:$F$39,MATCH(B182,'Baseline'!$A$8:$A$39,0))</x:f>
        <x:v>26</x:v>
      </x:c>
      <x:c r="H182" s="80" t="n">
        <x:f>F182*G182</x:f>
        <x:v>46829.883099999926</x:v>
      </x:c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</x:row>
    <x:row r="183" ht="23" customHeight="1">
      <x:c r="A183" s="60" t="str">
        <x:v>MQ-0176</x:v>
      </x:c>
      <x:c r="B183" s="60" t="str">
        <x:v>FW02</x:v>
      </x:c>
      <x:c r="C183" s="60" t="n">
        <x:v>8</x:v>
      </x:c>
      <x:c r="D183" s="60" t="str">
        <x:v>ZONE-3</x:v>
      </x:c>
      <x:c r="E183" s="60" t="str">
        <x:v>m2</x:v>
      </x:c>
      <x:c r="F183" s="82" t="n">
        <x:v>1801.1493499999974</x:v>
      </x:c>
      <x:c r="G183" s="78" t="n">
        <x:f>INDEX('Baseline'!$F$8:$F$39,MATCH(B183,'Baseline'!$A$8:$A$39,0))</x:f>
        <x:v>26</x:v>
      </x:c>
      <x:c r="H183" s="83" t="n">
        <x:f>F183*G183</x:f>
        <x:v>46829.88309999993</x:v>
      </x:c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</x:row>
    <x:row r="184" ht="23" customHeight="1">
      <x:c r="A184" s="58" t="str">
        <x:v>MQ-0177</x:v>
      </x:c>
      <x:c r="B184" s="58" t="str">
        <x:v>FW02</x:v>
      </x:c>
      <x:c r="C184" s="58" t="n">
        <x:v>9</x:v>
      </x:c>
      <x:c r="D184" s="58" t="str">
        <x:v>ZONE-3</x:v>
      </x:c>
      <x:c r="E184" s="58" t="str">
        <x:v>m2</x:v>
      </x:c>
      <x:c r="F184" s="79" t="n">
        <x:v>1801.149349999997</x:v>
      </x:c>
      <x:c r="G184" s="74" t="n">
        <x:f>INDEX('Baseline'!$F$8:$F$39,MATCH(B184,'Baseline'!$A$8:$A$39,0))</x:f>
        <x:v>26</x:v>
      </x:c>
      <x:c r="H184" s="80" t="n">
        <x:f>F184*G184</x:f>
        <x:v>46829.88309999992</x:v>
      </x:c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</x:row>
    <x:row r="185" ht="23" customHeight="1">
      <x:c r="A185" s="60" t="str">
        <x:v>MQ-0178</x:v>
      </x:c>
      <x:c r="B185" s="60" t="str">
        <x:v>FW02</x:v>
      </x:c>
      <x:c r="C185" s="60" t="n">
        <x:v>10</x:v>
      </x:c>
      <x:c r="D185" s="60" t="str">
        <x:v>ZONE-3</x:v>
      </x:c>
      <x:c r="E185" s="60" t="str">
        <x:v>m2</x:v>
      </x:c>
      <x:c r="F185" s="82" t="n">
        <x:v>1801.1493499999988</x:v>
      </x:c>
      <x:c r="G185" s="78" t="n">
        <x:f>INDEX('Baseline'!$F$8:$F$39,MATCH(B185,'Baseline'!$A$8:$A$39,0))</x:f>
        <x:v>26</x:v>
      </x:c>
      <x:c r="H185" s="83" t="n">
        <x:f>F185*G185</x:f>
        <x:v>46829.88309999997</x:v>
      </x:c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</x:row>
    <x:row r="186" ht="23" customHeight="1">
      <x:c r="A186" s="58" t="str">
        <x:v>MQ-0179</x:v>
      </x:c>
      <x:c r="B186" s="58" t="str">
        <x:v>FW02</x:v>
      </x:c>
      <x:c r="C186" s="58" t="n">
        <x:v>11</x:v>
      </x:c>
      <x:c r="D186" s="58" t="str">
        <x:v>ZONE-3</x:v>
      </x:c>
      <x:c r="E186" s="58" t="str">
        <x:v>m2</x:v>
      </x:c>
      <x:c r="F186" s="79" t="n">
        <x:v>1801.149349999996</x:v>
      </x:c>
      <x:c r="G186" s="74" t="n">
        <x:f>INDEX('Baseline'!$F$8:$F$39,MATCH(B186,'Baseline'!$A$8:$A$39,0))</x:f>
        <x:v>26</x:v>
      </x:c>
      <x:c r="H186" s="80" t="n">
        <x:f>F186*G186</x:f>
        <x:v>46829.8830999999</x:v>
      </x:c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</x:row>
    <x:row r="187" ht="23" customHeight="1">
      <x:c r="A187" s="60" t="str">
        <x:v>MQ-0180</x:v>
      </x:c>
      <x:c r="B187" s="60" t="str">
        <x:v>FW02</x:v>
      </x:c>
      <x:c r="C187" s="60" t="n">
        <x:v>12</x:v>
      </x:c>
      <x:c r="D187" s="60" t="str">
        <x:v>ZONE-3</x:v>
      </x:c>
      <x:c r="E187" s="60" t="str">
        <x:v>m2</x:v>
      </x:c>
      <x:c r="F187" s="82" t="n">
        <x:v>1801.1493499999979</x:v>
      </x:c>
      <x:c r="G187" s="78" t="n">
        <x:f>INDEX('Baseline'!$F$8:$F$39,MATCH(B187,'Baseline'!$A$8:$A$39,0))</x:f>
        <x:v>26</x:v>
      </x:c>
      <x:c r="H187" s="83" t="n">
        <x:f>F187*G187</x:f>
        <x:v>46829.88309999995</x:v>
      </x:c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</x:row>
    <x:row r="188" ht="23" customHeight="1">
      <x:c r="A188" s="58" t="str">
        <x:v>MQ-0181</x:v>
      </x:c>
      <x:c r="B188" s="58" t="str">
        <x:v>FW03</x:v>
      </x:c>
      <x:c r="C188" s="58" t="n">
        <x:v>1</x:v>
      </x:c>
      <x:c r="D188" s="58" t="str">
        <x:v>ZONE-4</x:v>
      </x:c>
      <x:c r="E188" s="58" t="str">
        <x:v>m2</x:v>
      </x:c>
      <x:c r="F188" s="79" t="n">
        <x:v>0</x:v>
      </x:c>
      <x:c r="G188" s="74" t="n">
        <x:f>INDEX('Baseline'!$F$8:$F$39,MATCH(B188,'Baseline'!$A$8:$A$39,0))</x:f>
        <x:v>27</x:v>
      </x:c>
      <x:c r="H188" s="80" t="n">
        <x:f>F188*G188</x:f>
        <x:v>0</x:v>
      </x:c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</x:row>
    <x:row r="189" ht="23" customHeight="1">
      <x:c r="A189" s="60" t="str">
        <x:v>MQ-0182</x:v>
      </x:c>
      <x:c r="B189" s="60" t="str">
        <x:v>FW03</x:v>
      </x:c>
      <x:c r="C189" s="60" t="n">
        <x:v>2</x:v>
      </x:c>
      <x:c r="D189" s="60" t="str">
        <x:v>ZONE-4</x:v>
      </x:c>
      <x:c r="E189" s="60" t="str">
        <x:v>m2</x:v>
      </x:c>
      <x:c r="F189" s="82" t="n">
        <x:v>0</x:v>
      </x:c>
      <x:c r="G189" s="78" t="n">
        <x:f>INDEX('Baseline'!$F$8:$F$39,MATCH(B189,'Baseline'!$A$8:$A$39,0))</x:f>
        <x:v>27</x:v>
      </x:c>
      <x:c r="H189" s="83" t="n">
        <x:f>F189*G189</x:f>
        <x:v>0</x:v>
      </x:c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</x:row>
    <x:row r="190" ht="23" customHeight="1">
      <x:c r="A190" s="58" t="str">
        <x:v>MQ-0183</x:v>
      </x:c>
      <x:c r="B190" s="58" t="str">
        <x:v>FW03</x:v>
      </x:c>
      <x:c r="C190" s="58" t="n">
        <x:v>3</x:v>
      </x:c>
      <x:c r="D190" s="58" t="str">
        <x:v>ZONE-4</x:v>
      </x:c>
      <x:c r="E190" s="58" t="str">
        <x:v>m2</x:v>
      </x:c>
      <x:c r="F190" s="79" t="n">
        <x:v>0</x:v>
      </x:c>
      <x:c r="G190" s="74" t="n">
        <x:f>INDEX('Baseline'!$F$8:$F$39,MATCH(B190,'Baseline'!$A$8:$A$39,0))</x:f>
        <x:v>27</x:v>
      </x:c>
      <x:c r="H190" s="80" t="n">
        <x:f>F190*G190</x:f>
        <x:v>0</x:v>
      </x:c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</x:row>
    <x:row r="191" ht="23" customHeight="1">
      <x:c r="A191" s="60" t="str">
        <x:v>MQ-0184</x:v>
      </x:c>
      <x:c r="B191" s="60" t="str">
        <x:v>FW03</x:v>
      </x:c>
      <x:c r="C191" s="60" t="n">
        <x:v>4</x:v>
      </x:c>
      <x:c r="D191" s="60" t="str">
        <x:v>ZONE-4</x:v>
      </x:c>
      <x:c r="E191" s="60" t="str">
        <x:v>m2</x:v>
      </x:c>
      <x:c r="F191" s="82" t="n">
        <x:v>0</x:v>
      </x:c>
      <x:c r="G191" s="78" t="n">
        <x:f>INDEX('Baseline'!$F$8:$F$39,MATCH(B191,'Baseline'!$A$8:$A$39,0))</x:f>
        <x:v>27</x:v>
      </x:c>
      <x:c r="H191" s="83" t="n">
        <x:f>F191*G191</x:f>
        <x:v>0</x:v>
      </x:c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</x:row>
    <x:row r="192" ht="23" customHeight="1">
      <x:c r="A192" s="58" t="str">
        <x:v>MQ-0185</x:v>
      </x:c>
      <x:c r="B192" s="58" t="str">
        <x:v>FW03</x:v>
      </x:c>
      <x:c r="C192" s="58" t="n">
        <x:v>5</x:v>
      </x:c>
      <x:c r="D192" s="58" t="str">
        <x:v>ZONE-4</x:v>
      </x:c>
      <x:c r="E192" s="58" t="str">
        <x:v>m2</x:v>
      </x:c>
      <x:c r="F192" s="79" t="n">
        <x:v>0</x:v>
      </x:c>
      <x:c r="G192" s="74" t="n">
        <x:f>INDEX('Baseline'!$F$8:$F$39,MATCH(B192,'Baseline'!$A$8:$A$39,0))</x:f>
        <x:v>27</x:v>
      </x:c>
      <x:c r="H192" s="80" t="n">
        <x:f>F192*G192</x:f>
        <x:v>0</x:v>
      </x:c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</x:row>
    <x:row r="193" ht="23" customHeight="1">
      <x:c r="A193" s="60" t="str">
        <x:v>MQ-0186</x:v>
      </x:c>
      <x:c r="B193" s="60" t="str">
        <x:v>FW03</x:v>
      </x:c>
      <x:c r="C193" s="60" t="n">
        <x:v>6</x:v>
      </x:c>
      <x:c r="D193" s="60" t="str">
        <x:v>ZONE-4</x:v>
      </x:c>
      <x:c r="E193" s="60" t="str">
        <x:v>m2</x:v>
      </x:c>
      <x:c r="F193" s="82" t="n">
        <x:v>1162.1999999999985</x:v>
      </x:c>
      <x:c r="G193" s="78" t="n">
        <x:f>INDEX('Baseline'!$F$8:$F$39,MATCH(B193,'Baseline'!$A$8:$A$39,0))</x:f>
        <x:v>27</x:v>
      </x:c>
      <x:c r="H193" s="83" t="n">
        <x:f>F193*G193</x:f>
        <x:v>31379.399999999958</x:v>
      </x:c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</x:row>
    <x:row r="194" ht="23" customHeight="1">
      <x:c r="A194" s="58" t="str">
        <x:v>MQ-0187</x:v>
      </x:c>
      <x:c r="B194" s="58" t="str">
        <x:v>FW03</x:v>
      </x:c>
      <x:c r="C194" s="58" t="n">
        <x:v>7</x:v>
      </x:c>
      <x:c r="D194" s="58" t="str">
        <x:v>ZONE-4</x:v>
      </x:c>
      <x:c r="E194" s="58" t="str">
        <x:v>m2</x:v>
      </x:c>
      <x:c r="F194" s="79" t="n">
        <x:v>1162.1999999999985</x:v>
      </x:c>
      <x:c r="G194" s="74" t="n">
        <x:f>INDEX('Baseline'!$F$8:$F$39,MATCH(B194,'Baseline'!$A$8:$A$39,0))</x:f>
        <x:v>27</x:v>
      </x:c>
      <x:c r="H194" s="80" t="n">
        <x:f>F194*G194</x:f>
        <x:v>31379.399999999958</x:v>
      </x:c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</x:row>
    <x:row r="195" ht="23" customHeight="1">
      <x:c r="A195" s="60" t="str">
        <x:v>MQ-0188</x:v>
      </x:c>
      <x:c r="B195" s="60" t="str">
        <x:v>FW03</x:v>
      </x:c>
      <x:c r="C195" s="60" t="n">
        <x:v>8</x:v>
      </x:c>
      <x:c r="D195" s="60" t="str">
        <x:v>ZONE-4</x:v>
      </x:c>
      <x:c r="E195" s="60" t="str">
        <x:v>m2</x:v>
      </x:c>
      <x:c r="F195" s="82" t="n">
        <x:v>1162.1999999999985</x:v>
      </x:c>
      <x:c r="G195" s="78" t="n">
        <x:f>INDEX('Baseline'!$F$8:$F$39,MATCH(B195,'Baseline'!$A$8:$A$39,0))</x:f>
        <x:v>27</x:v>
      </x:c>
      <x:c r="H195" s="83" t="n">
        <x:f>F195*G195</x:f>
        <x:v>31379.399999999958</x:v>
      </x:c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</x:row>
    <x:row r="196" ht="23" customHeight="1">
      <x:c r="A196" s="58" t="str">
        <x:v>MQ-0189</x:v>
      </x:c>
      <x:c r="B196" s="58" t="str">
        <x:v>FW03</x:v>
      </x:c>
      <x:c r="C196" s="58" t="n">
        <x:v>9</x:v>
      </x:c>
      <x:c r="D196" s="58" t="str">
        <x:v>ZONE-4</x:v>
      </x:c>
      <x:c r="E196" s="58" t="str">
        <x:v>m2</x:v>
      </x:c>
      <x:c r="F196" s="79" t="n">
        <x:v>1162.1999999999985</x:v>
      </x:c>
      <x:c r="G196" s="74" t="n">
        <x:f>INDEX('Baseline'!$F$8:$F$39,MATCH(B196,'Baseline'!$A$8:$A$39,0))</x:f>
        <x:v>27</x:v>
      </x:c>
      <x:c r="H196" s="80" t="n">
        <x:f>F196*G196</x:f>
        <x:v>31379.399999999958</x:v>
      </x:c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</x:row>
    <x:row r="197" ht="23" customHeight="1">
      <x:c r="A197" s="60" t="str">
        <x:v>MQ-0190</x:v>
      </x:c>
      <x:c r="B197" s="60" t="str">
        <x:v>FW03</x:v>
      </x:c>
      <x:c r="C197" s="60" t="n">
        <x:v>10</x:v>
      </x:c>
      <x:c r="D197" s="60" t="str">
        <x:v>ZONE-4</x:v>
      </x:c>
      <x:c r="E197" s="60" t="str">
        <x:v>m2</x:v>
      </x:c>
      <x:c r="F197" s="82" t="n">
        <x:v>1162.199999999999</x:v>
      </x:c>
      <x:c r="G197" s="78" t="n">
        <x:f>INDEX('Baseline'!$F$8:$F$39,MATCH(B197,'Baseline'!$A$8:$A$39,0))</x:f>
        <x:v>27</x:v>
      </x:c>
      <x:c r="H197" s="83" t="n">
        <x:f>F197*G197</x:f>
        <x:v>31379.399999999972</x:v>
      </x:c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</x:row>
    <x:row r="198" ht="23" customHeight="1">
      <x:c r="A198" s="58" t="str">
        <x:v>MQ-0191</x:v>
      </x:c>
      <x:c r="B198" s="58" t="str">
        <x:v>FW03</x:v>
      </x:c>
      <x:c r="C198" s="58" t="n">
        <x:v>11</x:v>
      </x:c>
      <x:c r="D198" s="58" t="str">
        <x:v>ZONE-4</x:v>
      </x:c>
      <x:c r="E198" s="58" t="str">
        <x:v>m2</x:v>
      </x:c>
      <x:c r="F198" s="79" t="n">
        <x:v>1162.199999999998</x:v>
      </x:c>
      <x:c r="G198" s="74" t="n">
        <x:f>INDEX('Baseline'!$F$8:$F$39,MATCH(B198,'Baseline'!$A$8:$A$39,0))</x:f>
        <x:v>27</x:v>
      </x:c>
      <x:c r="H198" s="80" t="n">
        <x:f>F198*G198</x:f>
        <x:v>31379.399999999947</x:v>
      </x:c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</x:row>
    <x:row r="199" ht="23" customHeight="1">
      <x:c r="A199" s="60" t="str">
        <x:v>MQ-0192</x:v>
      </x:c>
      <x:c r="B199" s="60" t="str">
        <x:v>FW03</x:v>
      </x:c>
      <x:c r="C199" s="60" t="n">
        <x:v>12</x:v>
      </x:c>
      <x:c r="D199" s="60" t="str">
        <x:v>ZONE-4</x:v>
      </x:c>
      <x:c r="E199" s="60" t="str">
        <x:v>m2</x:v>
      </x:c>
      <x:c r="F199" s="82" t="n">
        <x:v>1162.199999999999</x:v>
      </x:c>
      <x:c r="G199" s="78" t="n">
        <x:f>INDEX('Baseline'!$F$8:$F$39,MATCH(B199,'Baseline'!$A$8:$A$39,0))</x:f>
        <x:v>27</x:v>
      </x:c>
      <x:c r="H199" s="83" t="n">
        <x:f>F199*G199</x:f>
        <x:v>31379.399999999972</x:v>
      </x:c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</x:row>
    <x:row r="200" ht="23" customHeight="1">
      <x:c r="A200" s="58" t="str">
        <x:v>MQ-0193</x:v>
      </x:c>
      <x:c r="B200" s="58" t="str">
        <x:v>FW04</x:v>
      </x:c>
      <x:c r="C200" s="58" t="n">
        <x:v>1</x:v>
      </x:c>
      <x:c r="D200" s="58" t="str">
        <x:v>ZONE-5</x:v>
      </x:c>
      <x:c r="E200" s="58" t="str">
        <x:v>m2</x:v>
      </x:c>
      <x:c r="F200" s="79" t="n">
        <x:v>0</x:v>
      </x:c>
      <x:c r="G200" s="74" t="n">
        <x:f>INDEX('Baseline'!$F$8:$F$39,MATCH(B200,'Baseline'!$A$8:$A$39,0))</x:f>
        <x:v>24.999999999999996</x:v>
      </x:c>
      <x:c r="H200" s="80" t="n">
        <x:f>F200*G200</x:f>
        <x:v>0</x:v>
      </x:c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</x:row>
    <x:row r="201" ht="23" customHeight="1">
      <x:c r="A201" s="60" t="str">
        <x:v>MQ-0194</x:v>
      </x:c>
      <x:c r="B201" s="60" t="str">
        <x:v>FW04</x:v>
      </x:c>
      <x:c r="C201" s="60" t="n">
        <x:v>2</x:v>
      </x:c>
      <x:c r="D201" s="60" t="str">
        <x:v>ZONE-5</x:v>
      </x:c>
      <x:c r="E201" s="60" t="str">
        <x:v>m2</x:v>
      </x:c>
      <x:c r="F201" s="82" t="n">
        <x:v>0</x:v>
      </x:c>
      <x:c r="G201" s="78" t="n">
        <x:f>INDEX('Baseline'!$F$8:$F$39,MATCH(B201,'Baseline'!$A$8:$A$39,0))</x:f>
        <x:v>24.999999999999996</x:v>
      </x:c>
      <x:c r="H201" s="83" t="n">
        <x:f>F201*G201</x:f>
        <x:v>0</x:v>
      </x:c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</x:row>
    <x:row r="202" ht="23" customHeight="1">
      <x:c r="A202" s="58" t="str">
        <x:v>MQ-0195</x:v>
      </x:c>
      <x:c r="B202" s="58" t="str">
        <x:v>FW04</x:v>
      </x:c>
      <x:c r="C202" s="58" t="n">
        <x:v>3</x:v>
      </x:c>
      <x:c r="D202" s="58" t="str">
        <x:v>ZONE-5</x:v>
      </x:c>
      <x:c r="E202" s="58" t="str">
        <x:v>m2</x:v>
      </x:c>
      <x:c r="F202" s="79" t="n">
        <x:v>0</x:v>
      </x:c>
      <x:c r="G202" s="74" t="n">
        <x:f>INDEX('Baseline'!$F$8:$F$39,MATCH(B202,'Baseline'!$A$8:$A$39,0))</x:f>
        <x:v>24.999999999999996</x:v>
      </x:c>
      <x:c r="H202" s="80" t="n">
        <x:f>F202*G202</x:f>
        <x:v>0</x:v>
      </x:c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</x:row>
    <x:row r="203" ht="23" customHeight="1">
      <x:c r="A203" s="60" t="str">
        <x:v>MQ-0196</x:v>
      </x:c>
      <x:c r="B203" s="60" t="str">
        <x:v>FW04</x:v>
      </x:c>
      <x:c r="C203" s="60" t="n">
        <x:v>4</x:v>
      </x:c>
      <x:c r="D203" s="60" t="str">
        <x:v>ZONE-5</x:v>
      </x:c>
      <x:c r="E203" s="60" t="str">
        <x:v>m2</x:v>
      </x:c>
      <x:c r="F203" s="82" t="n">
        <x:v>0</x:v>
      </x:c>
      <x:c r="G203" s="78" t="n">
        <x:f>INDEX('Baseline'!$F$8:$F$39,MATCH(B203,'Baseline'!$A$8:$A$39,0))</x:f>
        <x:v>24.999999999999996</x:v>
      </x:c>
      <x:c r="H203" s="83" t="n">
        <x:f>F203*G203</x:f>
        <x:v>0</x:v>
      </x:c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</x:row>
    <x:row r="204" ht="23" customHeight="1">
      <x:c r="A204" s="58" t="str">
        <x:v>MQ-0197</x:v>
      </x:c>
      <x:c r="B204" s="58" t="str">
        <x:v>FW04</x:v>
      </x:c>
      <x:c r="C204" s="58" t="n">
        <x:v>5</x:v>
      </x:c>
      <x:c r="D204" s="58" t="str">
        <x:v>ZONE-5</x:v>
      </x:c>
      <x:c r="E204" s="58" t="str">
        <x:v>m2</x:v>
      </x:c>
      <x:c r="F204" s="79" t="n">
        <x:v>929.7600000000014</x:v>
      </x:c>
      <x:c r="G204" s="74" t="n">
        <x:f>INDEX('Baseline'!$F$8:$F$39,MATCH(B204,'Baseline'!$A$8:$A$39,0))</x:f>
        <x:v>24.999999999999996</x:v>
      </x:c>
      <x:c r="H204" s="80" t="n">
        <x:f>F204*G204</x:f>
        <x:v>23244.00000000003</x:v>
      </x:c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</x:row>
    <x:row r="205" ht="23" customHeight="1">
      <x:c r="A205" s="60" t="str">
        <x:v>MQ-0198</x:v>
      </x:c>
      <x:c r="B205" s="60" t="str">
        <x:v>FW04</x:v>
      </x:c>
      <x:c r="C205" s="60" t="n">
        <x:v>6</x:v>
      </x:c>
      <x:c r="D205" s="60" t="str">
        <x:v>ZONE-5</x:v>
      </x:c>
      <x:c r="E205" s="60" t="str">
        <x:v>m2</x:v>
      </x:c>
      <x:c r="F205" s="82" t="n">
        <x:v>929.7600000000014</x:v>
      </x:c>
      <x:c r="G205" s="78" t="n">
        <x:f>INDEX('Baseline'!$F$8:$F$39,MATCH(B205,'Baseline'!$A$8:$A$39,0))</x:f>
        <x:v>24.999999999999996</x:v>
      </x:c>
      <x:c r="H205" s="83" t="n">
        <x:f>F205*G205</x:f>
        <x:v>23244.00000000003</x:v>
      </x:c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</x:row>
    <x:row r="206" ht="23" customHeight="1">
      <x:c r="A206" s="58" t="str">
        <x:v>MQ-0199</x:v>
      </x:c>
      <x:c r="B206" s="58" t="str">
        <x:v>FW04</x:v>
      </x:c>
      <x:c r="C206" s="58" t="n">
        <x:v>7</x:v>
      </x:c>
      <x:c r="D206" s="58" t="str">
        <x:v>ZONE-5</x:v>
      </x:c>
      <x:c r="E206" s="58" t="str">
        <x:v>m2</x:v>
      </x:c>
      <x:c r="F206" s="79" t="n">
        <x:v>929.7600000000016</x:v>
      </x:c>
      <x:c r="G206" s="74" t="n">
        <x:f>INDEX('Baseline'!$F$8:$F$39,MATCH(B206,'Baseline'!$A$8:$A$39,0))</x:f>
        <x:v>24.999999999999996</x:v>
      </x:c>
      <x:c r="H206" s="80" t="n">
        <x:f>F206*G206</x:f>
        <x:v>23244.000000000036</x:v>
      </x:c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</x:row>
    <x:row r="207" ht="23" customHeight="1">
      <x:c r="A207" s="60" t="str">
        <x:v>MQ-0200</x:v>
      </x:c>
      <x:c r="B207" s="60" t="str">
        <x:v>FW04</x:v>
      </x:c>
      <x:c r="C207" s="60" t="n">
        <x:v>8</x:v>
      </x:c>
      <x:c r="D207" s="60" t="str">
        <x:v>ZONE-5</x:v>
      </x:c>
      <x:c r="E207" s="60" t="str">
        <x:v>m2</x:v>
      </x:c>
      <x:c r="F207" s="82" t="n">
        <x:v>929.7600000000011</x:v>
      </x:c>
      <x:c r="G207" s="78" t="n">
        <x:f>INDEX('Baseline'!$F$8:$F$39,MATCH(B207,'Baseline'!$A$8:$A$39,0))</x:f>
        <x:v>24.999999999999996</x:v>
      </x:c>
      <x:c r="H207" s="83" t="n">
        <x:f>F207*G207</x:f>
        <x:v>23244.000000000025</x:v>
      </x:c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</x:row>
    <x:row r="208" ht="23" customHeight="1">
      <x:c r="A208" s="58" t="str">
        <x:v>MQ-0201</x:v>
      </x:c>
      <x:c r="B208" s="58" t="str">
        <x:v>FW04</x:v>
      </x:c>
      <x:c r="C208" s="58" t="n">
        <x:v>9</x:v>
      </x:c>
      <x:c r="D208" s="58" t="str">
        <x:v>ZONE-5</x:v>
      </x:c>
      <x:c r="E208" s="58" t="str">
        <x:v>m2</x:v>
      </x:c>
      <x:c r="F208" s="79" t="n">
        <x:v>929.760000000002</x:v>
      </x:c>
      <x:c r="G208" s="74" t="n">
        <x:f>INDEX('Baseline'!$F$8:$F$39,MATCH(B208,'Baseline'!$A$8:$A$39,0))</x:f>
        <x:v>24.999999999999996</x:v>
      </x:c>
      <x:c r="H208" s="80" t="n">
        <x:f>F208*G208</x:f>
        <x:v>23244.000000000047</x:v>
      </x:c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</x:row>
    <x:row r="209" ht="23" customHeight="1">
      <x:c r="A209" s="60" t="str">
        <x:v>MQ-0202</x:v>
      </x:c>
      <x:c r="B209" s="60" t="str">
        <x:v>FW04</x:v>
      </x:c>
      <x:c r="C209" s="60" t="n">
        <x:v>10</x:v>
      </x:c>
      <x:c r="D209" s="60" t="str">
        <x:v>ZONE-5</x:v>
      </x:c>
      <x:c r="E209" s="60" t="str">
        <x:v>m2</x:v>
      </x:c>
      <x:c r="F209" s="82" t="n">
        <x:v>929.7600000000011</x:v>
      </x:c>
      <x:c r="G209" s="78" t="n">
        <x:f>INDEX('Baseline'!$F$8:$F$39,MATCH(B209,'Baseline'!$A$8:$A$39,0))</x:f>
        <x:v>24.999999999999996</x:v>
      </x:c>
      <x:c r="H209" s="83" t="n">
        <x:f>F209*G209</x:f>
        <x:v>23244.000000000025</x:v>
      </x:c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</x:row>
    <x:row r="210" ht="23" customHeight="1">
      <x:c r="A210" s="58" t="str">
        <x:v>MQ-0203</x:v>
      </x:c>
      <x:c r="B210" s="58" t="str">
        <x:v>FW04</x:v>
      </x:c>
      <x:c r="C210" s="58" t="n">
        <x:v>11</x:v>
      </x:c>
      <x:c r="D210" s="58" t="str">
        <x:v>ZONE-5</x:v>
      </x:c>
      <x:c r="E210" s="58" t="str">
        <x:v>m2</x:v>
      </x:c>
      <x:c r="F210" s="79" t="n">
        <x:v>929.760000000002</x:v>
      </x:c>
      <x:c r="G210" s="74" t="n">
        <x:f>INDEX('Baseline'!$F$8:$F$39,MATCH(B210,'Baseline'!$A$8:$A$39,0))</x:f>
        <x:v>24.999999999999996</x:v>
      </x:c>
      <x:c r="H210" s="80" t="n">
        <x:f>F210*G210</x:f>
        <x:v>23244.000000000047</x:v>
      </x:c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</x:row>
    <x:row r="211" ht="23" customHeight="1">
      <x:c r="A211" s="60" t="str">
        <x:v>MQ-0204</x:v>
      </x:c>
      <x:c r="B211" s="60" t="str">
        <x:v>FW04</x:v>
      </x:c>
      <x:c r="C211" s="60" t="n">
        <x:v>12</x:v>
      </x:c>
      <x:c r="D211" s="60" t="str">
        <x:v>ZONE-5</x:v>
      </x:c>
      <x:c r="E211" s="60" t="str">
        <x:v>m2</x:v>
      </x:c>
      <x:c r="F211" s="82" t="n">
        <x:v>929.7600000000002</x:v>
      </x:c>
      <x:c r="G211" s="78" t="n">
        <x:f>INDEX('Baseline'!$F$8:$F$39,MATCH(B211,'Baseline'!$A$8:$A$39,0))</x:f>
        <x:v>24.999999999999996</x:v>
      </x:c>
      <x:c r="H211" s="83" t="n">
        <x:f>F211*G211</x:f>
        <x:v>23244.000000000004</x:v>
      </x:c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</x:row>
    <x:row r="212" ht="23" customHeight="1">
      <x:c r="A212" s="58" t="str">
        <x:v>MQ-0205</x:v>
      </x:c>
      <x:c r="B212" s="58" t="str">
        <x:v>FW05</x:v>
      </x:c>
      <x:c r="C212" s="58" t="n">
        <x:v>1</x:v>
      </x:c>
      <x:c r="D212" s="58" t="str">
        <x:v>ZONE-6</x:v>
      </x:c>
      <x:c r="E212" s="58" t="str">
        <x:v>m2</x:v>
      </x:c>
      <x:c r="F212" s="79" t="n">
        <x:v>0</x:v>
      </x:c>
      <x:c r="G212" s="74" t="n">
        <x:f>INDEX('Baseline'!$F$8:$F$39,MATCH(B212,'Baseline'!$A$8:$A$39,0))</x:f>
        <x:v>23</x:v>
      </x:c>
      <x:c r="H212" s="80" t="n">
        <x:f>F212*G212</x:f>
        <x:v>0</x:v>
      </x:c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</x:row>
    <x:row r="213" ht="23" customHeight="1">
      <x:c r="A213" s="60" t="str">
        <x:v>MQ-0206</x:v>
      </x:c>
      <x:c r="B213" s="60" t="str">
        <x:v>FW05</x:v>
      </x:c>
      <x:c r="C213" s="60" t="n">
        <x:v>2</x:v>
      </x:c>
      <x:c r="D213" s="60" t="str">
        <x:v>ZONE-6</x:v>
      </x:c>
      <x:c r="E213" s="60" t="str">
        <x:v>m2</x:v>
      </x:c>
      <x:c r="F213" s="82" t="n">
        <x:v>0</x:v>
      </x:c>
      <x:c r="G213" s="78" t="n">
        <x:f>INDEX('Baseline'!$F$8:$F$39,MATCH(B213,'Baseline'!$A$8:$A$39,0))</x:f>
        <x:v>23</x:v>
      </x:c>
      <x:c r="H213" s="83" t="n">
        <x:f>F213*G213</x:f>
        <x:v>0</x:v>
      </x:c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</x:row>
    <x:row r="214" ht="23" customHeight="1">
      <x:c r="A214" s="58" t="str">
        <x:v>MQ-0207</x:v>
      </x:c>
      <x:c r="B214" s="58" t="str">
        <x:v>FW05</x:v>
      </x:c>
      <x:c r="C214" s="58" t="n">
        <x:v>3</x:v>
      </x:c>
      <x:c r="D214" s="58" t="str">
        <x:v>ZONE-6</x:v>
      </x:c>
      <x:c r="E214" s="58" t="str">
        <x:v>m2</x:v>
      </x:c>
      <x:c r="F214" s="79" t="n">
        <x:v>837.9</x:v>
      </x:c>
      <x:c r="G214" s="74" t="n">
        <x:f>INDEX('Baseline'!$F$8:$F$39,MATCH(B214,'Baseline'!$A$8:$A$39,0))</x:f>
        <x:v>23</x:v>
      </x:c>
      <x:c r="H214" s="80" t="n">
        <x:f>F214*G214</x:f>
        <x:v>19271.7</x:v>
      </x:c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</x:row>
    <x:row r="215" ht="23" customHeight="1">
      <x:c r="A215" s="60" t="str">
        <x:v>MQ-0208</x:v>
      </x:c>
      <x:c r="B215" s="60" t="str">
        <x:v>FW05</x:v>
      </x:c>
      <x:c r="C215" s="60" t="n">
        <x:v>4</x:v>
      </x:c>
      <x:c r="D215" s="60" t="str">
        <x:v>ZONE-6</x:v>
      </x:c>
      <x:c r="E215" s="60" t="str">
        <x:v>m2</x:v>
      </x:c>
      <x:c r="F215" s="82" t="n">
        <x:v>837.9</x:v>
      </x:c>
      <x:c r="G215" s="78" t="n">
        <x:f>INDEX('Baseline'!$F$8:$F$39,MATCH(B215,'Baseline'!$A$8:$A$39,0))</x:f>
        <x:v>23</x:v>
      </x:c>
      <x:c r="H215" s="83" t="n">
        <x:f>F215*G215</x:f>
        <x:v>19271.7</x:v>
      </x:c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</x:row>
    <x:row r="216" ht="23" customHeight="1">
      <x:c r="A216" s="58" t="str">
        <x:v>MQ-0209</x:v>
      </x:c>
      <x:c r="B216" s="58" t="str">
        <x:v>FW05</x:v>
      </x:c>
      <x:c r="C216" s="58" t="n">
        <x:v>5</x:v>
      </x:c>
      <x:c r="D216" s="58" t="str">
        <x:v>ZONE-6</x:v>
      </x:c>
      <x:c r="E216" s="58" t="str">
        <x:v>m2</x:v>
      </x:c>
      <x:c r="F216" s="79" t="n">
        <x:v>837.8999999999999</x:v>
      </x:c>
      <x:c r="G216" s="74" t="n">
        <x:f>INDEX('Baseline'!$F$8:$F$39,MATCH(B216,'Baseline'!$A$8:$A$39,0))</x:f>
        <x:v>23</x:v>
      </x:c>
      <x:c r="H216" s="80" t="n">
        <x:f>F216*G216</x:f>
        <x:v>19271.699999999997</x:v>
      </x:c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</x:row>
    <x:row r="217" ht="23" customHeight="1">
      <x:c r="A217" s="60" t="str">
        <x:v>MQ-0210</x:v>
      </x:c>
      <x:c r="B217" s="60" t="str">
        <x:v>FW05</x:v>
      </x:c>
      <x:c r="C217" s="60" t="n">
        <x:v>6</x:v>
      </x:c>
      <x:c r="D217" s="60" t="str">
        <x:v>ZONE-6</x:v>
      </x:c>
      <x:c r="E217" s="60" t="str">
        <x:v>m2</x:v>
      </x:c>
      <x:c r="F217" s="82" t="n">
        <x:v>837.9000000000001</x:v>
      </x:c>
      <x:c r="G217" s="78" t="n">
        <x:f>INDEX('Baseline'!$F$8:$F$39,MATCH(B217,'Baseline'!$A$8:$A$39,0))</x:f>
        <x:v>23</x:v>
      </x:c>
      <x:c r="H217" s="83" t="n">
        <x:f>F217*G217</x:f>
        <x:v>19271.7</x:v>
      </x:c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</x:row>
    <x:row r="218" ht="23" customHeight="1">
      <x:c r="A218" s="58" t="str">
        <x:v>MQ-0211</x:v>
      </x:c>
      <x:c r="B218" s="58" t="str">
        <x:v>FW05</x:v>
      </x:c>
      <x:c r="C218" s="58" t="n">
        <x:v>7</x:v>
      </x:c>
      <x:c r="D218" s="58" t="str">
        <x:v>ZONE-6</x:v>
      </x:c>
      <x:c r="E218" s="58" t="str">
        <x:v>m2</x:v>
      </x:c>
      <x:c r="F218" s="79" t="n">
        <x:v>0</x:v>
      </x:c>
      <x:c r="G218" s="74" t="n">
        <x:f>INDEX('Baseline'!$F$8:$F$39,MATCH(B218,'Baseline'!$A$8:$A$39,0))</x:f>
        <x:v>23</x:v>
      </x:c>
      <x:c r="H218" s="80" t="n">
        <x:f>F218*G218</x:f>
        <x:v>0</x:v>
      </x:c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</x:row>
    <x:row r="219" ht="23" customHeight="1">
      <x:c r="A219" s="60" t="str">
        <x:v>MQ-0212</x:v>
      </x:c>
      <x:c r="B219" s="60" t="str">
        <x:v>FW05</x:v>
      </x:c>
      <x:c r="C219" s="60" t="n">
        <x:v>8</x:v>
      </x:c>
      <x:c r="D219" s="60" t="str">
        <x:v>ZONE-6</x:v>
      </x:c>
      <x:c r="E219" s="60" t="str">
        <x:v>m2</x:v>
      </x:c>
      <x:c r="F219" s="82" t="n">
        <x:v>0</x:v>
      </x:c>
      <x:c r="G219" s="78" t="n">
        <x:f>INDEX('Baseline'!$F$8:$F$39,MATCH(B219,'Baseline'!$A$8:$A$39,0))</x:f>
        <x:v>23</x:v>
      </x:c>
      <x:c r="H219" s="83" t="n">
        <x:f>F219*G219</x:f>
        <x:v>0</x:v>
      </x:c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</x:row>
    <x:row r="220" ht="23" customHeight="1">
      <x:c r="A220" s="58" t="str">
        <x:v>MQ-0213</x:v>
      </x:c>
      <x:c r="B220" s="58" t="str">
        <x:v>FW05</x:v>
      </x:c>
      <x:c r="C220" s="58" t="n">
        <x:v>9</x:v>
      </x:c>
      <x:c r="D220" s="58" t="str">
        <x:v>ZONE-6</x:v>
      </x:c>
      <x:c r="E220" s="58" t="str">
        <x:v>m2</x:v>
      </x:c>
      <x:c r="F220" s="79" t="n">
        <x:v>0</x:v>
      </x:c>
      <x:c r="G220" s="74" t="n">
        <x:f>INDEX('Baseline'!$F$8:$F$39,MATCH(B220,'Baseline'!$A$8:$A$39,0))</x:f>
        <x:v>23</x:v>
      </x:c>
      <x:c r="H220" s="80" t="n">
        <x:f>F220*G220</x:f>
        <x:v>0</x:v>
      </x:c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</x:row>
    <x:row r="221" ht="23" customHeight="1">
      <x:c r="A221" s="60" t="str">
        <x:v>MQ-0214</x:v>
      </x:c>
      <x:c r="B221" s="60" t="str">
        <x:v>FW05</x:v>
      </x:c>
      <x:c r="C221" s="60" t="n">
        <x:v>10</x:v>
      </x:c>
      <x:c r="D221" s="60" t="str">
        <x:v>ZONE-6</x:v>
      </x:c>
      <x:c r="E221" s="60" t="str">
        <x:v>m2</x:v>
      </x:c>
      <x:c r="F221" s="82" t="n">
        <x:v>0</x:v>
      </x:c>
      <x:c r="G221" s="78" t="n">
        <x:f>INDEX('Baseline'!$F$8:$F$39,MATCH(B221,'Baseline'!$A$8:$A$39,0))</x:f>
        <x:v>23</x:v>
      </x:c>
      <x:c r="H221" s="83" t="n">
        <x:f>F221*G221</x:f>
        <x:v>0</x:v>
      </x:c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</x:row>
    <x:row r="222" ht="23" customHeight="1">
      <x:c r="A222" s="58" t="str">
        <x:v>MQ-0215</x:v>
      </x:c>
      <x:c r="B222" s="58" t="str">
        <x:v>FW05</x:v>
      </x:c>
      <x:c r="C222" s="58" t="n">
        <x:v>11</x:v>
      </x:c>
      <x:c r="D222" s="58" t="str">
        <x:v>ZONE-6</x:v>
      </x:c>
      <x:c r="E222" s="58" t="str">
        <x:v>m2</x:v>
      </x:c>
      <x:c r="F222" s="79" t="n">
        <x:v>0</x:v>
      </x:c>
      <x:c r="G222" s="74" t="n">
        <x:f>INDEX('Baseline'!$F$8:$F$39,MATCH(B222,'Baseline'!$A$8:$A$39,0))</x:f>
        <x:v>23</x:v>
      </x:c>
      <x:c r="H222" s="80" t="n">
        <x:f>F222*G222</x:f>
        <x:v>0</x:v>
      </x:c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</x:row>
    <x:row r="223" ht="23" customHeight="1">
      <x:c r="A223" s="60" t="str">
        <x:v>MQ-0216</x:v>
      </x:c>
      <x:c r="B223" s="60" t="str">
        <x:v>FW05</x:v>
      </x:c>
      <x:c r="C223" s="60" t="n">
        <x:v>12</x:v>
      </x:c>
      <x:c r="D223" s="60" t="str">
        <x:v>ZONE-6</x:v>
      </x:c>
      <x:c r="E223" s="60" t="str">
        <x:v>m2</x:v>
      </x:c>
      <x:c r="F223" s="82" t="n">
        <x:v>0</x:v>
      </x:c>
      <x:c r="G223" s="78" t="n">
        <x:f>INDEX('Baseline'!$F$8:$F$39,MATCH(B223,'Baseline'!$A$8:$A$39,0))</x:f>
        <x:v>23</x:v>
      </x:c>
      <x:c r="H223" s="83" t="n">
        <x:f>F223*G223</x:f>
        <x:v>0</x:v>
      </x:c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</x:row>
    <x:row r="224" ht="23" customHeight="1">
      <x:c r="A224" s="58" t="str">
        <x:v>MQ-0217</x:v>
      </x:c>
      <x:c r="B224" s="58" t="str">
        <x:v>FW06</x:v>
      </x:c>
      <x:c r="C224" s="58" t="n">
        <x:v>1</x:v>
      </x:c>
      <x:c r="D224" s="58" t="str">
        <x:v>ZONE-1</x:v>
      </x:c>
      <x:c r="E224" s="58" t="str">
        <x:v>m2</x:v>
      </x:c>
      <x:c r="F224" s="79" t="n">
        <x:v>0</x:v>
      </x:c>
      <x:c r="G224" s="74" t="n">
        <x:f>INDEX('Baseline'!$F$8:$F$39,MATCH(B224,'Baseline'!$A$8:$A$39,0))</x:f>
        <x:v>22</x:v>
      </x:c>
      <x:c r="H224" s="80" t="n">
        <x:f>F224*G224</x:f>
        <x:v>0</x:v>
      </x:c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</x:row>
    <x:row r="225" ht="23" customHeight="1">
      <x:c r="A225" s="60" t="str">
        <x:v>MQ-0218</x:v>
      </x:c>
      <x:c r="B225" s="60" t="str">
        <x:v>FW06</x:v>
      </x:c>
      <x:c r="C225" s="60" t="n">
        <x:v>2</x:v>
      </x:c>
      <x:c r="D225" s="60" t="str">
        <x:v>ZONE-1</x:v>
      </x:c>
      <x:c r="E225" s="60" t="str">
        <x:v>m2</x:v>
      </x:c>
      <x:c r="F225" s="82" t="n">
        <x:v>0</x:v>
      </x:c>
      <x:c r="G225" s="78" t="n">
        <x:f>INDEX('Baseline'!$F$8:$F$39,MATCH(B225,'Baseline'!$A$8:$A$39,0))</x:f>
        <x:v>22</x:v>
      </x:c>
      <x:c r="H225" s="83" t="n">
        <x:f>F225*G225</x:f>
        <x:v>0</x:v>
      </x:c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</x:row>
    <x:row r="226" ht="23" customHeight="1">
      <x:c r="A226" s="58" t="str">
        <x:v>MQ-0219</x:v>
      </x:c>
      <x:c r="B226" s="58" t="str">
        <x:v>FW06</x:v>
      </x:c>
      <x:c r="C226" s="58" t="n">
        <x:v>3</x:v>
      </x:c>
      <x:c r="D226" s="58" t="str">
        <x:v>ZONE-1</x:v>
      </x:c>
      <x:c r="E226" s="58" t="str">
        <x:v>m2</x:v>
      </x:c>
      <x:c r="F226" s="79" t="n">
        <x:v>0</x:v>
      </x:c>
      <x:c r="G226" s="74" t="n">
        <x:f>INDEX('Baseline'!$F$8:$F$39,MATCH(B226,'Baseline'!$A$8:$A$39,0))</x:f>
        <x:v>22</x:v>
      </x:c>
      <x:c r="H226" s="80" t="n">
        <x:f>F226*G226</x:f>
        <x:v>0</x:v>
      </x:c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</x:row>
    <x:row r="227" ht="23" customHeight="1">
      <x:c r="A227" s="60" t="str">
        <x:v>MQ-0220</x:v>
      </x:c>
      <x:c r="B227" s="60" t="str">
        <x:v>FW06</x:v>
      </x:c>
      <x:c r="C227" s="60" t="n">
        <x:v>4</x:v>
      </x:c>
      <x:c r="D227" s="60" t="str">
        <x:v>ZONE-1</x:v>
      </x:c>
      <x:c r="E227" s="60" t="str">
        <x:v>m2</x:v>
      </x:c>
      <x:c r="F227" s="82" t="n">
        <x:v>0</x:v>
      </x:c>
      <x:c r="G227" s="78" t="n">
        <x:f>INDEX('Baseline'!$F$8:$F$39,MATCH(B227,'Baseline'!$A$8:$A$39,0))</x:f>
        <x:v>22</x:v>
      </x:c>
      <x:c r="H227" s="83" t="n">
        <x:f>F227*G227</x:f>
        <x:v>0</x:v>
      </x:c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</x:row>
    <x:row r="228" ht="23" customHeight="1">
      <x:c r="A228" s="58" t="str">
        <x:v>MQ-0221</x:v>
      </x:c>
      <x:c r="B228" s="58" t="str">
        <x:v>FW06</x:v>
      </x:c>
      <x:c r="C228" s="58" t="n">
        <x:v>5</x:v>
      </x:c>
      <x:c r="D228" s="58" t="str">
        <x:v>ZONE-1</x:v>
      </x:c>
      <x:c r="E228" s="58" t="str">
        <x:v>m2</x:v>
      </x:c>
      <x:c r="F228" s="79" t="n">
        <x:v>2520</x:v>
      </x:c>
      <x:c r="G228" s="74" t="n">
        <x:f>INDEX('Baseline'!$F$8:$F$39,MATCH(B228,'Baseline'!$A$8:$A$39,0))</x:f>
        <x:v>22</x:v>
      </x:c>
      <x:c r="H228" s="80" t="n">
        <x:f>F228*G228</x:f>
        <x:v>55440</x:v>
      </x:c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</x:row>
    <x:row r="229" ht="23" customHeight="1">
      <x:c r="A229" s="60" t="str">
        <x:v>MQ-0222</x:v>
      </x:c>
      <x:c r="B229" s="60" t="str">
        <x:v>FW06</x:v>
      </x:c>
      <x:c r="C229" s="60" t="n">
        <x:v>6</x:v>
      </x:c>
      <x:c r="D229" s="60" t="str">
        <x:v>ZONE-1</x:v>
      </x:c>
      <x:c r="E229" s="60" t="str">
        <x:v>m2</x:v>
      </x:c>
      <x:c r="F229" s="82" t="n">
        <x:v>2520</x:v>
      </x:c>
      <x:c r="G229" s="78" t="n">
        <x:f>INDEX('Baseline'!$F$8:$F$39,MATCH(B229,'Baseline'!$A$8:$A$39,0))</x:f>
        <x:v>22</x:v>
      </x:c>
      <x:c r="H229" s="83" t="n">
        <x:f>F229*G229</x:f>
        <x:v>55440</x:v>
      </x:c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</x:row>
    <x:row r="230" ht="23" customHeight="1">
      <x:c r="A230" s="58" t="str">
        <x:v>MQ-0223</x:v>
      </x:c>
      <x:c r="B230" s="58" t="str">
        <x:v>FW06</x:v>
      </x:c>
      <x:c r="C230" s="58" t="n">
        <x:v>7</x:v>
      </x:c>
      <x:c r="D230" s="58" t="str">
        <x:v>ZONE-1</x:v>
      </x:c>
      <x:c r="E230" s="58" t="str">
        <x:v>m2</x:v>
      </x:c>
      <x:c r="F230" s="79" t="n">
        <x:v>2520</x:v>
      </x:c>
      <x:c r="G230" s="74" t="n">
        <x:f>INDEX('Baseline'!$F$8:$F$39,MATCH(B230,'Baseline'!$A$8:$A$39,0))</x:f>
        <x:v>22</x:v>
      </x:c>
      <x:c r="H230" s="80" t="n">
        <x:f>F230*G230</x:f>
        <x:v>55440</x:v>
      </x:c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</x:row>
    <x:row r="231" ht="23" customHeight="1">
      <x:c r="A231" s="60" t="str">
        <x:v>MQ-0224</x:v>
      </x:c>
      <x:c r="B231" s="60" t="str">
        <x:v>FW06</x:v>
      </x:c>
      <x:c r="C231" s="60" t="n">
        <x:v>8</x:v>
      </x:c>
      <x:c r="D231" s="60" t="str">
        <x:v>ZONE-1</x:v>
      </x:c>
      <x:c r="E231" s="60" t="str">
        <x:v>m2</x:v>
      </x:c>
      <x:c r="F231" s="82" t="n">
        <x:v>2520</x:v>
      </x:c>
      <x:c r="G231" s="78" t="n">
        <x:f>INDEX('Baseline'!$F$8:$F$39,MATCH(B231,'Baseline'!$A$8:$A$39,0))</x:f>
        <x:v>22</x:v>
      </x:c>
      <x:c r="H231" s="83" t="n">
        <x:f>F231*G231</x:f>
        <x:v>55440</x:v>
      </x:c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</x:row>
    <x:row r="232" ht="23" customHeight="1">
      <x:c r="A232" s="58" t="str">
        <x:v>MQ-0225</x:v>
      </x:c>
      <x:c r="B232" s="58" t="str">
        <x:v>FW06</x:v>
      </x:c>
      <x:c r="C232" s="58" t="n">
        <x:v>9</x:v>
      </x:c>
      <x:c r="D232" s="58" t="str">
        <x:v>ZONE-1</x:v>
      </x:c>
      <x:c r="E232" s="58" t="str">
        <x:v>m2</x:v>
      </x:c>
      <x:c r="F232" s="79" t="n">
        <x:v>0</x:v>
      </x:c>
      <x:c r="G232" s="74" t="n">
        <x:f>INDEX('Baseline'!$F$8:$F$39,MATCH(B232,'Baseline'!$A$8:$A$39,0))</x:f>
        <x:v>22</x:v>
      </x:c>
      <x:c r="H232" s="80" t="n">
        <x:f>F232*G232</x:f>
        <x:v>0</x:v>
      </x:c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</x:row>
    <x:row r="233" ht="23" customHeight="1">
      <x:c r="A233" s="60" t="str">
        <x:v>MQ-0226</x:v>
      </x:c>
      <x:c r="B233" s="60" t="str">
        <x:v>FW06</x:v>
      </x:c>
      <x:c r="C233" s="60" t="n">
        <x:v>10</x:v>
      </x:c>
      <x:c r="D233" s="60" t="str">
        <x:v>ZONE-1</x:v>
      </x:c>
      <x:c r="E233" s="60" t="str">
        <x:v>m2</x:v>
      </x:c>
      <x:c r="F233" s="82" t="n">
        <x:v>0</x:v>
      </x:c>
      <x:c r="G233" s="78" t="n">
        <x:f>INDEX('Baseline'!$F$8:$F$39,MATCH(B233,'Baseline'!$A$8:$A$39,0))</x:f>
        <x:v>22</x:v>
      </x:c>
      <x:c r="H233" s="83" t="n">
        <x:f>F233*G233</x:f>
        <x:v>0</x:v>
      </x:c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</x:row>
    <x:row r="234" ht="23" customHeight="1">
      <x:c r="A234" s="58" t="str">
        <x:v>MQ-0227</x:v>
      </x:c>
      <x:c r="B234" s="58" t="str">
        <x:v>FW06</x:v>
      </x:c>
      <x:c r="C234" s="58" t="n">
        <x:v>11</x:v>
      </x:c>
      <x:c r="D234" s="58" t="str">
        <x:v>ZONE-1</x:v>
      </x:c>
      <x:c r="E234" s="58" t="str">
        <x:v>m2</x:v>
      </x:c>
      <x:c r="F234" s="79" t="n">
        <x:v>0</x:v>
      </x:c>
      <x:c r="G234" s="74" t="n">
        <x:f>INDEX('Baseline'!$F$8:$F$39,MATCH(B234,'Baseline'!$A$8:$A$39,0))</x:f>
        <x:v>22</x:v>
      </x:c>
      <x:c r="H234" s="80" t="n">
        <x:f>F234*G234</x:f>
        <x:v>0</x:v>
      </x:c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</x:row>
    <x:row r="235" ht="23" customHeight="1">
      <x:c r="A235" s="60" t="str">
        <x:v>MQ-0228</x:v>
      </x:c>
      <x:c r="B235" s="60" t="str">
        <x:v>FW06</x:v>
      </x:c>
      <x:c r="C235" s="60" t="n">
        <x:v>12</x:v>
      </x:c>
      <x:c r="D235" s="60" t="str">
        <x:v>ZONE-1</x:v>
      </x:c>
      <x:c r="E235" s="60" t="str">
        <x:v>m2</x:v>
      </x:c>
      <x:c r="F235" s="82" t="n">
        <x:v>0</x:v>
      </x:c>
      <x:c r="G235" s="78" t="n">
        <x:f>INDEX('Baseline'!$F$8:$F$39,MATCH(B235,'Baseline'!$A$8:$A$39,0))</x:f>
        <x:v>22</x:v>
      </x:c>
      <x:c r="H235" s="83" t="n">
        <x:f>F235*G235</x:f>
        <x:v>0</x:v>
      </x:c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</x:row>
    <x:row r="236" ht="23" customHeight="1">
      <x:c r="A236" s="58" t="str">
        <x:v>MQ-0229</x:v>
      </x:c>
      <x:c r="B236" s="58" t="str">
        <x:v>EN01</x:v>
      </x:c>
      <x:c r="C236" s="58" t="n">
        <x:v>1</x:v>
      </x:c>
      <x:c r="D236" s="58" t="str">
        <x:v>ZONE-2</x:v>
      </x:c>
      <x:c r="E236" s="58" t="str">
        <x:v>m2</x:v>
      </x:c>
      <x:c r="F236" s="79" t="n">
        <x:v>0</x:v>
      </x:c>
      <x:c r="G236" s="74" t="n">
        <x:f>INDEX('Baseline'!$F$8:$F$39,MATCH(B236,'Baseline'!$A$8:$A$39,0))</x:f>
        <x:v>18</x:v>
      </x:c>
      <x:c r="H236" s="80" t="n">
        <x:f>F236*G236</x:f>
        <x:v>0</x:v>
      </x:c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</x:row>
    <x:row r="237" ht="23" customHeight="1">
      <x:c r="A237" s="60" t="str">
        <x:v>MQ-0230</x:v>
      </x:c>
      <x:c r="B237" s="60" t="str">
        <x:v>EN01</x:v>
      </x:c>
      <x:c r="C237" s="60" t="n">
        <x:v>2</x:v>
      </x:c>
      <x:c r="D237" s="60" t="str">
        <x:v>ZONE-2</x:v>
      </x:c>
      <x:c r="E237" s="60" t="str">
        <x:v>m2</x:v>
      </x:c>
      <x:c r="F237" s="82" t="n">
        <x:v>3216</x:v>
      </x:c>
      <x:c r="G237" s="78" t="n">
        <x:f>INDEX('Baseline'!$F$8:$F$39,MATCH(B237,'Baseline'!$A$8:$A$39,0))</x:f>
        <x:v>18</x:v>
      </x:c>
      <x:c r="H237" s="83" t="n">
        <x:f>F237*G237</x:f>
        <x:v>57888</x:v>
      </x:c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</x:row>
    <x:row r="238" ht="23" customHeight="1">
      <x:c r="A238" s="58" t="str">
        <x:v>MQ-0231</x:v>
      </x:c>
      <x:c r="B238" s="58" t="str">
        <x:v>EN01</x:v>
      </x:c>
      <x:c r="C238" s="58" t="n">
        <x:v>3</x:v>
      </x:c>
      <x:c r="D238" s="58" t="str">
        <x:v>ZONE-2</x:v>
      </x:c>
      <x:c r="E238" s="58" t="str">
        <x:v>m2</x:v>
      </x:c>
      <x:c r="F238" s="79" t="n">
        <x:v>3216</x:v>
      </x:c>
      <x:c r="G238" s="74" t="n">
        <x:f>INDEX('Baseline'!$F$8:$F$39,MATCH(B238,'Baseline'!$A$8:$A$39,0))</x:f>
        <x:v>18</x:v>
      </x:c>
      <x:c r="H238" s="80" t="n">
        <x:f>F238*G238</x:f>
        <x:v>57888</x:v>
      </x:c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</x:row>
    <x:row r="239" ht="23" customHeight="1">
      <x:c r="A239" s="60" t="str">
        <x:v>MQ-0232</x:v>
      </x:c>
      <x:c r="B239" s="60" t="str">
        <x:v>EN01</x:v>
      </x:c>
      <x:c r="C239" s="60" t="n">
        <x:v>4</x:v>
      </x:c>
      <x:c r="D239" s="60" t="str">
        <x:v>ZONE-2</x:v>
      </x:c>
      <x:c r="E239" s="60" t="str">
        <x:v>m2</x:v>
      </x:c>
      <x:c r="F239" s="82" t="n">
        <x:v>3216</x:v>
      </x:c>
      <x:c r="G239" s="78" t="n">
        <x:f>INDEX('Baseline'!$F$8:$F$39,MATCH(B239,'Baseline'!$A$8:$A$39,0))</x:f>
        <x:v>18</x:v>
      </x:c>
      <x:c r="H239" s="83" t="n">
        <x:f>F239*G239</x:f>
        <x:v>57888</x:v>
      </x:c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</x:row>
    <x:row r="240" ht="23" customHeight="1">
      <x:c r="A240" s="58" t="str">
        <x:v>MQ-0233</x:v>
      </x:c>
      <x:c r="B240" s="58" t="str">
        <x:v>EN01</x:v>
      </x:c>
      <x:c r="C240" s="58" t="n">
        <x:v>5</x:v>
      </x:c>
      <x:c r="D240" s="58" t="str">
        <x:v>ZONE-2</x:v>
      </x:c>
      <x:c r="E240" s="58" t="str">
        <x:v>m2</x:v>
      </x:c>
      <x:c r="F240" s="79" t="n">
        <x:v>3216</x:v>
      </x:c>
      <x:c r="G240" s="74" t="n">
        <x:f>INDEX('Baseline'!$F$8:$F$39,MATCH(B240,'Baseline'!$A$8:$A$39,0))</x:f>
        <x:v>18</x:v>
      </x:c>
      <x:c r="H240" s="80" t="n">
        <x:f>F240*G240</x:f>
        <x:v>57888</x:v>
      </x:c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</x:row>
    <x:row r="241" ht="23" customHeight="1">
      <x:c r="A241" s="60" t="str">
        <x:v>MQ-0234</x:v>
      </x:c>
      <x:c r="B241" s="60" t="str">
        <x:v>EN01</x:v>
      </x:c>
      <x:c r="C241" s="60" t="n">
        <x:v>6</x:v>
      </x:c>
      <x:c r="D241" s="60" t="str">
        <x:v>ZONE-2</x:v>
      </x:c>
      <x:c r="E241" s="60" t="str">
        <x:v>m2</x:v>
      </x:c>
      <x:c r="F241" s="82" t="n">
        <x:v>3216</x:v>
      </x:c>
      <x:c r="G241" s="78" t="n">
        <x:f>INDEX('Baseline'!$F$8:$F$39,MATCH(B241,'Baseline'!$A$8:$A$39,0))</x:f>
        <x:v>18</x:v>
      </x:c>
      <x:c r="H241" s="83" t="n">
        <x:f>F241*G241</x:f>
        <x:v>57888</x:v>
      </x:c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</x:row>
    <x:row r="242" ht="23" customHeight="1">
      <x:c r="A242" s="58" t="str">
        <x:v>MQ-0235</x:v>
      </x:c>
      <x:c r="B242" s="58" t="str">
        <x:v>EN01</x:v>
      </x:c>
      <x:c r="C242" s="58" t="n">
        <x:v>7</x:v>
      </x:c>
      <x:c r="D242" s="58" t="str">
        <x:v>ZONE-2</x:v>
      </x:c>
      <x:c r="E242" s="58" t="str">
        <x:v>m2</x:v>
      </x:c>
      <x:c r="F242" s="79" t="n">
        <x:v>0</x:v>
      </x:c>
      <x:c r="G242" s="74" t="n">
        <x:f>INDEX('Baseline'!$F$8:$F$39,MATCH(B242,'Baseline'!$A$8:$A$39,0))</x:f>
        <x:v>18</x:v>
      </x:c>
      <x:c r="H242" s="80" t="n">
        <x:f>F242*G242</x:f>
        <x:v>0</x:v>
      </x:c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</x:row>
    <x:row r="243" ht="23" customHeight="1">
      <x:c r="A243" s="60" t="str">
        <x:v>MQ-0236</x:v>
      </x:c>
      <x:c r="B243" s="60" t="str">
        <x:v>EN01</x:v>
      </x:c>
      <x:c r="C243" s="60" t="n">
        <x:v>8</x:v>
      </x:c>
      <x:c r="D243" s="60" t="str">
        <x:v>ZONE-2</x:v>
      </x:c>
      <x:c r="E243" s="60" t="str">
        <x:v>m2</x:v>
      </x:c>
      <x:c r="F243" s="82" t="n">
        <x:v>0</x:v>
      </x:c>
      <x:c r="G243" s="78" t="n">
        <x:f>INDEX('Baseline'!$F$8:$F$39,MATCH(B243,'Baseline'!$A$8:$A$39,0))</x:f>
        <x:v>18</x:v>
      </x:c>
      <x:c r="H243" s="83" t="n">
        <x:f>F243*G243</x:f>
        <x:v>0</x:v>
      </x:c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</x:row>
    <x:row r="244" ht="23" customHeight="1">
      <x:c r="A244" s="58" t="str">
        <x:v>MQ-0237</x:v>
      </x:c>
      <x:c r="B244" s="58" t="str">
        <x:v>EN01</x:v>
      </x:c>
      <x:c r="C244" s="58" t="n">
        <x:v>9</x:v>
      </x:c>
      <x:c r="D244" s="58" t="str">
        <x:v>ZONE-2</x:v>
      </x:c>
      <x:c r="E244" s="58" t="str">
        <x:v>m2</x:v>
      </x:c>
      <x:c r="F244" s="79" t="n">
        <x:v>0</x:v>
      </x:c>
      <x:c r="G244" s="74" t="n">
        <x:f>INDEX('Baseline'!$F$8:$F$39,MATCH(B244,'Baseline'!$A$8:$A$39,0))</x:f>
        <x:v>18</x:v>
      </x:c>
      <x:c r="H244" s="80" t="n">
        <x:f>F244*G244</x:f>
        <x:v>0</x:v>
      </x:c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</x:row>
    <x:row r="245" ht="23" customHeight="1">
      <x:c r="A245" s="60" t="str">
        <x:v>MQ-0238</x:v>
      </x:c>
      <x:c r="B245" s="60" t="str">
        <x:v>EN01</x:v>
      </x:c>
      <x:c r="C245" s="60" t="n">
        <x:v>10</x:v>
      </x:c>
      <x:c r="D245" s="60" t="str">
        <x:v>ZONE-2</x:v>
      </x:c>
      <x:c r="E245" s="60" t="str">
        <x:v>m2</x:v>
      </x:c>
      <x:c r="F245" s="82" t="n">
        <x:v>0</x:v>
      </x:c>
      <x:c r="G245" s="78" t="n">
        <x:f>INDEX('Baseline'!$F$8:$F$39,MATCH(B245,'Baseline'!$A$8:$A$39,0))</x:f>
        <x:v>18</x:v>
      </x:c>
      <x:c r="H245" s="83" t="n">
        <x:f>F245*G245</x:f>
        <x:v>0</x:v>
      </x:c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</x:row>
    <x:row r="246" ht="23" customHeight="1">
      <x:c r="A246" s="58" t="str">
        <x:v>MQ-0239</x:v>
      </x:c>
      <x:c r="B246" s="58" t="str">
        <x:v>EN01</x:v>
      </x:c>
      <x:c r="C246" s="58" t="n">
        <x:v>11</x:v>
      </x:c>
      <x:c r="D246" s="58" t="str">
        <x:v>ZONE-2</x:v>
      </x:c>
      <x:c r="E246" s="58" t="str">
        <x:v>m2</x:v>
      </x:c>
      <x:c r="F246" s="79" t="n">
        <x:v>0</x:v>
      </x:c>
      <x:c r="G246" s="74" t="n">
        <x:f>INDEX('Baseline'!$F$8:$F$39,MATCH(B246,'Baseline'!$A$8:$A$39,0))</x:f>
        <x:v>18</x:v>
      </x:c>
      <x:c r="H246" s="80" t="n">
        <x:f>F246*G246</x:f>
        <x:v>0</x:v>
      </x:c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</x:row>
    <x:row r="247" ht="23" customHeight="1">
      <x:c r="A247" s="60" t="str">
        <x:v>MQ-0240</x:v>
      </x:c>
      <x:c r="B247" s="60" t="str">
        <x:v>EN01</x:v>
      </x:c>
      <x:c r="C247" s="60" t="n">
        <x:v>12</x:v>
      </x:c>
      <x:c r="D247" s="60" t="str">
        <x:v>ZONE-2</x:v>
      </x:c>
      <x:c r="E247" s="60" t="str">
        <x:v>m2</x:v>
      </x:c>
      <x:c r="F247" s="82" t="n">
        <x:v>0</x:v>
      </x:c>
      <x:c r="G247" s="78" t="n">
        <x:f>INDEX('Baseline'!$F$8:$F$39,MATCH(B247,'Baseline'!$A$8:$A$39,0))</x:f>
        <x:v>18</x:v>
      </x:c>
      <x:c r="H247" s="83" t="n">
        <x:f>F247*G247</x:f>
        <x:v>0</x:v>
      </x:c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</x:row>
    <x:row r="248" ht="23" customHeight="1">
      <x:c r="A248" s="58" t="str">
        <x:v>MQ-0241</x:v>
      </x:c>
      <x:c r="B248" s="58" t="str">
        <x:v>EN02</x:v>
      </x:c>
      <x:c r="C248" s="58" t="n">
        <x:v>1</x:v>
      </x:c>
      <x:c r="D248" s="58" t="str">
        <x:v>ZONE-3</x:v>
      </x:c>
      <x:c r="E248" s="58" t="str">
        <x:v>m2</x:v>
      </x:c>
      <x:c r="F248" s="79" t="n">
        <x:v>0</x:v>
      </x:c>
      <x:c r="G248" s="74" t="n">
        <x:f>INDEX('Baseline'!$F$8:$F$39,MATCH(B248,'Baseline'!$A$8:$A$39,0))</x:f>
        <x:v>20</x:v>
      </x:c>
      <x:c r="H248" s="80" t="n">
        <x:f>F248*G248</x:f>
        <x:v>0</x:v>
      </x:c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</x:row>
    <x:row r="249" ht="23" customHeight="1">
      <x:c r="A249" s="60" t="str">
        <x:v>MQ-0242</x:v>
      </x:c>
      <x:c r="B249" s="60" t="str">
        <x:v>EN02</x:v>
      </x:c>
      <x:c r="C249" s="60" t="n">
        <x:v>2</x:v>
      </x:c>
      <x:c r="D249" s="60" t="str">
        <x:v>ZONE-3</x:v>
      </x:c>
      <x:c r="E249" s="60" t="str">
        <x:v>m2</x:v>
      </x:c>
      <x:c r="F249" s="82" t="n">
        <x:v>0</x:v>
      </x:c>
      <x:c r="G249" s="78" t="n">
        <x:f>INDEX('Baseline'!$F$8:$F$39,MATCH(B249,'Baseline'!$A$8:$A$39,0))</x:f>
        <x:v>20</x:v>
      </x:c>
      <x:c r="H249" s="83" t="n">
        <x:f>F249*G249</x:f>
        <x:v>0</x:v>
      </x:c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</x:row>
    <x:row r="250" ht="23" customHeight="1">
      <x:c r="A250" s="58" t="str">
        <x:v>MQ-0243</x:v>
      </x:c>
      <x:c r="B250" s="58" t="str">
        <x:v>EN02</x:v>
      </x:c>
      <x:c r="C250" s="58" t="n">
        <x:v>3</x:v>
      </x:c>
      <x:c r="D250" s="58" t="str">
        <x:v>ZONE-3</x:v>
      </x:c>
      <x:c r="E250" s="58" t="str">
        <x:v>m2</x:v>
      </x:c>
      <x:c r="F250" s="79" t="n">
        <x:v>0</x:v>
      </x:c>
      <x:c r="G250" s="74" t="n">
        <x:f>INDEX('Baseline'!$F$8:$F$39,MATCH(B250,'Baseline'!$A$8:$A$39,0))</x:f>
        <x:v>20</x:v>
      </x:c>
      <x:c r="H250" s="80" t="n">
        <x:f>F250*G250</x:f>
        <x:v>0</x:v>
      </x:c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</x:row>
    <x:row r="251" ht="23" customHeight="1">
      <x:c r="A251" s="60" t="str">
        <x:v>MQ-0244</x:v>
      </x:c>
      <x:c r="B251" s="60" t="str">
        <x:v>EN02</x:v>
      </x:c>
      <x:c r="C251" s="60" t="n">
        <x:v>4</x:v>
      </x:c>
      <x:c r="D251" s="60" t="str">
        <x:v>ZONE-3</x:v>
      </x:c>
      <x:c r="E251" s="60" t="str">
        <x:v>m2</x:v>
      </x:c>
      <x:c r="F251" s="82" t="n">
        <x:v>0</x:v>
      </x:c>
      <x:c r="G251" s="78" t="n">
        <x:f>INDEX('Baseline'!$F$8:$F$39,MATCH(B251,'Baseline'!$A$8:$A$39,0))</x:f>
        <x:v>20</x:v>
      </x:c>
      <x:c r="H251" s="83" t="n">
        <x:f>F251*G251</x:f>
        <x:v>0</x:v>
      </x:c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</x:row>
    <x:row r="252" ht="23" customHeight="1">
      <x:c r="A252" s="58" t="str">
        <x:v>MQ-0245</x:v>
      </x:c>
      <x:c r="B252" s="58" t="str">
        <x:v>EN02</x:v>
      </x:c>
      <x:c r="C252" s="58" t="n">
        <x:v>5</x:v>
      </x:c>
      <x:c r="D252" s="58" t="str">
        <x:v>ZONE-3</x:v>
      </x:c>
      <x:c r="E252" s="58" t="str">
        <x:v>m2</x:v>
      </x:c>
      <x:c r="F252" s="79" t="n">
        <x:v>0</x:v>
      </x:c>
      <x:c r="G252" s="74" t="n">
        <x:f>INDEX('Baseline'!$F$8:$F$39,MATCH(B252,'Baseline'!$A$8:$A$39,0))</x:f>
        <x:v>20</x:v>
      </x:c>
      <x:c r="H252" s="80" t="n">
        <x:f>F252*G252</x:f>
        <x:v>0</x:v>
      </x:c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</x:row>
    <x:row r="253" ht="23" customHeight="1">
      <x:c r="A253" s="60" t="str">
        <x:v>MQ-0246</x:v>
      </x:c>
      <x:c r="B253" s="60" t="str">
        <x:v>EN02</x:v>
      </x:c>
      <x:c r="C253" s="60" t="n">
        <x:v>6</x:v>
      </x:c>
      <x:c r="D253" s="60" t="str">
        <x:v>ZONE-3</x:v>
      </x:c>
      <x:c r="E253" s="60" t="str">
        <x:v>m2</x:v>
      </x:c>
      <x:c r="F253" s="82" t="n">
        <x:v>0</x:v>
      </x:c>
      <x:c r="G253" s="78" t="n">
        <x:f>INDEX('Baseline'!$F$8:$F$39,MATCH(B253,'Baseline'!$A$8:$A$39,0))</x:f>
        <x:v>20</x:v>
      </x:c>
      <x:c r="H253" s="83" t="n">
        <x:f>F253*G253</x:f>
        <x:v>0</x:v>
      </x:c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</x:row>
    <x:row r="254" ht="23" customHeight="1">
      <x:c r="A254" s="58" t="str">
        <x:v>MQ-0247</x:v>
      </x:c>
      <x:c r="B254" s="58" t="str">
        <x:v>EN02</x:v>
      </x:c>
      <x:c r="C254" s="58" t="n">
        <x:v>7</x:v>
      </x:c>
      <x:c r="D254" s="58" t="str">
        <x:v>ZONE-3</x:v>
      </x:c>
      <x:c r="E254" s="58" t="str">
        <x:v>m2</x:v>
      </x:c>
      <x:c r="F254" s="79" t="n">
        <x:v>0</x:v>
      </x:c>
      <x:c r="G254" s="74" t="n">
        <x:f>INDEX('Baseline'!$F$8:$F$39,MATCH(B254,'Baseline'!$A$8:$A$39,0))</x:f>
        <x:v>20</x:v>
      </x:c>
      <x:c r="H254" s="80" t="n">
        <x:f>F254*G254</x:f>
        <x:v>0</x:v>
      </x:c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</x:row>
    <x:row r="255" ht="23" customHeight="1">
      <x:c r="A255" s="60" t="str">
        <x:v>MQ-0248</x:v>
      </x:c>
      <x:c r="B255" s="60" t="str">
        <x:v>EN02</x:v>
      </x:c>
      <x:c r="C255" s="60" t="n">
        <x:v>8</x:v>
      </x:c>
      <x:c r="D255" s="60" t="str">
        <x:v>ZONE-3</x:v>
      </x:c>
      <x:c r="E255" s="60" t="str">
        <x:v>m2</x:v>
      </x:c>
      <x:c r="F255" s="82" t="n">
        <x:v>0</x:v>
      </x:c>
      <x:c r="G255" s="78" t="n">
        <x:f>INDEX('Baseline'!$F$8:$F$39,MATCH(B255,'Baseline'!$A$8:$A$39,0))</x:f>
        <x:v>20</x:v>
      </x:c>
      <x:c r="H255" s="83" t="n">
        <x:f>F255*G255</x:f>
        <x:v>0</x:v>
      </x:c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</x:row>
    <x:row r="256" ht="23" customHeight="1">
      <x:c r="A256" s="58" t="str">
        <x:v>MQ-0249</x:v>
      </x:c>
      <x:c r="B256" s="58" t="str">
        <x:v>EN02</x:v>
      </x:c>
      <x:c r="C256" s="58" t="n">
        <x:v>9</x:v>
      </x:c>
      <x:c r="D256" s="58" t="str">
        <x:v>ZONE-3</x:v>
      </x:c>
      <x:c r="E256" s="58" t="str">
        <x:v>m2</x:v>
      </x:c>
      <x:c r="F256" s="79" t="n">
        <x:v>0</x:v>
      </x:c>
      <x:c r="G256" s="74" t="n">
        <x:f>INDEX('Baseline'!$F$8:$F$39,MATCH(B256,'Baseline'!$A$8:$A$39,0))</x:f>
        <x:v>20</x:v>
      </x:c>
      <x:c r="H256" s="80" t="n">
        <x:f>F256*G256</x:f>
        <x:v>0</x:v>
      </x:c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</x:row>
    <x:row r="257" ht="23" customHeight="1">
      <x:c r="A257" s="60" t="str">
        <x:v>MQ-0250</x:v>
      </x:c>
      <x:c r="B257" s="60" t="str">
        <x:v>EN02</x:v>
      </x:c>
      <x:c r="C257" s="60" t="n">
        <x:v>10</x:v>
      </x:c>
      <x:c r="D257" s="60" t="str">
        <x:v>ZONE-3</x:v>
      </x:c>
      <x:c r="E257" s="60" t="str">
        <x:v>m2</x:v>
      </x:c>
      <x:c r="F257" s="82" t="n">
        <x:v>0</x:v>
      </x:c>
      <x:c r="G257" s="78" t="n">
        <x:f>INDEX('Baseline'!$F$8:$F$39,MATCH(B257,'Baseline'!$A$8:$A$39,0))</x:f>
        <x:v>20</x:v>
      </x:c>
      <x:c r="H257" s="83" t="n">
        <x:f>F257*G257</x:f>
        <x:v>0</x:v>
      </x:c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</x:row>
    <x:row r="258" ht="23" customHeight="1">
      <x:c r="A258" s="58" t="str">
        <x:v>MQ-0251</x:v>
      </x:c>
      <x:c r="B258" s="58" t="str">
        <x:v>EN02</x:v>
      </x:c>
      <x:c r="C258" s="58" t="n">
        <x:v>11</x:v>
      </x:c>
      <x:c r="D258" s="58" t="str">
        <x:v>ZONE-3</x:v>
      </x:c>
      <x:c r="E258" s="58" t="str">
        <x:v>m2</x:v>
      </x:c>
      <x:c r="F258" s="79" t="n">
        <x:v>0</x:v>
      </x:c>
      <x:c r="G258" s="74" t="n">
        <x:f>INDEX('Baseline'!$F$8:$F$39,MATCH(B258,'Baseline'!$A$8:$A$39,0))</x:f>
        <x:v>20</x:v>
      </x:c>
      <x:c r="H258" s="80" t="n">
        <x:f>F258*G258</x:f>
        <x:v>0</x:v>
      </x:c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</x:row>
    <x:row r="259" ht="23" customHeight="1">
      <x:c r="A259" s="60" t="str">
        <x:v>MQ-0252</x:v>
      </x:c>
      <x:c r="B259" s="60" t="str">
        <x:v>EN02</x:v>
      </x:c>
      <x:c r="C259" s="60" t="n">
        <x:v>12</x:v>
      </x:c>
      <x:c r="D259" s="60" t="str">
        <x:v>ZONE-3</x:v>
      </x:c>
      <x:c r="E259" s="60" t="str">
        <x:v>m2</x:v>
      </x:c>
      <x:c r="F259" s="82" t="n">
        <x:v>0</x:v>
      </x:c>
      <x:c r="G259" s="78" t="n">
        <x:f>INDEX('Baseline'!$F$8:$F$39,MATCH(B259,'Baseline'!$A$8:$A$39,0))</x:f>
        <x:v>20</x:v>
      </x:c>
      <x:c r="H259" s="83" t="n">
        <x:f>F259*G259</x:f>
        <x:v>0</x:v>
      </x:c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</x:row>
    <x:row r="260" ht="23" customHeight="1">
      <x:c r="A260" s="58" t="str">
        <x:v>MQ-0253</x:v>
      </x:c>
      <x:c r="B260" s="58" t="str">
        <x:v>EN03</x:v>
      </x:c>
      <x:c r="C260" s="58" t="n">
        <x:v>1</x:v>
      </x:c>
      <x:c r="D260" s="58" t="str">
        <x:v>ZONE-4</x:v>
      </x:c>
      <x:c r="E260" s="58" t="str">
        <x:v>m2</x:v>
      </x:c>
      <x:c r="F260" s="79" t="n">
        <x:v>0</x:v>
      </x:c>
      <x:c r="G260" s="74" t="n">
        <x:f>INDEX('Baseline'!$F$8:$F$39,MATCH(B260,'Baseline'!$A$8:$A$39,0))</x:f>
        <x:v>84</x:v>
      </x:c>
      <x:c r="H260" s="80" t="n">
        <x:f>F260*G260</x:f>
        <x:v>0</x:v>
      </x:c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</x:row>
    <x:row r="261" ht="23" customHeight="1">
      <x:c r="A261" s="60" t="str">
        <x:v>MQ-0254</x:v>
      </x:c>
      <x:c r="B261" s="60" t="str">
        <x:v>EN03</x:v>
      </x:c>
      <x:c r="C261" s="60" t="n">
        <x:v>2</x:v>
      </x:c>
      <x:c r="D261" s="60" t="str">
        <x:v>ZONE-4</x:v>
      </x:c>
      <x:c r="E261" s="60" t="str">
        <x:v>m2</x:v>
      </x:c>
      <x:c r="F261" s="82" t="n">
        <x:v>0</x:v>
      </x:c>
      <x:c r="G261" s="78" t="n">
        <x:f>INDEX('Baseline'!$F$8:$F$39,MATCH(B261,'Baseline'!$A$8:$A$39,0))</x:f>
        <x:v>84</x:v>
      </x:c>
      <x:c r="H261" s="83" t="n">
        <x:f>F261*G261</x:f>
        <x:v>0</x:v>
      </x:c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</x:row>
    <x:row r="262" ht="23" customHeight="1">
      <x:c r="A262" s="58" t="str">
        <x:v>MQ-0255</x:v>
      </x:c>
      <x:c r="B262" s="58" t="str">
        <x:v>EN03</x:v>
      </x:c>
      <x:c r="C262" s="58" t="n">
        <x:v>3</x:v>
      </x:c>
      <x:c r="D262" s="58" t="str">
        <x:v>ZONE-4</x:v>
      </x:c>
      <x:c r="E262" s="58" t="str">
        <x:v>m2</x:v>
      </x:c>
      <x:c r="F262" s="79" t="n">
        <x:v>0</x:v>
      </x:c>
      <x:c r="G262" s="74" t="n">
        <x:f>INDEX('Baseline'!$F$8:$F$39,MATCH(B262,'Baseline'!$A$8:$A$39,0))</x:f>
        <x:v>84</x:v>
      </x:c>
      <x:c r="H262" s="80" t="n">
        <x:f>F262*G262</x:f>
        <x:v>0</x:v>
      </x:c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</x:row>
    <x:row r="263" ht="23" customHeight="1">
      <x:c r="A263" s="60" t="str">
        <x:v>MQ-0256</x:v>
      </x:c>
      <x:c r="B263" s="60" t="str">
        <x:v>EN03</x:v>
      </x:c>
      <x:c r="C263" s="60" t="n">
        <x:v>4</x:v>
      </x:c>
      <x:c r="D263" s="60" t="str">
        <x:v>ZONE-4</x:v>
      </x:c>
      <x:c r="E263" s="60" t="str">
        <x:v>m2</x:v>
      </x:c>
      <x:c r="F263" s="82" t="n">
        <x:v>0</x:v>
      </x:c>
      <x:c r="G263" s="78" t="n">
        <x:f>INDEX('Baseline'!$F$8:$F$39,MATCH(B263,'Baseline'!$A$8:$A$39,0))</x:f>
        <x:v>84</x:v>
      </x:c>
      <x:c r="H263" s="83" t="n">
        <x:f>F263*G263</x:f>
        <x:v>0</x:v>
      </x:c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</x:row>
    <x:row r="264" ht="23" customHeight="1">
      <x:c r="A264" s="58" t="str">
        <x:v>MQ-0257</x:v>
      </x:c>
      <x:c r="B264" s="58" t="str">
        <x:v>EN03</x:v>
      </x:c>
      <x:c r="C264" s="58" t="n">
        <x:v>5</x:v>
      </x:c>
      <x:c r="D264" s="58" t="str">
        <x:v>ZONE-4</x:v>
      </x:c>
      <x:c r="E264" s="58" t="str">
        <x:v>m2</x:v>
      </x:c>
      <x:c r="F264" s="79" t="n">
        <x:v>0</x:v>
      </x:c>
      <x:c r="G264" s="74" t="n">
        <x:f>INDEX('Baseline'!$F$8:$F$39,MATCH(B264,'Baseline'!$A$8:$A$39,0))</x:f>
        <x:v>84</x:v>
      </x:c>
      <x:c r="H264" s="80" t="n">
        <x:f>F264*G264</x:f>
        <x:v>0</x:v>
      </x:c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</x:row>
    <x:row r="265" ht="23" customHeight="1">
      <x:c r="A265" s="60" t="str">
        <x:v>MQ-0258</x:v>
      </x:c>
      <x:c r="B265" s="60" t="str">
        <x:v>EN03</x:v>
      </x:c>
      <x:c r="C265" s="60" t="n">
        <x:v>6</x:v>
      </x:c>
      <x:c r="D265" s="60" t="str">
        <x:v>ZONE-4</x:v>
      </x:c>
      <x:c r="E265" s="60" t="str">
        <x:v>m2</x:v>
      </x:c>
      <x:c r="F265" s="82" t="n">
        <x:v>0</x:v>
      </x:c>
      <x:c r="G265" s="78" t="n">
        <x:f>INDEX('Baseline'!$F$8:$F$39,MATCH(B265,'Baseline'!$A$8:$A$39,0))</x:f>
        <x:v>84</x:v>
      </x:c>
      <x:c r="H265" s="83" t="n">
        <x:f>F265*G265</x:f>
        <x:v>0</x:v>
      </x:c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</x:row>
    <x:row r="266" ht="23" customHeight="1">
      <x:c r="A266" s="58" t="str">
        <x:v>MQ-0259</x:v>
      </x:c>
      <x:c r="B266" s="58" t="str">
        <x:v>EN03</x:v>
      </x:c>
      <x:c r="C266" s="58" t="n">
        <x:v>7</x:v>
      </x:c>
      <x:c r="D266" s="58" t="str">
        <x:v>ZONE-4</x:v>
      </x:c>
      <x:c r="E266" s="58" t="str">
        <x:v>m2</x:v>
      </x:c>
      <x:c r="F266" s="79" t="n">
        <x:v>0</x:v>
      </x:c>
      <x:c r="G266" s="74" t="n">
        <x:f>INDEX('Baseline'!$F$8:$F$39,MATCH(B266,'Baseline'!$A$8:$A$39,0))</x:f>
        <x:v>84</x:v>
      </x:c>
      <x:c r="H266" s="80" t="n">
        <x:f>F266*G266</x:f>
        <x:v>0</x:v>
      </x:c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</x:row>
    <x:row r="267" ht="23" customHeight="1">
      <x:c r="A267" s="60" t="str">
        <x:v>MQ-0260</x:v>
      </x:c>
      <x:c r="B267" s="60" t="str">
        <x:v>EN03</x:v>
      </x:c>
      <x:c r="C267" s="60" t="n">
        <x:v>8</x:v>
      </x:c>
      <x:c r="D267" s="60" t="str">
        <x:v>ZONE-4</x:v>
      </x:c>
      <x:c r="E267" s="60" t="str">
        <x:v>m2</x:v>
      </x:c>
      <x:c r="F267" s="82" t="n">
        <x:v>0</x:v>
      </x:c>
      <x:c r="G267" s="78" t="n">
        <x:f>INDEX('Baseline'!$F$8:$F$39,MATCH(B267,'Baseline'!$A$8:$A$39,0))</x:f>
        <x:v>84</x:v>
      </x:c>
      <x:c r="H267" s="83" t="n">
        <x:f>F267*G267</x:f>
        <x:v>0</x:v>
      </x:c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</x:row>
    <x:row r="268" ht="23" customHeight="1">
      <x:c r="A268" s="58" t="str">
        <x:v>MQ-0261</x:v>
      </x:c>
      <x:c r="B268" s="58" t="str">
        <x:v>EN03</x:v>
      </x:c>
      <x:c r="C268" s="58" t="n">
        <x:v>9</x:v>
      </x:c>
      <x:c r="D268" s="58" t="str">
        <x:v>ZONE-4</x:v>
      </x:c>
      <x:c r="E268" s="58" t="str">
        <x:v>m2</x:v>
      </x:c>
      <x:c r="F268" s="79" t="n">
        <x:v>0</x:v>
      </x:c>
      <x:c r="G268" s="74" t="n">
        <x:f>INDEX('Baseline'!$F$8:$F$39,MATCH(B268,'Baseline'!$A$8:$A$39,0))</x:f>
        <x:v>84</x:v>
      </x:c>
      <x:c r="H268" s="80" t="n">
        <x:f>F268*G268</x:f>
        <x:v>0</x:v>
      </x:c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</x:row>
    <x:row r="269" ht="23" customHeight="1">
      <x:c r="A269" s="60" t="str">
        <x:v>MQ-0262</x:v>
      </x:c>
      <x:c r="B269" s="60" t="str">
        <x:v>EN03</x:v>
      </x:c>
      <x:c r="C269" s="60" t="n">
        <x:v>10</x:v>
      </x:c>
      <x:c r="D269" s="60" t="str">
        <x:v>ZONE-4</x:v>
      </x:c>
      <x:c r="E269" s="60" t="str">
        <x:v>m2</x:v>
      </x:c>
      <x:c r="F269" s="82" t="n">
        <x:v>0</x:v>
      </x:c>
      <x:c r="G269" s="78" t="n">
        <x:f>INDEX('Baseline'!$F$8:$F$39,MATCH(B269,'Baseline'!$A$8:$A$39,0))</x:f>
        <x:v>84</x:v>
      </x:c>
      <x:c r="H269" s="83" t="n">
        <x:f>F269*G269</x:f>
        <x:v>0</x:v>
      </x:c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</x:row>
    <x:row r="270" ht="23" customHeight="1">
      <x:c r="A270" s="58" t="str">
        <x:v>MQ-0263</x:v>
      </x:c>
      <x:c r="B270" s="58" t="str">
        <x:v>EN03</x:v>
      </x:c>
      <x:c r="C270" s="58" t="n">
        <x:v>11</x:v>
      </x:c>
      <x:c r="D270" s="58" t="str">
        <x:v>ZONE-4</x:v>
      </x:c>
      <x:c r="E270" s="58" t="str">
        <x:v>m2</x:v>
      </x:c>
      <x:c r="F270" s="79" t="n">
        <x:v>0</x:v>
      </x:c>
      <x:c r="G270" s="74" t="n">
        <x:f>INDEX('Baseline'!$F$8:$F$39,MATCH(B270,'Baseline'!$A$8:$A$39,0))</x:f>
        <x:v>84</x:v>
      </x:c>
      <x:c r="H270" s="80" t="n">
        <x:f>F270*G270</x:f>
        <x:v>0</x:v>
      </x:c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</x:row>
    <x:row r="271" ht="23" customHeight="1">
      <x:c r="A271" s="60" t="str">
        <x:v>MQ-0264</x:v>
      </x:c>
      <x:c r="B271" s="60" t="str">
        <x:v>EN03</x:v>
      </x:c>
      <x:c r="C271" s="60" t="n">
        <x:v>12</x:v>
      </x:c>
      <x:c r="D271" s="60" t="str">
        <x:v>ZONE-4</x:v>
      </x:c>
      <x:c r="E271" s="60" t="str">
        <x:v>m2</x:v>
      </x:c>
      <x:c r="F271" s="82" t="n">
        <x:v>1711.511738181818</x:v>
      </x:c>
      <x:c r="G271" s="78" t="n">
        <x:f>INDEX('Baseline'!$F$8:$F$39,MATCH(B271,'Baseline'!$A$8:$A$39,0))</x:f>
        <x:v>84</x:v>
      </x:c>
      <x:c r="H271" s="83" t="n">
        <x:f>F271*G271</x:f>
        <x:v>143766.9860072727</x:v>
      </x:c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</x:row>
    <x:row r="272" ht="23" customHeight="1">
      <x:c r="A272" s="58" t="str">
        <x:v>MQ-0265</x:v>
      </x:c>
      <x:c r="B272" s="58" t="str">
        <x:v>EN04</x:v>
      </x:c>
      <x:c r="C272" s="58" t="n">
        <x:v>1</x:v>
      </x:c>
      <x:c r="D272" s="58" t="str">
        <x:v>ZONE-5</x:v>
      </x:c>
      <x:c r="E272" s="58" t="str">
        <x:v>m2</x:v>
      </x:c>
      <x:c r="F272" s="79" t="n">
        <x:v>0</x:v>
      </x:c>
      <x:c r="G272" s="74" t="n">
        <x:f>INDEX('Baseline'!$F$8:$F$39,MATCH(B272,'Baseline'!$A$8:$A$39,0))</x:f>
        <x:v>220</x:v>
      </x:c>
      <x:c r="H272" s="80" t="n">
        <x:f>F272*G272</x:f>
        <x:v>0</x:v>
      </x:c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</x:row>
    <x:row r="273" ht="23" customHeight="1">
      <x:c r="A273" s="60" t="str">
        <x:v>MQ-0266</x:v>
      </x:c>
      <x:c r="B273" s="60" t="str">
        <x:v>EN04</x:v>
      </x:c>
      <x:c r="C273" s="60" t="n">
        <x:v>2</x:v>
      </x:c>
      <x:c r="D273" s="60" t="str">
        <x:v>ZONE-5</x:v>
      </x:c>
      <x:c r="E273" s="60" t="str">
        <x:v>m2</x:v>
      </x:c>
      <x:c r="F273" s="82" t="n">
        <x:v>0</x:v>
      </x:c>
      <x:c r="G273" s="78" t="n">
        <x:f>INDEX('Baseline'!$F$8:$F$39,MATCH(B273,'Baseline'!$A$8:$A$39,0))</x:f>
        <x:v>220</x:v>
      </x:c>
      <x:c r="H273" s="83" t="n">
        <x:f>F273*G273</x:f>
        <x:v>0</x:v>
      </x:c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</x:row>
    <x:row r="274" ht="23" customHeight="1">
      <x:c r="A274" s="58" t="str">
        <x:v>MQ-0267</x:v>
      </x:c>
      <x:c r="B274" s="58" t="str">
        <x:v>EN04</x:v>
      </x:c>
      <x:c r="C274" s="58" t="n">
        <x:v>3</x:v>
      </x:c>
      <x:c r="D274" s="58" t="str">
        <x:v>ZONE-5</x:v>
      </x:c>
      <x:c r="E274" s="58" t="str">
        <x:v>m2</x:v>
      </x:c>
      <x:c r="F274" s="79" t="n">
        <x:v>0</x:v>
      </x:c>
      <x:c r="G274" s="74" t="n">
        <x:f>INDEX('Baseline'!$F$8:$F$39,MATCH(B274,'Baseline'!$A$8:$A$39,0))</x:f>
        <x:v>220</x:v>
      </x:c>
      <x:c r="H274" s="80" t="n">
        <x:f>F274*G274</x:f>
        <x:v>0</x:v>
      </x:c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</x:row>
    <x:row r="275" ht="23" customHeight="1">
      <x:c r="A275" s="60" t="str">
        <x:v>MQ-0268</x:v>
      </x:c>
      <x:c r="B275" s="60" t="str">
        <x:v>EN04</x:v>
      </x:c>
      <x:c r="C275" s="60" t="n">
        <x:v>4</x:v>
      </x:c>
      <x:c r="D275" s="60" t="str">
        <x:v>ZONE-5</x:v>
      </x:c>
      <x:c r="E275" s="60" t="str">
        <x:v>m2</x:v>
      </x:c>
      <x:c r="F275" s="82" t="n">
        <x:v>0</x:v>
      </x:c>
      <x:c r="G275" s="78" t="n">
        <x:f>INDEX('Baseline'!$F$8:$F$39,MATCH(B275,'Baseline'!$A$8:$A$39,0))</x:f>
        <x:v>220</x:v>
      </x:c>
      <x:c r="H275" s="83" t="n">
        <x:f>F275*G275</x:f>
        <x:v>0</x:v>
      </x:c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</x:row>
    <x:row r="276" ht="23" customHeight="1">
      <x:c r="A276" s="58" t="str">
        <x:v>MQ-0269</x:v>
      </x:c>
      <x:c r="B276" s="58" t="str">
        <x:v>EN04</x:v>
      </x:c>
      <x:c r="C276" s="58" t="n">
        <x:v>5</x:v>
      </x:c>
      <x:c r="D276" s="58" t="str">
        <x:v>ZONE-5</x:v>
      </x:c>
      <x:c r="E276" s="58" t="str">
        <x:v>m2</x:v>
      </x:c>
      <x:c r="F276" s="79" t="n">
        <x:v>0</x:v>
      </x:c>
      <x:c r="G276" s="74" t="n">
        <x:f>INDEX('Baseline'!$F$8:$F$39,MATCH(B276,'Baseline'!$A$8:$A$39,0))</x:f>
        <x:v>220</x:v>
      </x:c>
      <x:c r="H276" s="80" t="n">
        <x:f>F276*G276</x:f>
        <x:v>0</x:v>
      </x:c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</x:row>
    <x:row r="277" ht="23" customHeight="1">
      <x:c r="A277" s="60" t="str">
        <x:v>MQ-0270</x:v>
      </x:c>
      <x:c r="B277" s="60" t="str">
        <x:v>EN04</x:v>
      </x:c>
      <x:c r="C277" s="60" t="n">
        <x:v>6</x:v>
      </x:c>
      <x:c r="D277" s="60" t="str">
        <x:v>ZONE-5</x:v>
      </x:c>
      <x:c r="E277" s="60" t="str">
        <x:v>m2</x:v>
      </x:c>
      <x:c r="F277" s="82" t="n">
        <x:v>0</x:v>
      </x:c>
      <x:c r="G277" s="78" t="n">
        <x:f>INDEX('Baseline'!$F$8:$F$39,MATCH(B277,'Baseline'!$A$8:$A$39,0))</x:f>
        <x:v>220</x:v>
      </x:c>
      <x:c r="H277" s="83" t="n">
        <x:f>F277*G277</x:f>
        <x:v>0</x:v>
      </x:c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</x:row>
    <x:row r="278" ht="23" customHeight="1">
      <x:c r="A278" s="58" t="str">
        <x:v>MQ-0271</x:v>
      </x:c>
      <x:c r="B278" s="58" t="str">
        <x:v>EN04</x:v>
      </x:c>
      <x:c r="C278" s="58" t="n">
        <x:v>7</x:v>
      </x:c>
      <x:c r="D278" s="58" t="str">
        <x:v>ZONE-5</x:v>
      </x:c>
      <x:c r="E278" s="58" t="str">
        <x:v>m2</x:v>
      </x:c>
      <x:c r="F278" s="79" t="n">
        <x:v>0</x:v>
      </x:c>
      <x:c r="G278" s="74" t="n">
        <x:f>INDEX('Baseline'!$F$8:$F$39,MATCH(B278,'Baseline'!$A$8:$A$39,0))</x:f>
        <x:v>220</x:v>
      </x:c>
      <x:c r="H278" s="80" t="n">
        <x:f>F278*G278</x:f>
        <x:v>0</x:v>
      </x:c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</x:row>
    <x:row r="279" ht="23" customHeight="1">
      <x:c r="A279" s="60" t="str">
        <x:v>MQ-0272</x:v>
      </x:c>
      <x:c r="B279" s="60" t="str">
        <x:v>EN04</x:v>
      </x:c>
      <x:c r="C279" s="60" t="n">
        <x:v>8</x:v>
      </x:c>
      <x:c r="D279" s="60" t="str">
        <x:v>ZONE-5</x:v>
      </x:c>
      <x:c r="E279" s="60" t="str">
        <x:v>m2</x:v>
      </x:c>
      <x:c r="F279" s="82" t="n">
        <x:v>0</x:v>
      </x:c>
      <x:c r="G279" s="78" t="n">
        <x:f>INDEX('Baseline'!$F$8:$F$39,MATCH(B279,'Baseline'!$A$8:$A$39,0))</x:f>
        <x:v>220</x:v>
      </x:c>
      <x:c r="H279" s="83" t="n">
        <x:f>F279*G279</x:f>
        <x:v>0</x:v>
      </x:c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</x:row>
    <x:row r="280" ht="23" customHeight="1">
      <x:c r="A280" s="58" t="str">
        <x:v>MQ-0273</x:v>
      </x:c>
      <x:c r="B280" s="58" t="str">
        <x:v>EN04</x:v>
      </x:c>
      <x:c r="C280" s="58" t="n">
        <x:v>9</x:v>
      </x:c>
      <x:c r="D280" s="58" t="str">
        <x:v>ZONE-5</x:v>
      </x:c>
      <x:c r="E280" s="58" t="str">
        <x:v>m2</x:v>
      </x:c>
      <x:c r="F280" s="79" t="n">
        <x:v>0</x:v>
      </x:c>
      <x:c r="G280" s="74" t="n">
        <x:f>INDEX('Baseline'!$F$8:$F$39,MATCH(B280,'Baseline'!$A$8:$A$39,0))</x:f>
        <x:v>220</x:v>
      </x:c>
      <x:c r="H280" s="80" t="n">
        <x:f>F280*G280</x:f>
        <x:v>0</x:v>
      </x:c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</x:row>
    <x:row r="281" ht="23" customHeight="1">
      <x:c r="A281" s="60" t="str">
        <x:v>MQ-0274</x:v>
      </x:c>
      <x:c r="B281" s="60" t="str">
        <x:v>EN04</x:v>
      </x:c>
      <x:c r="C281" s="60" t="n">
        <x:v>10</x:v>
      </x:c>
      <x:c r="D281" s="60" t="str">
        <x:v>ZONE-5</x:v>
      </x:c>
      <x:c r="E281" s="60" t="str">
        <x:v>m2</x:v>
      </x:c>
      <x:c r="F281" s="82" t="n">
        <x:v>0</x:v>
      </x:c>
      <x:c r="G281" s="78" t="n">
        <x:f>INDEX('Baseline'!$F$8:$F$39,MATCH(B281,'Baseline'!$A$8:$A$39,0))</x:f>
        <x:v>220</x:v>
      </x:c>
      <x:c r="H281" s="83" t="n">
        <x:f>F281*G281</x:f>
        <x:v>0</x:v>
      </x:c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</x:row>
    <x:row r="282" ht="23" customHeight="1">
      <x:c r="A282" s="58" t="str">
        <x:v>MQ-0275</x:v>
      </x:c>
      <x:c r="B282" s="58" t="str">
        <x:v>EN04</x:v>
      </x:c>
      <x:c r="C282" s="58" t="n">
        <x:v>11</x:v>
      </x:c>
      <x:c r="D282" s="58" t="str">
        <x:v>ZONE-5</x:v>
      </x:c>
      <x:c r="E282" s="58" t="str">
        <x:v>m2</x:v>
      </x:c>
      <x:c r="F282" s="79" t="n">
        <x:v>0</x:v>
      </x:c>
      <x:c r="G282" s="74" t="n">
        <x:f>INDEX('Baseline'!$F$8:$F$39,MATCH(B282,'Baseline'!$A$8:$A$39,0))</x:f>
        <x:v>220</x:v>
      </x:c>
      <x:c r="H282" s="80" t="n">
        <x:f>F282*G282</x:f>
        <x:v>0</x:v>
      </x:c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</x:row>
    <x:row r="283" ht="23" customHeight="1">
      <x:c r="A283" s="60" t="str">
        <x:v>MQ-0276</x:v>
      </x:c>
      <x:c r="B283" s="60" t="str">
        <x:v>EN04</x:v>
      </x:c>
      <x:c r="C283" s="60" t="n">
        <x:v>12</x:v>
      </x:c>
      <x:c r="D283" s="60" t="str">
        <x:v>ZONE-5</x:v>
      </x:c>
      <x:c r="E283" s="60" t="str">
        <x:v>m2</x:v>
      </x:c>
      <x:c r="F283" s="82" t="n">
        <x:v>0</x:v>
      </x:c>
      <x:c r="G283" s="78" t="n">
        <x:f>INDEX('Baseline'!$F$8:$F$39,MATCH(B283,'Baseline'!$A$8:$A$39,0))</x:f>
        <x:v>220</x:v>
      </x:c>
      <x:c r="H283" s="83" t="n">
        <x:f>F283*G283</x:f>
        <x:v>0</x:v>
      </x:c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</x:row>
    <x:row r="284" ht="23" customHeight="1">
      <x:c r="A284" s="58" t="str">
        <x:v>MQ-0277</x:v>
      </x:c>
      <x:c r="B284" s="58" t="str">
        <x:v>AR01</x:v>
      </x:c>
      <x:c r="C284" s="58" t="n">
        <x:v>1</x:v>
      </x:c>
      <x:c r="D284" s="58" t="str">
        <x:v>ZONE-6</x:v>
      </x:c>
      <x:c r="E284" s="58" t="str">
        <x:v>m2</x:v>
      </x:c>
      <x:c r="F284" s="79" t="n">
        <x:v>0</x:v>
      </x:c>
      <x:c r="G284" s="74" t="n">
        <x:f>INDEX('Baseline'!$F$8:$F$39,MATCH(B284,'Baseline'!$A$8:$A$39,0))</x:f>
        <x:v>135</x:v>
      </x:c>
      <x:c r="H284" s="80" t="n">
        <x:f>F284*G284</x:f>
        <x:v>0</x:v>
      </x:c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</x:row>
    <x:row r="285" ht="23" customHeight="1">
      <x:c r="A285" s="60" t="str">
        <x:v>MQ-0278</x:v>
      </x:c>
      <x:c r="B285" s="60" t="str">
        <x:v>AR01</x:v>
      </x:c>
      <x:c r="C285" s="60" t="n">
        <x:v>2</x:v>
      </x:c>
      <x:c r="D285" s="60" t="str">
        <x:v>ZONE-6</x:v>
      </x:c>
      <x:c r="E285" s="60" t="str">
        <x:v>m2</x:v>
      </x:c>
      <x:c r="F285" s="82" t="n">
        <x:v>0</x:v>
      </x:c>
      <x:c r="G285" s="78" t="n">
        <x:f>INDEX('Baseline'!$F$8:$F$39,MATCH(B285,'Baseline'!$A$8:$A$39,0))</x:f>
        <x:v>135</x:v>
      </x:c>
      <x:c r="H285" s="83" t="n">
        <x:f>F285*G285</x:f>
        <x:v>0</x:v>
      </x:c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</x:row>
    <x:row r="286" ht="23" customHeight="1">
      <x:c r="A286" s="58" t="str">
        <x:v>MQ-0279</x:v>
      </x:c>
      <x:c r="B286" s="58" t="str">
        <x:v>AR01</x:v>
      </x:c>
      <x:c r="C286" s="58" t="n">
        <x:v>3</x:v>
      </x:c>
      <x:c r="D286" s="58" t="str">
        <x:v>ZONE-6</x:v>
      </x:c>
      <x:c r="E286" s="58" t="str">
        <x:v>m2</x:v>
      </x:c>
      <x:c r="F286" s="79" t="n">
        <x:v>0</x:v>
      </x:c>
      <x:c r="G286" s="74" t="n">
        <x:f>INDEX('Baseline'!$F$8:$F$39,MATCH(B286,'Baseline'!$A$8:$A$39,0))</x:f>
        <x:v>135</x:v>
      </x:c>
      <x:c r="H286" s="80" t="n">
        <x:f>F286*G286</x:f>
        <x:v>0</x:v>
      </x:c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</x:row>
    <x:row r="287" ht="23" customHeight="1">
      <x:c r="A287" s="60" t="str">
        <x:v>MQ-0280</x:v>
      </x:c>
      <x:c r="B287" s="60" t="str">
        <x:v>AR01</x:v>
      </x:c>
      <x:c r="C287" s="60" t="n">
        <x:v>4</x:v>
      </x:c>
      <x:c r="D287" s="60" t="str">
        <x:v>ZONE-6</x:v>
      </x:c>
      <x:c r="E287" s="60" t="str">
        <x:v>m2</x:v>
      </x:c>
      <x:c r="F287" s="82" t="n">
        <x:v>0</x:v>
      </x:c>
      <x:c r="G287" s="78" t="n">
        <x:f>INDEX('Baseline'!$F$8:$F$39,MATCH(B287,'Baseline'!$A$8:$A$39,0))</x:f>
        <x:v>135</x:v>
      </x:c>
      <x:c r="H287" s="83" t="n">
        <x:f>F287*G287</x:f>
        <x:v>0</x:v>
      </x:c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</x:row>
    <x:row r="288" ht="23" customHeight="1">
      <x:c r="A288" s="58" t="str">
        <x:v>MQ-0281</x:v>
      </x:c>
      <x:c r="B288" s="58" t="str">
        <x:v>AR01</x:v>
      </x:c>
      <x:c r="C288" s="58" t="n">
        <x:v>5</x:v>
      </x:c>
      <x:c r="D288" s="58" t="str">
        <x:v>ZONE-6</x:v>
      </x:c>
      <x:c r="E288" s="58" t="str">
        <x:v>m2</x:v>
      </x:c>
      <x:c r="F288" s="79" t="n">
        <x:v>0</x:v>
      </x:c>
      <x:c r="G288" s="74" t="n">
        <x:f>INDEX('Baseline'!$F$8:$F$39,MATCH(B288,'Baseline'!$A$8:$A$39,0))</x:f>
        <x:v>135</x:v>
      </x:c>
      <x:c r="H288" s="80" t="n">
        <x:f>F288*G288</x:f>
        <x:v>0</x:v>
      </x:c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</x:row>
    <x:row r="289" ht="23" customHeight="1">
      <x:c r="A289" s="60" t="str">
        <x:v>MQ-0282</x:v>
      </x:c>
      <x:c r="B289" s="60" t="str">
        <x:v>AR01</x:v>
      </x:c>
      <x:c r="C289" s="60" t="n">
        <x:v>6</x:v>
      </x:c>
      <x:c r="D289" s="60" t="str">
        <x:v>ZONE-6</x:v>
      </x:c>
      <x:c r="E289" s="60" t="str">
        <x:v>m2</x:v>
      </x:c>
      <x:c r="F289" s="82" t="n">
        <x:v>0</x:v>
      </x:c>
      <x:c r="G289" s="78" t="n">
        <x:f>INDEX('Baseline'!$F$8:$F$39,MATCH(B289,'Baseline'!$A$8:$A$39,0))</x:f>
        <x:v>135</x:v>
      </x:c>
      <x:c r="H289" s="83" t="n">
        <x:f>F289*G289</x:f>
        <x:v>0</x:v>
      </x:c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</x:row>
    <x:row r="290" ht="23" customHeight="1">
      <x:c r="A290" s="58" t="str">
        <x:v>MQ-0283</x:v>
      </x:c>
      <x:c r="B290" s="58" t="str">
        <x:v>AR01</x:v>
      </x:c>
      <x:c r="C290" s="58" t="n">
        <x:v>7</x:v>
      </x:c>
      <x:c r="D290" s="58" t="str">
        <x:v>ZONE-6</x:v>
      </x:c>
      <x:c r="E290" s="58" t="str">
        <x:v>m2</x:v>
      </x:c>
      <x:c r="F290" s="79" t="n">
        <x:v>0</x:v>
      </x:c>
      <x:c r="G290" s="74" t="n">
        <x:f>INDEX('Baseline'!$F$8:$F$39,MATCH(B290,'Baseline'!$A$8:$A$39,0))</x:f>
        <x:v>135</x:v>
      </x:c>
      <x:c r="H290" s="80" t="n">
        <x:f>F290*G290</x:f>
        <x:v>0</x:v>
      </x:c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</x:row>
    <x:row r="291" ht="23" customHeight="1">
      <x:c r="A291" s="60" t="str">
        <x:v>MQ-0284</x:v>
      </x:c>
      <x:c r="B291" s="60" t="str">
        <x:v>AR01</x:v>
      </x:c>
      <x:c r="C291" s="60" t="n">
        <x:v>8</x:v>
      </x:c>
      <x:c r="D291" s="60" t="str">
        <x:v>ZONE-6</x:v>
      </x:c>
      <x:c r="E291" s="60" t="str">
        <x:v>m2</x:v>
      </x:c>
      <x:c r="F291" s="82" t="n">
        <x:v>0</x:v>
      </x:c>
      <x:c r="G291" s="78" t="n">
        <x:f>INDEX('Baseline'!$F$8:$F$39,MATCH(B291,'Baseline'!$A$8:$A$39,0))</x:f>
        <x:v>135</x:v>
      </x:c>
      <x:c r="H291" s="83" t="n">
        <x:f>F291*G291</x:f>
        <x:v>0</x:v>
      </x:c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</x:row>
    <x:row r="292" ht="23" customHeight="1">
      <x:c r="A292" s="58" t="str">
        <x:v>MQ-0285</x:v>
      </x:c>
      <x:c r="B292" s="58" t="str">
        <x:v>AR01</x:v>
      </x:c>
      <x:c r="C292" s="58" t="n">
        <x:v>9</x:v>
      </x:c>
      <x:c r="D292" s="58" t="str">
        <x:v>ZONE-6</x:v>
      </x:c>
      <x:c r="E292" s="58" t="str">
        <x:v>m2</x:v>
      </x:c>
      <x:c r="F292" s="79" t="n">
        <x:v>587.613</x:v>
      </x:c>
      <x:c r="G292" s="74" t="n">
        <x:f>INDEX('Baseline'!$F$8:$F$39,MATCH(B292,'Baseline'!$A$8:$A$39,0))</x:f>
        <x:v>135</x:v>
      </x:c>
      <x:c r="H292" s="80" t="n">
        <x:f>F292*G292</x:f>
        <x:v>79327.755</x:v>
      </x:c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</x:row>
    <x:row r="293" ht="23" customHeight="1">
      <x:c r="A293" s="60" t="str">
        <x:v>MQ-0286</x:v>
      </x:c>
      <x:c r="B293" s="60" t="str">
        <x:v>AR01</x:v>
      </x:c>
      <x:c r="C293" s="60" t="n">
        <x:v>10</x:v>
      </x:c>
      <x:c r="D293" s="60" t="str">
        <x:v>ZONE-6</x:v>
      </x:c>
      <x:c r="E293" s="60" t="str">
        <x:v>m2</x:v>
      </x:c>
      <x:c r="F293" s="82" t="n">
        <x:v>587.613</x:v>
      </x:c>
      <x:c r="G293" s="78" t="n">
        <x:f>INDEX('Baseline'!$F$8:$F$39,MATCH(B293,'Baseline'!$A$8:$A$39,0))</x:f>
        <x:v>135</x:v>
      </x:c>
      <x:c r="H293" s="83" t="n">
        <x:f>F293*G293</x:f>
        <x:v>79327.755</x:v>
      </x:c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</x:row>
    <x:row r="294" ht="23" customHeight="1">
      <x:c r="A294" s="58" t="str">
        <x:v>MQ-0287</x:v>
      </x:c>
      <x:c r="B294" s="58" t="str">
        <x:v>AR01</x:v>
      </x:c>
      <x:c r="C294" s="58" t="n">
        <x:v>11</x:v>
      </x:c>
      <x:c r="D294" s="58" t="str">
        <x:v>ZONE-6</x:v>
      </x:c>
      <x:c r="E294" s="58" t="str">
        <x:v>m2</x:v>
      </x:c>
      <x:c r="F294" s="79" t="n">
        <x:v>587.613</x:v>
      </x:c>
      <x:c r="G294" s="74" t="n">
        <x:f>INDEX('Baseline'!$F$8:$F$39,MATCH(B294,'Baseline'!$A$8:$A$39,0))</x:f>
        <x:v>135</x:v>
      </x:c>
      <x:c r="H294" s="80" t="n">
        <x:f>F294*G294</x:f>
        <x:v>79327.755</x:v>
      </x:c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</x:row>
    <x:row r="295" ht="23" customHeight="1">
      <x:c r="A295" s="60" t="str">
        <x:v>MQ-0288</x:v>
      </x:c>
      <x:c r="B295" s="60" t="str">
        <x:v>AR01</x:v>
      </x:c>
      <x:c r="C295" s="60" t="n">
        <x:v>12</x:v>
      </x:c>
      <x:c r="D295" s="60" t="str">
        <x:v>ZONE-6</x:v>
      </x:c>
      <x:c r="E295" s="60" t="str">
        <x:v>m2</x:v>
      </x:c>
      <x:c r="F295" s="82" t="n">
        <x:v>587.613</x:v>
      </x:c>
      <x:c r="G295" s="78" t="n">
        <x:f>INDEX('Baseline'!$F$8:$F$39,MATCH(B295,'Baseline'!$A$8:$A$39,0))</x:f>
        <x:v>135</x:v>
      </x:c>
      <x:c r="H295" s="83" t="n">
        <x:f>F295*G295</x:f>
        <x:v>79327.755</x:v>
      </x:c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</x:row>
    <x:row r="296" ht="23" customHeight="1">
      <x:c r="A296" s="58" t="str">
        <x:v>MQ-0289</x:v>
      </x:c>
      <x:c r="B296" s="58" t="str">
        <x:v>AR02</x:v>
      </x:c>
      <x:c r="C296" s="58" t="n">
        <x:v>1</x:v>
      </x:c>
      <x:c r="D296" s="58" t="str">
        <x:v>ZONE-1</x:v>
      </x:c>
      <x:c r="E296" s="58" t="str">
        <x:v>m2</x:v>
      </x:c>
      <x:c r="F296" s="79" t="n">
        <x:v>0</x:v>
      </x:c>
      <x:c r="G296" s="74" t="n">
        <x:f>INDEX('Baseline'!$F$8:$F$39,MATCH(B296,'Baseline'!$A$8:$A$39,0))</x:f>
        <x:v>12.499999999999998</x:v>
      </x:c>
      <x:c r="H296" s="80" t="n">
        <x:f>F296*G296</x:f>
        <x:v>0</x:v>
      </x:c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</x:row>
    <x:row r="297" ht="23" customHeight="1">
      <x:c r="A297" s="60" t="str">
        <x:v>MQ-0290</x:v>
      </x:c>
      <x:c r="B297" s="60" t="str">
        <x:v>AR02</x:v>
      </x:c>
      <x:c r="C297" s="60" t="n">
        <x:v>2</x:v>
      </x:c>
      <x:c r="D297" s="60" t="str">
        <x:v>ZONE-1</x:v>
      </x:c>
      <x:c r="E297" s="60" t="str">
        <x:v>m2</x:v>
      </x:c>
      <x:c r="F297" s="82" t="n">
        <x:v>0</x:v>
      </x:c>
      <x:c r="G297" s="78" t="n">
        <x:f>INDEX('Baseline'!$F$8:$F$39,MATCH(B297,'Baseline'!$A$8:$A$39,0))</x:f>
        <x:v>12.499999999999998</x:v>
      </x:c>
      <x:c r="H297" s="83" t="n">
        <x:f>F297*G297</x:f>
        <x:v>0</x:v>
      </x:c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</x:row>
    <x:row r="298" ht="23" customHeight="1">
      <x:c r="A298" s="58" t="str">
        <x:v>MQ-0291</x:v>
      </x:c>
      <x:c r="B298" s="58" t="str">
        <x:v>AR02</x:v>
      </x:c>
      <x:c r="C298" s="58" t="n">
        <x:v>3</x:v>
      </x:c>
      <x:c r="D298" s="58" t="str">
        <x:v>ZONE-1</x:v>
      </x:c>
      <x:c r="E298" s="58" t="str">
        <x:v>m2</x:v>
      </x:c>
      <x:c r="F298" s="79" t="n">
        <x:v>0</x:v>
      </x:c>
      <x:c r="G298" s="74" t="n">
        <x:f>INDEX('Baseline'!$F$8:$F$39,MATCH(B298,'Baseline'!$A$8:$A$39,0))</x:f>
        <x:v>12.499999999999998</x:v>
      </x:c>
      <x:c r="H298" s="80" t="n">
        <x:f>F298*G298</x:f>
        <x:v>0</x:v>
      </x:c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</x:row>
    <x:row r="299" ht="23" customHeight="1">
      <x:c r="A299" s="60" t="str">
        <x:v>MQ-0292</x:v>
      </x:c>
      <x:c r="B299" s="60" t="str">
        <x:v>AR02</x:v>
      </x:c>
      <x:c r="C299" s="60" t="n">
        <x:v>4</x:v>
      </x:c>
      <x:c r="D299" s="60" t="str">
        <x:v>ZONE-1</x:v>
      </x:c>
      <x:c r="E299" s="60" t="str">
        <x:v>m2</x:v>
      </x:c>
      <x:c r="F299" s="82" t="n">
        <x:v>0</x:v>
      </x:c>
      <x:c r="G299" s="78" t="n">
        <x:f>INDEX('Baseline'!$F$8:$F$39,MATCH(B299,'Baseline'!$A$8:$A$39,0))</x:f>
        <x:v>12.499999999999998</x:v>
      </x:c>
      <x:c r="H299" s="83" t="n">
        <x:f>F299*G299</x:f>
        <x:v>0</x:v>
      </x:c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</x:row>
    <x:row r="300" ht="23" customHeight="1">
      <x:c r="A300" s="58" t="str">
        <x:v>MQ-0293</x:v>
      </x:c>
      <x:c r="B300" s="58" t="str">
        <x:v>AR02</x:v>
      </x:c>
      <x:c r="C300" s="58" t="n">
        <x:v>5</x:v>
      </x:c>
      <x:c r="D300" s="58" t="str">
        <x:v>ZONE-1</x:v>
      </x:c>
      <x:c r="E300" s="58" t="str">
        <x:v>m2</x:v>
      </x:c>
      <x:c r="F300" s="79" t="n">
        <x:v>0</x:v>
      </x:c>
      <x:c r="G300" s="74" t="n">
        <x:f>INDEX('Baseline'!$F$8:$F$39,MATCH(B300,'Baseline'!$A$8:$A$39,0))</x:f>
        <x:v>12.499999999999998</x:v>
      </x:c>
      <x:c r="H300" s="80" t="n">
        <x:f>F300*G300</x:f>
        <x:v>0</x:v>
      </x:c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</x:row>
    <x:row r="301" ht="23" customHeight="1">
      <x:c r="A301" s="60" t="str">
        <x:v>MQ-0294</x:v>
      </x:c>
      <x:c r="B301" s="60" t="str">
        <x:v>AR02</x:v>
      </x:c>
      <x:c r="C301" s="60" t="n">
        <x:v>6</x:v>
      </x:c>
      <x:c r="D301" s="60" t="str">
        <x:v>ZONE-1</x:v>
      </x:c>
      <x:c r="E301" s="60" t="str">
        <x:v>m2</x:v>
      </x:c>
      <x:c r="F301" s="82" t="n">
        <x:v>0</x:v>
      </x:c>
      <x:c r="G301" s="78" t="n">
        <x:f>INDEX('Baseline'!$F$8:$F$39,MATCH(B301,'Baseline'!$A$8:$A$39,0))</x:f>
        <x:v>12.499999999999998</x:v>
      </x:c>
      <x:c r="H301" s="83" t="n">
        <x:f>F301*G301</x:f>
        <x:v>0</x:v>
      </x:c>
      <x:c r="I301" s="54"/>
      <x:c r="J301" s="54"/>
      <x:c r="K301" s="54"/>
      <x:c r="L301" s="54"/>
      <x:c r="M301" s="54"/>
      <x:c r="N301" s="54"/>
      <x:c r="O301" s="54"/>
      <x:c r="P301" s="54"/>
      <x:c r="Q301" s="54"/>
      <x:c r="R301" s="54"/>
      <x:c r="S301" s="54"/>
    </x:row>
    <x:row r="302" ht="23" customHeight="1">
      <x:c r="A302" s="58" t="str">
        <x:v>MQ-0295</x:v>
      </x:c>
      <x:c r="B302" s="58" t="str">
        <x:v>AR02</x:v>
      </x:c>
      <x:c r="C302" s="58" t="n">
        <x:v>7</x:v>
      </x:c>
      <x:c r="D302" s="58" t="str">
        <x:v>ZONE-1</x:v>
      </x:c>
      <x:c r="E302" s="58" t="str">
        <x:v>m2</x:v>
      </x:c>
      <x:c r="F302" s="79" t="n">
        <x:v>0</x:v>
      </x:c>
      <x:c r="G302" s="74" t="n">
        <x:f>INDEX('Baseline'!$F$8:$F$39,MATCH(B302,'Baseline'!$A$8:$A$39,0))</x:f>
        <x:v>12.499999999999998</x:v>
      </x:c>
      <x:c r="H302" s="80" t="n">
        <x:f>F302*G302</x:f>
        <x:v>0</x:v>
      </x:c>
      <x:c r="I302" s="54"/>
      <x:c r="J302" s="54"/>
      <x:c r="K302" s="54"/>
      <x:c r="L302" s="54"/>
      <x:c r="M302" s="54"/>
      <x:c r="N302" s="54"/>
      <x:c r="O302" s="54"/>
      <x:c r="P302" s="54"/>
      <x:c r="Q302" s="54"/>
      <x:c r="R302" s="54"/>
      <x:c r="S302" s="54"/>
    </x:row>
    <x:row r="303" ht="23" customHeight="1">
      <x:c r="A303" s="60" t="str">
        <x:v>MQ-0296</x:v>
      </x:c>
      <x:c r="B303" s="60" t="str">
        <x:v>AR02</x:v>
      </x:c>
      <x:c r="C303" s="60" t="n">
        <x:v>8</x:v>
      </x:c>
      <x:c r="D303" s="60" t="str">
        <x:v>ZONE-1</x:v>
      </x:c>
      <x:c r="E303" s="60" t="str">
        <x:v>m2</x:v>
      </x:c>
      <x:c r="F303" s="82" t="n">
        <x:v>0</x:v>
      </x:c>
      <x:c r="G303" s="78" t="n">
        <x:f>INDEX('Baseline'!$F$8:$F$39,MATCH(B303,'Baseline'!$A$8:$A$39,0))</x:f>
        <x:v>12.499999999999998</x:v>
      </x:c>
      <x:c r="H303" s="83" t="n">
        <x:f>F303*G303</x:f>
        <x:v>0</x:v>
      </x:c>
      <x:c r="I303" s="54"/>
      <x:c r="J303" s="54"/>
      <x:c r="K303" s="54"/>
      <x:c r="L303" s="54"/>
      <x:c r="M303" s="54"/>
      <x:c r="N303" s="54"/>
      <x:c r="O303" s="54"/>
      <x:c r="P303" s="54"/>
      <x:c r="Q303" s="54"/>
      <x:c r="R303" s="54"/>
      <x:c r="S303" s="54"/>
    </x:row>
    <x:row r="304" ht="23" customHeight="1">
      <x:c r="A304" s="58" t="str">
        <x:v>MQ-0297</x:v>
      </x:c>
      <x:c r="B304" s="58" t="str">
        <x:v>AR02</x:v>
      </x:c>
      <x:c r="C304" s="58" t="n">
        <x:v>9</x:v>
      </x:c>
      <x:c r="D304" s="58" t="str">
        <x:v>ZONE-1</x:v>
      </x:c>
      <x:c r="E304" s="58" t="str">
        <x:v>m2</x:v>
      </x:c>
      <x:c r="F304" s="79" t="n">
        <x:v>0</x:v>
      </x:c>
      <x:c r="G304" s="74" t="n">
        <x:f>INDEX('Baseline'!$F$8:$F$39,MATCH(B304,'Baseline'!$A$8:$A$39,0))</x:f>
        <x:v>12.499999999999998</x:v>
      </x:c>
      <x:c r="H304" s="80" t="n">
        <x:f>F304*G304</x:f>
        <x:v>0</x:v>
      </x:c>
      <x:c r="I304" s="54"/>
      <x:c r="J304" s="54"/>
      <x:c r="K304" s="54"/>
      <x:c r="L304" s="54"/>
      <x:c r="M304" s="54"/>
      <x:c r="N304" s="54"/>
      <x:c r="O304" s="54"/>
      <x:c r="P304" s="54"/>
      <x:c r="Q304" s="54"/>
      <x:c r="R304" s="54"/>
      <x:c r="S304" s="54"/>
    </x:row>
    <x:row r="305" ht="23" customHeight="1">
      <x:c r="A305" s="60" t="str">
        <x:v>MQ-0298</x:v>
      </x:c>
      <x:c r="B305" s="60" t="str">
        <x:v>AR02</x:v>
      </x:c>
      <x:c r="C305" s="60" t="n">
        <x:v>10</x:v>
      </x:c>
      <x:c r="D305" s="60" t="str">
        <x:v>ZONE-1</x:v>
      </x:c>
      <x:c r="E305" s="60" t="str">
        <x:v>m2</x:v>
      </x:c>
      <x:c r="F305" s="82" t="n">
        <x:v>0</x:v>
      </x:c>
      <x:c r="G305" s="78" t="n">
        <x:f>INDEX('Baseline'!$F$8:$F$39,MATCH(B305,'Baseline'!$A$8:$A$39,0))</x:f>
        <x:v>12.499999999999998</x:v>
      </x:c>
      <x:c r="H305" s="83" t="n">
        <x:f>F305*G305</x:f>
        <x:v>0</x:v>
      </x:c>
      <x:c r="I305" s="54"/>
      <x:c r="J305" s="54"/>
      <x:c r="K305" s="54"/>
      <x:c r="L305" s="54"/>
      <x:c r="M305" s="54"/>
      <x:c r="N305" s="54"/>
      <x:c r="O305" s="54"/>
      <x:c r="P305" s="54"/>
      <x:c r="Q305" s="54"/>
      <x:c r="R305" s="54"/>
      <x:c r="S305" s="54"/>
    </x:row>
    <x:row r="306" ht="23" customHeight="1">
      <x:c r="A306" s="58" t="str">
        <x:v>MQ-0299</x:v>
      </x:c>
      <x:c r="B306" s="58" t="str">
        <x:v>AR02</x:v>
      </x:c>
      <x:c r="C306" s="58" t="n">
        <x:v>11</x:v>
      </x:c>
      <x:c r="D306" s="58" t="str">
        <x:v>ZONE-1</x:v>
      </x:c>
      <x:c r="E306" s="58" t="str">
        <x:v>m2</x:v>
      </x:c>
      <x:c r="F306" s="79" t="n">
        <x:v>0</x:v>
      </x:c>
      <x:c r="G306" s="74" t="n">
        <x:f>INDEX('Baseline'!$F$8:$F$39,MATCH(B306,'Baseline'!$A$8:$A$39,0))</x:f>
        <x:v>12.499999999999998</x:v>
      </x:c>
      <x:c r="H306" s="80" t="n">
        <x:f>F306*G306</x:f>
        <x:v>0</x:v>
      </x:c>
      <x:c r="I306" s="54"/>
      <x:c r="J306" s="54"/>
      <x:c r="K306" s="54"/>
      <x:c r="L306" s="54"/>
      <x:c r="M306" s="54"/>
      <x:c r="N306" s="54"/>
      <x:c r="O306" s="54"/>
      <x:c r="P306" s="54"/>
      <x:c r="Q306" s="54"/>
      <x:c r="R306" s="54"/>
      <x:c r="S306" s="54"/>
    </x:row>
    <x:row r="307" ht="23" customHeight="1">
      <x:c r="A307" s="60" t="str">
        <x:v>MQ-0300</x:v>
      </x:c>
      <x:c r="B307" s="60" t="str">
        <x:v>AR02</x:v>
      </x:c>
      <x:c r="C307" s="60" t="n">
        <x:v>12</x:v>
      </x:c>
      <x:c r="D307" s="60" t="str">
        <x:v>ZONE-1</x:v>
      </x:c>
      <x:c r="E307" s="60" t="str">
        <x:v>m2</x:v>
      </x:c>
      <x:c r="F307" s="82" t="n">
        <x:v>8547.098181818186</x:v>
      </x:c>
      <x:c r="G307" s="78" t="n">
        <x:f>INDEX('Baseline'!$F$8:$F$39,MATCH(B307,'Baseline'!$A$8:$A$39,0))</x:f>
        <x:v>12.499999999999998</x:v>
      </x:c>
      <x:c r="H307" s="83" t="n">
        <x:f>F307*G307</x:f>
        <x:v>106838.72727272731</x:v>
      </x:c>
      <x:c r="I307" s="54"/>
      <x:c r="J307" s="54"/>
      <x:c r="K307" s="54"/>
      <x:c r="L307" s="54"/>
      <x:c r="M307" s="54"/>
      <x:c r="N307" s="54"/>
      <x:c r="O307" s="54"/>
      <x:c r="P307" s="54"/>
      <x:c r="Q307" s="54"/>
      <x:c r="R307" s="54"/>
      <x:c r="S307" s="54"/>
    </x:row>
    <x:row r="308" ht="23" customHeight="1">
      <x:c r="A308" s="58" t="str">
        <x:v>MQ-0301</x:v>
      </x:c>
      <x:c r="B308" s="58" t="str">
        <x:v>AR03</x:v>
      </x:c>
      <x:c r="C308" s="58" t="n">
        <x:v>1</x:v>
      </x:c>
      <x:c r="D308" s="58" t="str">
        <x:v>ZONE-2</x:v>
      </x:c>
      <x:c r="E308" s="58" t="str">
        <x:v>m2</x:v>
      </x:c>
      <x:c r="F308" s="79" t="n">
        <x:v>0</x:v>
      </x:c>
      <x:c r="G308" s="74" t="n">
        <x:f>INDEX('Baseline'!$F$8:$F$39,MATCH(B308,'Baseline'!$A$8:$A$39,0))</x:f>
        <x:v>13</x:v>
      </x:c>
      <x:c r="H308" s="80" t="n">
        <x:f>F308*G308</x:f>
        <x:v>0</x:v>
      </x:c>
      <x:c r="I308" s="54"/>
      <x:c r="J308" s="54"/>
      <x:c r="K308" s="54"/>
      <x:c r="L308" s="54"/>
      <x:c r="M308" s="54"/>
      <x:c r="N308" s="54"/>
      <x:c r="O308" s="54"/>
      <x:c r="P308" s="54"/>
      <x:c r="Q308" s="54"/>
      <x:c r="R308" s="54"/>
      <x:c r="S308" s="54"/>
    </x:row>
    <x:row r="309" ht="23" customHeight="1">
      <x:c r="A309" s="60" t="str">
        <x:v>MQ-0302</x:v>
      </x:c>
      <x:c r="B309" s="60" t="str">
        <x:v>AR03</x:v>
      </x:c>
      <x:c r="C309" s="60" t="n">
        <x:v>2</x:v>
      </x:c>
      <x:c r="D309" s="60" t="str">
        <x:v>ZONE-2</x:v>
      </x:c>
      <x:c r="E309" s="60" t="str">
        <x:v>m2</x:v>
      </x:c>
      <x:c r="F309" s="82" t="n">
        <x:v>0</x:v>
      </x:c>
      <x:c r="G309" s="78" t="n">
        <x:f>INDEX('Baseline'!$F$8:$F$39,MATCH(B309,'Baseline'!$A$8:$A$39,0))</x:f>
        <x:v>13</x:v>
      </x:c>
      <x:c r="H309" s="83" t="n">
        <x:f>F309*G309</x:f>
        <x:v>0</x:v>
      </x:c>
      <x:c r="I309" s="54"/>
      <x:c r="J309" s="54"/>
      <x:c r="K309" s="54"/>
      <x:c r="L309" s="54"/>
      <x:c r="M309" s="54"/>
      <x:c r="N309" s="54"/>
      <x:c r="O309" s="54"/>
      <x:c r="P309" s="54"/>
      <x:c r="Q309" s="54"/>
      <x:c r="R309" s="54"/>
      <x:c r="S309" s="54"/>
    </x:row>
    <x:row r="310" ht="23" customHeight="1">
      <x:c r="A310" s="58" t="str">
        <x:v>MQ-0303</x:v>
      </x:c>
      <x:c r="B310" s="58" t="str">
        <x:v>AR03</x:v>
      </x:c>
      <x:c r="C310" s="58" t="n">
        <x:v>3</x:v>
      </x:c>
      <x:c r="D310" s="58" t="str">
        <x:v>ZONE-2</x:v>
      </x:c>
      <x:c r="E310" s="58" t="str">
        <x:v>m2</x:v>
      </x:c>
      <x:c r="F310" s="79" t="n">
        <x:v>0</x:v>
      </x:c>
      <x:c r="G310" s="74" t="n">
        <x:f>INDEX('Baseline'!$F$8:$F$39,MATCH(B310,'Baseline'!$A$8:$A$39,0))</x:f>
        <x:v>13</x:v>
      </x:c>
      <x:c r="H310" s="80" t="n">
        <x:f>F310*G310</x:f>
        <x:v>0</x:v>
      </x:c>
      <x:c r="I310" s="54"/>
      <x:c r="J310" s="54"/>
      <x:c r="K310" s="54"/>
      <x:c r="L310" s="54"/>
      <x:c r="M310" s="54"/>
      <x:c r="N310" s="54"/>
      <x:c r="O310" s="54"/>
      <x:c r="P310" s="54"/>
      <x:c r="Q310" s="54"/>
      <x:c r="R310" s="54"/>
      <x:c r="S310" s="54"/>
    </x:row>
    <x:row r="311" ht="23" customHeight="1">
      <x:c r="A311" s="60" t="str">
        <x:v>MQ-0304</x:v>
      </x:c>
      <x:c r="B311" s="60" t="str">
        <x:v>AR03</x:v>
      </x:c>
      <x:c r="C311" s="60" t="n">
        <x:v>4</x:v>
      </x:c>
      <x:c r="D311" s="60" t="str">
        <x:v>ZONE-2</x:v>
      </x:c>
      <x:c r="E311" s="60" t="str">
        <x:v>m2</x:v>
      </x:c>
      <x:c r="F311" s="82" t="n">
        <x:v>0</x:v>
      </x:c>
      <x:c r="G311" s="78" t="n">
        <x:f>INDEX('Baseline'!$F$8:$F$39,MATCH(B311,'Baseline'!$A$8:$A$39,0))</x:f>
        <x:v>13</x:v>
      </x:c>
      <x:c r="H311" s="83" t="n">
        <x:f>F311*G311</x:f>
        <x:v>0</x:v>
      </x:c>
      <x:c r="I311" s="54"/>
      <x:c r="J311" s="54"/>
      <x:c r="K311" s="54"/>
      <x:c r="L311" s="54"/>
      <x:c r="M311" s="54"/>
      <x:c r="N311" s="54"/>
      <x:c r="O311" s="54"/>
      <x:c r="P311" s="54"/>
      <x:c r="Q311" s="54"/>
      <x:c r="R311" s="54"/>
      <x:c r="S311" s="54"/>
    </x:row>
    <x:row r="312" ht="23" customHeight="1">
      <x:c r="A312" s="58" t="str">
        <x:v>MQ-0305</x:v>
      </x:c>
      <x:c r="B312" s="58" t="str">
        <x:v>AR03</x:v>
      </x:c>
      <x:c r="C312" s="58" t="n">
        <x:v>5</x:v>
      </x:c>
      <x:c r="D312" s="58" t="str">
        <x:v>ZONE-2</x:v>
      </x:c>
      <x:c r="E312" s="58" t="str">
        <x:v>m2</x:v>
      </x:c>
      <x:c r="F312" s="79" t="n">
        <x:v>0</x:v>
      </x:c>
      <x:c r="G312" s="74" t="n">
        <x:f>INDEX('Baseline'!$F$8:$F$39,MATCH(B312,'Baseline'!$A$8:$A$39,0))</x:f>
        <x:v>13</x:v>
      </x:c>
      <x:c r="H312" s="80" t="n">
        <x:f>F312*G312</x:f>
        <x:v>0</x:v>
      </x:c>
      <x:c r="I312" s="54"/>
      <x:c r="J312" s="54"/>
      <x:c r="K312" s="54"/>
      <x:c r="L312" s="54"/>
      <x:c r="M312" s="54"/>
      <x:c r="N312" s="54"/>
      <x:c r="O312" s="54"/>
      <x:c r="P312" s="54"/>
      <x:c r="Q312" s="54"/>
      <x:c r="R312" s="54"/>
      <x:c r="S312" s="54"/>
    </x:row>
    <x:row r="313" ht="23" customHeight="1">
      <x:c r="A313" s="60" t="str">
        <x:v>MQ-0306</x:v>
      </x:c>
      <x:c r="B313" s="60" t="str">
        <x:v>AR03</x:v>
      </x:c>
      <x:c r="C313" s="60" t="n">
        <x:v>6</x:v>
      </x:c>
      <x:c r="D313" s="60" t="str">
        <x:v>ZONE-2</x:v>
      </x:c>
      <x:c r="E313" s="60" t="str">
        <x:v>m2</x:v>
      </x:c>
      <x:c r="F313" s="82" t="n">
        <x:v>0</x:v>
      </x:c>
      <x:c r="G313" s="78" t="n">
        <x:f>INDEX('Baseline'!$F$8:$F$39,MATCH(B313,'Baseline'!$A$8:$A$39,0))</x:f>
        <x:v>13</x:v>
      </x:c>
      <x:c r="H313" s="83" t="n">
        <x:f>F313*G313</x:f>
        <x:v>0</x:v>
      </x:c>
      <x:c r="I313" s="54"/>
      <x:c r="J313" s="54"/>
      <x:c r="K313" s="54"/>
      <x:c r="L313" s="54"/>
      <x:c r="M313" s="54"/>
      <x:c r="N313" s="54"/>
      <x:c r="O313" s="54"/>
      <x:c r="P313" s="54"/>
      <x:c r="Q313" s="54"/>
      <x:c r="R313" s="54"/>
      <x:c r="S313" s="54"/>
    </x:row>
    <x:row r="314" ht="23" customHeight="1">
      <x:c r="A314" s="58" t="str">
        <x:v>MQ-0307</x:v>
      </x:c>
      <x:c r="B314" s="58" t="str">
        <x:v>AR03</x:v>
      </x:c>
      <x:c r="C314" s="58" t="n">
        <x:v>7</x:v>
      </x:c>
      <x:c r="D314" s="58" t="str">
        <x:v>ZONE-2</x:v>
      </x:c>
      <x:c r="E314" s="58" t="str">
        <x:v>m2</x:v>
      </x:c>
      <x:c r="F314" s="79" t="n">
        <x:v>0</x:v>
      </x:c>
      <x:c r="G314" s="74" t="n">
        <x:f>INDEX('Baseline'!$F$8:$F$39,MATCH(B314,'Baseline'!$A$8:$A$39,0))</x:f>
        <x:v>13</x:v>
      </x:c>
      <x:c r="H314" s="80" t="n">
        <x:f>F314*G314</x:f>
        <x:v>0</x:v>
      </x:c>
      <x:c r="I314" s="54"/>
      <x:c r="J314" s="54"/>
      <x:c r="K314" s="54"/>
      <x:c r="L314" s="54"/>
      <x:c r="M314" s="54"/>
      <x:c r="N314" s="54"/>
      <x:c r="O314" s="54"/>
      <x:c r="P314" s="54"/>
      <x:c r="Q314" s="54"/>
      <x:c r="R314" s="54"/>
      <x:c r="S314" s="54"/>
    </x:row>
    <x:row r="315" ht="23" customHeight="1">
      <x:c r="A315" s="60" t="str">
        <x:v>MQ-0308</x:v>
      </x:c>
      <x:c r="B315" s="60" t="str">
        <x:v>AR03</x:v>
      </x:c>
      <x:c r="C315" s="60" t="n">
        <x:v>8</x:v>
      </x:c>
      <x:c r="D315" s="60" t="str">
        <x:v>ZONE-2</x:v>
      </x:c>
      <x:c r="E315" s="60" t="str">
        <x:v>m2</x:v>
      </x:c>
      <x:c r="F315" s="82" t="n">
        <x:v>0</x:v>
      </x:c>
      <x:c r="G315" s="78" t="n">
        <x:f>INDEX('Baseline'!$F$8:$F$39,MATCH(B315,'Baseline'!$A$8:$A$39,0))</x:f>
        <x:v>13</x:v>
      </x:c>
      <x:c r="H315" s="83" t="n">
        <x:f>F315*G315</x:f>
        <x:v>0</x:v>
      </x:c>
      <x:c r="I315" s="54"/>
      <x:c r="J315" s="54"/>
      <x:c r="K315" s="54"/>
      <x:c r="L315" s="54"/>
      <x:c r="M315" s="54"/>
      <x:c r="N315" s="54"/>
      <x:c r="O315" s="54"/>
      <x:c r="P315" s="54"/>
      <x:c r="Q315" s="54"/>
      <x:c r="R315" s="54"/>
      <x:c r="S315" s="54"/>
    </x:row>
    <x:row r="316" ht="23" customHeight="1">
      <x:c r="A316" s="58" t="str">
        <x:v>MQ-0309</x:v>
      </x:c>
      <x:c r="B316" s="58" t="str">
        <x:v>AR03</x:v>
      </x:c>
      <x:c r="C316" s="58" t="n">
        <x:v>9</x:v>
      </x:c>
      <x:c r="D316" s="58" t="str">
        <x:v>ZONE-2</x:v>
      </x:c>
      <x:c r="E316" s="58" t="str">
        <x:v>m2</x:v>
      </x:c>
      <x:c r="F316" s="79" t="n">
        <x:v>0</x:v>
      </x:c>
      <x:c r="G316" s="74" t="n">
        <x:f>INDEX('Baseline'!$F$8:$F$39,MATCH(B316,'Baseline'!$A$8:$A$39,0))</x:f>
        <x:v>13</x:v>
      </x:c>
      <x:c r="H316" s="80" t="n">
        <x:f>F316*G316</x:f>
        <x:v>0</x:v>
      </x:c>
      <x:c r="I316" s="54"/>
      <x:c r="J316" s="54"/>
      <x:c r="K316" s="54"/>
      <x:c r="L316" s="54"/>
      <x:c r="M316" s="54"/>
      <x:c r="N316" s="54"/>
      <x:c r="O316" s="54"/>
      <x:c r="P316" s="54"/>
      <x:c r="Q316" s="54"/>
      <x:c r="R316" s="54"/>
      <x:c r="S316" s="54"/>
    </x:row>
    <x:row r="317" ht="23" customHeight="1">
      <x:c r="A317" s="60" t="str">
        <x:v>MQ-0310</x:v>
      </x:c>
      <x:c r="B317" s="60" t="str">
        <x:v>AR03</x:v>
      </x:c>
      <x:c r="C317" s="60" t="n">
        <x:v>10</x:v>
      </x:c>
      <x:c r="D317" s="60" t="str">
        <x:v>ZONE-2</x:v>
      </x:c>
      <x:c r="E317" s="60" t="str">
        <x:v>m2</x:v>
      </x:c>
      <x:c r="F317" s="82" t="n">
        <x:v>0</x:v>
      </x:c>
      <x:c r="G317" s="78" t="n">
        <x:f>INDEX('Baseline'!$F$8:$F$39,MATCH(B317,'Baseline'!$A$8:$A$39,0))</x:f>
        <x:v>13</x:v>
      </x:c>
      <x:c r="H317" s="83" t="n">
        <x:f>F317*G317</x:f>
        <x:v>0</x:v>
      </x:c>
      <x:c r="I317" s="54"/>
      <x:c r="J317" s="54"/>
      <x:c r="K317" s="54"/>
      <x:c r="L317" s="54"/>
      <x:c r="M317" s="54"/>
      <x:c r="N317" s="54"/>
      <x:c r="O317" s="54"/>
      <x:c r="P317" s="54"/>
      <x:c r="Q317" s="54"/>
      <x:c r="R317" s="54"/>
      <x:c r="S317" s="54"/>
    </x:row>
    <x:row r="318" ht="23" customHeight="1">
      <x:c r="A318" s="58" t="str">
        <x:v>MQ-0311</x:v>
      </x:c>
      <x:c r="B318" s="58" t="str">
        <x:v>AR03</x:v>
      </x:c>
      <x:c r="C318" s="58" t="n">
        <x:v>11</x:v>
      </x:c>
      <x:c r="D318" s="58" t="str">
        <x:v>ZONE-2</x:v>
      </x:c>
      <x:c r="E318" s="58" t="str">
        <x:v>m2</x:v>
      </x:c>
      <x:c r="F318" s="79" t="n">
        <x:v>0</x:v>
      </x:c>
      <x:c r="G318" s="74" t="n">
        <x:f>INDEX('Baseline'!$F$8:$F$39,MATCH(B318,'Baseline'!$A$8:$A$39,0))</x:f>
        <x:v>13</x:v>
      </x:c>
      <x:c r="H318" s="80" t="n">
        <x:f>F318*G318</x:f>
        <x:v>0</x:v>
      </x:c>
      <x:c r="I318" s="54"/>
      <x:c r="J318" s="54"/>
      <x:c r="K318" s="54"/>
      <x:c r="L318" s="54"/>
      <x:c r="M318" s="54"/>
      <x:c r="N318" s="54"/>
      <x:c r="O318" s="54"/>
      <x:c r="P318" s="54"/>
      <x:c r="Q318" s="54"/>
      <x:c r="R318" s="54"/>
      <x:c r="S318" s="54"/>
    </x:row>
    <x:row r="319" ht="23" customHeight="1">
      <x:c r="A319" s="60" t="str">
        <x:v>MQ-0312</x:v>
      </x:c>
      <x:c r="B319" s="60" t="str">
        <x:v>AR03</x:v>
      </x:c>
      <x:c r="C319" s="60" t="n">
        <x:v>12</x:v>
      </x:c>
      <x:c r="D319" s="60" t="str">
        <x:v>ZONE-2</x:v>
      </x:c>
      <x:c r="E319" s="60" t="str">
        <x:v>m2</x:v>
      </x:c>
      <x:c r="F319" s="82" t="n">
        <x:v>0</x:v>
      </x:c>
      <x:c r="G319" s="78" t="n">
        <x:f>INDEX('Baseline'!$F$8:$F$39,MATCH(B319,'Baseline'!$A$8:$A$39,0))</x:f>
        <x:v>13</x:v>
      </x:c>
      <x:c r="H319" s="83" t="n">
        <x:f>F319*G319</x:f>
        <x:v>0</x:v>
      </x:c>
      <x:c r="I319" s="54"/>
      <x:c r="J319" s="54"/>
      <x:c r="K319" s="54"/>
      <x:c r="L319" s="54"/>
      <x:c r="M319" s="54"/>
      <x:c r="N319" s="54"/>
      <x:c r="O319" s="54"/>
      <x:c r="P319" s="54"/>
      <x:c r="Q319" s="54"/>
      <x:c r="R319" s="54"/>
      <x:c r="S319" s="54"/>
    </x:row>
    <x:row r="320" ht="23" customHeight="1">
      <x:c r="A320" s="58" t="str">
        <x:v>MQ-0313</x:v>
      </x:c>
      <x:c r="B320" s="58" t="str">
        <x:v>AR04</x:v>
      </x:c>
      <x:c r="C320" s="58" t="n">
        <x:v>1</x:v>
      </x:c>
      <x:c r="D320" s="58" t="str">
        <x:v>ZONE-3</x:v>
      </x:c>
      <x:c r="E320" s="58" t="str">
        <x:v>m2</x:v>
      </x:c>
      <x:c r="F320" s="79" t="n">
        <x:v>0</x:v>
      </x:c>
      <x:c r="G320" s="74" t="n">
        <x:f>INDEX('Baseline'!$F$8:$F$39,MATCH(B320,'Baseline'!$A$8:$A$39,0))</x:f>
        <x:v>34.5</x:v>
      </x:c>
      <x:c r="H320" s="80" t="n">
        <x:f>F320*G320</x:f>
        <x:v>0</x:v>
      </x:c>
      <x:c r="I320" s="54"/>
      <x:c r="J320" s="54"/>
      <x:c r="K320" s="54"/>
      <x:c r="L320" s="54"/>
      <x:c r="M320" s="54"/>
      <x:c r="N320" s="54"/>
      <x:c r="O320" s="54"/>
      <x:c r="P320" s="54"/>
      <x:c r="Q320" s="54"/>
      <x:c r="R320" s="54"/>
      <x:c r="S320" s="54"/>
    </x:row>
    <x:row r="321" ht="23" customHeight="1">
      <x:c r="A321" s="60" t="str">
        <x:v>MQ-0314</x:v>
      </x:c>
      <x:c r="B321" s="60" t="str">
        <x:v>AR04</x:v>
      </x:c>
      <x:c r="C321" s="60" t="n">
        <x:v>2</x:v>
      </x:c>
      <x:c r="D321" s="60" t="str">
        <x:v>ZONE-3</x:v>
      </x:c>
      <x:c r="E321" s="60" t="str">
        <x:v>m2</x:v>
      </x:c>
      <x:c r="F321" s="82" t="n">
        <x:v>0</x:v>
      </x:c>
      <x:c r="G321" s="78" t="n">
        <x:f>INDEX('Baseline'!$F$8:$F$39,MATCH(B321,'Baseline'!$A$8:$A$39,0))</x:f>
        <x:v>34.5</x:v>
      </x:c>
      <x:c r="H321" s="83" t="n">
        <x:f>F321*G321</x:f>
        <x:v>0</x:v>
      </x:c>
      <x:c r="I321" s="54"/>
      <x:c r="J321" s="54"/>
      <x:c r="K321" s="54"/>
      <x:c r="L321" s="54"/>
      <x:c r="M321" s="54"/>
      <x:c r="N321" s="54"/>
      <x:c r="O321" s="54"/>
      <x:c r="P321" s="54"/>
      <x:c r="Q321" s="54"/>
      <x:c r="R321" s="54"/>
      <x:c r="S321" s="54"/>
    </x:row>
    <x:row r="322" ht="23" customHeight="1">
      <x:c r="A322" s="58" t="str">
        <x:v>MQ-0315</x:v>
      </x:c>
      <x:c r="B322" s="58" t="str">
        <x:v>AR04</x:v>
      </x:c>
      <x:c r="C322" s="58" t="n">
        <x:v>3</x:v>
      </x:c>
      <x:c r="D322" s="58" t="str">
        <x:v>ZONE-3</x:v>
      </x:c>
      <x:c r="E322" s="58" t="str">
        <x:v>m2</x:v>
      </x:c>
      <x:c r="F322" s="79" t="n">
        <x:v>0</x:v>
      </x:c>
      <x:c r="G322" s="74" t="n">
        <x:f>INDEX('Baseline'!$F$8:$F$39,MATCH(B322,'Baseline'!$A$8:$A$39,0))</x:f>
        <x:v>34.5</x:v>
      </x:c>
      <x:c r="H322" s="80" t="n">
        <x:f>F322*G322</x:f>
        <x:v>0</x:v>
      </x:c>
      <x:c r="I322" s="54"/>
      <x:c r="J322" s="54"/>
      <x:c r="K322" s="54"/>
      <x:c r="L322" s="54"/>
      <x:c r="M322" s="54"/>
      <x:c r="N322" s="54"/>
      <x:c r="O322" s="54"/>
      <x:c r="P322" s="54"/>
      <x:c r="Q322" s="54"/>
      <x:c r="R322" s="54"/>
      <x:c r="S322" s="54"/>
    </x:row>
    <x:row r="323" ht="23" customHeight="1">
      <x:c r="A323" s="60" t="str">
        <x:v>MQ-0316</x:v>
      </x:c>
      <x:c r="B323" s="60" t="str">
        <x:v>AR04</x:v>
      </x:c>
      <x:c r="C323" s="60" t="n">
        <x:v>4</x:v>
      </x:c>
      <x:c r="D323" s="60" t="str">
        <x:v>ZONE-3</x:v>
      </x:c>
      <x:c r="E323" s="60" t="str">
        <x:v>m2</x:v>
      </x:c>
      <x:c r="F323" s="82" t="n">
        <x:v>0</x:v>
      </x:c>
      <x:c r="G323" s="78" t="n">
        <x:f>INDEX('Baseline'!$F$8:$F$39,MATCH(B323,'Baseline'!$A$8:$A$39,0))</x:f>
        <x:v>34.5</x:v>
      </x:c>
      <x:c r="H323" s="83" t="n">
        <x:f>F323*G323</x:f>
        <x:v>0</x:v>
      </x:c>
      <x:c r="I323" s="54"/>
      <x:c r="J323" s="54"/>
      <x:c r="K323" s="54"/>
      <x:c r="L323" s="54"/>
      <x:c r="M323" s="54"/>
      <x:c r="N323" s="54"/>
      <x:c r="O323" s="54"/>
      <x:c r="P323" s="54"/>
      <x:c r="Q323" s="54"/>
      <x:c r="R323" s="54"/>
      <x:c r="S323" s="54"/>
    </x:row>
    <x:row r="324" ht="23" customHeight="1">
      <x:c r="A324" s="58" t="str">
        <x:v>MQ-0317</x:v>
      </x:c>
      <x:c r="B324" s="58" t="str">
        <x:v>AR04</x:v>
      </x:c>
      <x:c r="C324" s="58" t="n">
        <x:v>5</x:v>
      </x:c>
      <x:c r="D324" s="58" t="str">
        <x:v>ZONE-3</x:v>
      </x:c>
      <x:c r="E324" s="58" t="str">
        <x:v>m2</x:v>
      </x:c>
      <x:c r="F324" s="79" t="n">
        <x:v>0</x:v>
      </x:c>
      <x:c r="G324" s="74" t="n">
        <x:f>INDEX('Baseline'!$F$8:$F$39,MATCH(B324,'Baseline'!$A$8:$A$39,0))</x:f>
        <x:v>34.5</x:v>
      </x:c>
      <x:c r="H324" s="80" t="n">
        <x:f>F324*G324</x:f>
        <x:v>0</x:v>
      </x:c>
      <x:c r="I324" s="54"/>
      <x:c r="J324" s="54"/>
      <x:c r="K324" s="54"/>
      <x:c r="L324" s="54"/>
      <x:c r="M324" s="54"/>
      <x:c r="N324" s="54"/>
      <x:c r="O324" s="54"/>
      <x:c r="P324" s="54"/>
      <x:c r="Q324" s="54"/>
      <x:c r="R324" s="54"/>
      <x:c r="S324" s="54"/>
    </x:row>
    <x:row r="325" ht="23" customHeight="1">
      <x:c r="A325" s="60" t="str">
        <x:v>MQ-0318</x:v>
      </x:c>
      <x:c r="B325" s="60" t="str">
        <x:v>AR04</x:v>
      </x:c>
      <x:c r="C325" s="60" t="n">
        <x:v>6</x:v>
      </x:c>
      <x:c r="D325" s="60" t="str">
        <x:v>ZONE-3</x:v>
      </x:c>
      <x:c r="E325" s="60" t="str">
        <x:v>m2</x:v>
      </x:c>
      <x:c r="F325" s="82" t="n">
        <x:v>0</x:v>
      </x:c>
      <x:c r="G325" s="78" t="n">
        <x:f>INDEX('Baseline'!$F$8:$F$39,MATCH(B325,'Baseline'!$A$8:$A$39,0))</x:f>
        <x:v>34.5</x:v>
      </x:c>
      <x:c r="H325" s="83" t="n">
        <x:f>F325*G325</x:f>
        <x:v>0</x:v>
      </x:c>
      <x:c r="I325" s="54"/>
      <x:c r="J325" s="54"/>
      <x:c r="K325" s="54"/>
      <x:c r="L325" s="54"/>
      <x:c r="M325" s="54"/>
      <x:c r="N325" s="54"/>
      <x:c r="O325" s="54"/>
      <x:c r="P325" s="54"/>
      <x:c r="Q325" s="54"/>
      <x:c r="R325" s="54"/>
      <x:c r="S325" s="54"/>
    </x:row>
    <x:row r="326" ht="23" customHeight="1">
      <x:c r="A326" s="58" t="str">
        <x:v>MQ-0319</x:v>
      </x:c>
      <x:c r="B326" s="58" t="str">
        <x:v>AR04</x:v>
      </x:c>
      <x:c r="C326" s="58" t="n">
        <x:v>7</x:v>
      </x:c>
      <x:c r="D326" s="58" t="str">
        <x:v>ZONE-3</x:v>
      </x:c>
      <x:c r="E326" s="58" t="str">
        <x:v>m2</x:v>
      </x:c>
      <x:c r="F326" s="79" t="n">
        <x:v>0</x:v>
      </x:c>
      <x:c r="G326" s="74" t="n">
        <x:f>INDEX('Baseline'!$F$8:$F$39,MATCH(B326,'Baseline'!$A$8:$A$39,0))</x:f>
        <x:v>34.5</x:v>
      </x:c>
      <x:c r="H326" s="80" t="n">
        <x:f>F326*G326</x:f>
        <x:v>0</x:v>
      </x:c>
      <x:c r="I326" s="54"/>
      <x:c r="J326" s="54"/>
      <x:c r="K326" s="54"/>
      <x:c r="L326" s="54"/>
      <x:c r="M326" s="54"/>
      <x:c r="N326" s="54"/>
      <x:c r="O326" s="54"/>
      <x:c r="P326" s="54"/>
      <x:c r="Q326" s="54"/>
      <x:c r="R326" s="54"/>
      <x:c r="S326" s="54"/>
    </x:row>
    <x:row r="327" ht="23" customHeight="1">
      <x:c r="A327" s="60" t="str">
        <x:v>MQ-0320</x:v>
      </x:c>
      <x:c r="B327" s="60" t="str">
        <x:v>AR04</x:v>
      </x:c>
      <x:c r="C327" s="60" t="n">
        <x:v>8</x:v>
      </x:c>
      <x:c r="D327" s="60" t="str">
        <x:v>ZONE-3</x:v>
      </x:c>
      <x:c r="E327" s="60" t="str">
        <x:v>m2</x:v>
      </x:c>
      <x:c r="F327" s="82" t="n">
        <x:v>0</x:v>
      </x:c>
      <x:c r="G327" s="78" t="n">
        <x:f>INDEX('Baseline'!$F$8:$F$39,MATCH(B327,'Baseline'!$A$8:$A$39,0))</x:f>
        <x:v>34.5</x:v>
      </x:c>
      <x:c r="H327" s="83" t="n">
        <x:f>F327*G327</x:f>
        <x:v>0</x:v>
      </x:c>
      <x:c r="I327" s="54"/>
      <x:c r="J327" s="54"/>
      <x:c r="K327" s="54"/>
      <x:c r="L327" s="54"/>
      <x:c r="M327" s="54"/>
      <x:c r="N327" s="54"/>
      <x:c r="O327" s="54"/>
      <x:c r="P327" s="54"/>
      <x:c r="Q327" s="54"/>
      <x:c r="R327" s="54"/>
      <x:c r="S327" s="54"/>
    </x:row>
    <x:row r="328" ht="23" customHeight="1">
      <x:c r="A328" s="58" t="str">
        <x:v>MQ-0321</x:v>
      </x:c>
      <x:c r="B328" s="58" t="str">
        <x:v>AR04</x:v>
      </x:c>
      <x:c r="C328" s="58" t="n">
        <x:v>9</x:v>
      </x:c>
      <x:c r="D328" s="58" t="str">
        <x:v>ZONE-3</x:v>
      </x:c>
      <x:c r="E328" s="58" t="str">
        <x:v>m2</x:v>
      </x:c>
      <x:c r="F328" s="79" t="n">
        <x:v>0</x:v>
      </x:c>
      <x:c r="G328" s="74" t="n">
        <x:f>INDEX('Baseline'!$F$8:$F$39,MATCH(B328,'Baseline'!$A$8:$A$39,0))</x:f>
        <x:v>34.5</x:v>
      </x:c>
      <x:c r="H328" s="80" t="n">
        <x:f>F328*G328</x:f>
        <x:v>0</x:v>
      </x:c>
      <x:c r="I328" s="54"/>
      <x:c r="J328" s="54"/>
      <x:c r="K328" s="54"/>
      <x:c r="L328" s="54"/>
      <x:c r="M328" s="54"/>
      <x:c r="N328" s="54"/>
      <x:c r="O328" s="54"/>
      <x:c r="P328" s="54"/>
      <x:c r="Q328" s="54"/>
      <x:c r="R328" s="54"/>
      <x:c r="S328" s="54"/>
    </x:row>
    <x:row r="329" ht="23" customHeight="1">
      <x:c r="A329" s="60" t="str">
        <x:v>MQ-0322</x:v>
      </x:c>
      <x:c r="B329" s="60" t="str">
        <x:v>AR04</x:v>
      </x:c>
      <x:c r="C329" s="60" t="n">
        <x:v>10</x:v>
      </x:c>
      <x:c r="D329" s="60" t="str">
        <x:v>ZONE-3</x:v>
      </x:c>
      <x:c r="E329" s="60" t="str">
        <x:v>m2</x:v>
      </x:c>
      <x:c r="F329" s="82" t="n">
        <x:v>0</x:v>
      </x:c>
      <x:c r="G329" s="78" t="n">
        <x:f>INDEX('Baseline'!$F$8:$F$39,MATCH(B329,'Baseline'!$A$8:$A$39,0))</x:f>
        <x:v>34.5</x:v>
      </x:c>
      <x:c r="H329" s="83" t="n">
        <x:f>F329*G329</x:f>
        <x:v>0</x:v>
      </x:c>
      <x:c r="I329" s="54"/>
      <x:c r="J329" s="54"/>
      <x:c r="K329" s="54"/>
      <x:c r="L329" s="54"/>
      <x:c r="M329" s="54"/>
      <x:c r="N329" s="54"/>
      <x:c r="O329" s="54"/>
      <x:c r="P329" s="54"/>
      <x:c r="Q329" s="54"/>
      <x:c r="R329" s="54"/>
      <x:c r="S329" s="54"/>
    </x:row>
    <x:row r="330" ht="23" customHeight="1">
      <x:c r="A330" s="58" t="str">
        <x:v>MQ-0323</x:v>
      </x:c>
      <x:c r="B330" s="58" t="str">
        <x:v>AR04</x:v>
      </x:c>
      <x:c r="C330" s="58" t="n">
        <x:v>11</x:v>
      </x:c>
      <x:c r="D330" s="58" t="str">
        <x:v>ZONE-3</x:v>
      </x:c>
      <x:c r="E330" s="58" t="str">
        <x:v>m2</x:v>
      </x:c>
      <x:c r="F330" s="79" t="n">
        <x:v>0</x:v>
      </x:c>
      <x:c r="G330" s="74" t="n">
        <x:f>INDEX('Baseline'!$F$8:$F$39,MATCH(B330,'Baseline'!$A$8:$A$39,0))</x:f>
        <x:v>34.5</x:v>
      </x:c>
      <x:c r="H330" s="80" t="n">
        <x:f>F330*G330</x:f>
        <x:v>0</x:v>
      </x:c>
      <x:c r="I330" s="54"/>
      <x:c r="J330" s="54"/>
      <x:c r="K330" s="54"/>
      <x:c r="L330" s="54"/>
      <x:c r="M330" s="54"/>
      <x:c r="N330" s="54"/>
      <x:c r="O330" s="54"/>
      <x:c r="P330" s="54"/>
      <x:c r="Q330" s="54"/>
      <x:c r="R330" s="54"/>
      <x:c r="S330" s="54"/>
    </x:row>
    <x:row r="331" ht="23" customHeight="1">
      <x:c r="A331" s="60" t="str">
        <x:v>MQ-0324</x:v>
      </x:c>
      <x:c r="B331" s="60" t="str">
        <x:v>AR04</x:v>
      </x:c>
      <x:c r="C331" s="60" t="n">
        <x:v>12</x:v>
      </x:c>
      <x:c r="D331" s="60" t="str">
        <x:v>ZONE-3</x:v>
      </x:c>
      <x:c r="E331" s="60" t="str">
        <x:v>m2</x:v>
      </x:c>
      <x:c r="F331" s="82" t="n">
        <x:v>0</x:v>
      </x:c>
      <x:c r="G331" s="78" t="n">
        <x:f>INDEX('Baseline'!$F$8:$F$39,MATCH(B331,'Baseline'!$A$8:$A$39,0))</x:f>
        <x:v>34.5</x:v>
      </x:c>
      <x:c r="H331" s="83" t="n">
        <x:f>F331*G331</x:f>
        <x:v>0</x:v>
      </x:c>
      <x:c r="I331" s="54"/>
      <x:c r="J331" s="54"/>
      <x:c r="K331" s="54"/>
      <x:c r="L331" s="54"/>
      <x:c r="M331" s="54"/>
      <x:c r="N331" s="54"/>
      <x:c r="O331" s="54"/>
      <x:c r="P331" s="54"/>
      <x:c r="Q331" s="54"/>
      <x:c r="R331" s="54"/>
      <x:c r="S331" s="54"/>
    </x:row>
    <x:row r="332" ht="23" customHeight="1">
      <x:c r="A332" s="58" t="str">
        <x:v>MQ-0325</x:v>
      </x:c>
      <x:c r="B332" s="58" t="str">
        <x:v>AR05</x:v>
      </x:c>
      <x:c r="C332" s="58" t="n">
        <x:v>1</x:v>
      </x:c>
      <x:c r="D332" s="58" t="str">
        <x:v>ZONE-4</x:v>
      </x:c>
      <x:c r="E332" s="58" t="str">
        <x:v>m2</x:v>
      </x:c>
      <x:c r="F332" s="79" t="n">
        <x:v>0</x:v>
      </x:c>
      <x:c r="G332" s="74" t="n">
        <x:f>INDEX('Baseline'!$F$8:$F$39,MATCH(B332,'Baseline'!$A$8:$A$39,0))</x:f>
        <x:v>8.5</x:v>
      </x:c>
      <x:c r="H332" s="80" t="n">
        <x:f>F332*G332</x:f>
        <x:v>0</x:v>
      </x:c>
      <x:c r="I332" s="54"/>
      <x:c r="J332" s="54"/>
      <x:c r="K332" s="54"/>
      <x:c r="L332" s="54"/>
      <x:c r="M332" s="54"/>
      <x:c r="N332" s="54"/>
      <x:c r="O332" s="54"/>
      <x:c r="P332" s="54"/>
      <x:c r="Q332" s="54"/>
      <x:c r="R332" s="54"/>
      <x:c r="S332" s="54"/>
    </x:row>
    <x:row r="333" ht="23" customHeight="1">
      <x:c r="A333" s="60" t="str">
        <x:v>MQ-0326</x:v>
      </x:c>
      <x:c r="B333" s="60" t="str">
        <x:v>AR05</x:v>
      </x:c>
      <x:c r="C333" s="60" t="n">
        <x:v>2</x:v>
      </x:c>
      <x:c r="D333" s="60" t="str">
        <x:v>ZONE-4</x:v>
      </x:c>
      <x:c r="E333" s="60" t="str">
        <x:v>m2</x:v>
      </x:c>
      <x:c r="F333" s="82" t="n">
        <x:v>0</x:v>
      </x:c>
      <x:c r="G333" s="78" t="n">
        <x:f>INDEX('Baseline'!$F$8:$F$39,MATCH(B333,'Baseline'!$A$8:$A$39,0))</x:f>
        <x:v>8.5</x:v>
      </x:c>
      <x:c r="H333" s="83" t="n">
        <x:f>F333*G333</x:f>
        <x:v>0</x:v>
      </x:c>
      <x:c r="I333" s="54"/>
      <x:c r="J333" s="54"/>
      <x:c r="K333" s="54"/>
      <x:c r="L333" s="54"/>
      <x:c r="M333" s="54"/>
      <x:c r="N333" s="54"/>
      <x:c r="O333" s="54"/>
      <x:c r="P333" s="54"/>
      <x:c r="Q333" s="54"/>
      <x:c r="R333" s="54"/>
      <x:c r="S333" s="54"/>
    </x:row>
    <x:row r="334" ht="23" customHeight="1">
      <x:c r="A334" s="58" t="str">
        <x:v>MQ-0327</x:v>
      </x:c>
      <x:c r="B334" s="58" t="str">
        <x:v>AR05</x:v>
      </x:c>
      <x:c r="C334" s="58" t="n">
        <x:v>3</x:v>
      </x:c>
      <x:c r="D334" s="58" t="str">
        <x:v>ZONE-4</x:v>
      </x:c>
      <x:c r="E334" s="58" t="str">
        <x:v>m2</x:v>
      </x:c>
      <x:c r="F334" s="79" t="n">
        <x:v>0</x:v>
      </x:c>
      <x:c r="G334" s="74" t="n">
        <x:f>INDEX('Baseline'!$F$8:$F$39,MATCH(B334,'Baseline'!$A$8:$A$39,0))</x:f>
        <x:v>8.5</x:v>
      </x:c>
      <x:c r="H334" s="80" t="n">
        <x:f>F334*G334</x:f>
        <x:v>0</x:v>
      </x:c>
      <x:c r="I334" s="54"/>
      <x:c r="J334" s="54"/>
      <x:c r="K334" s="54"/>
      <x:c r="L334" s="54"/>
      <x:c r="M334" s="54"/>
      <x:c r="N334" s="54"/>
      <x:c r="O334" s="54"/>
      <x:c r="P334" s="54"/>
      <x:c r="Q334" s="54"/>
      <x:c r="R334" s="54"/>
      <x:c r="S334" s="54"/>
    </x:row>
    <x:row r="335" ht="23" customHeight="1">
      <x:c r="A335" s="60" t="str">
        <x:v>MQ-0328</x:v>
      </x:c>
      <x:c r="B335" s="60" t="str">
        <x:v>AR05</x:v>
      </x:c>
      <x:c r="C335" s="60" t="n">
        <x:v>4</x:v>
      </x:c>
      <x:c r="D335" s="60" t="str">
        <x:v>ZONE-4</x:v>
      </x:c>
      <x:c r="E335" s="60" t="str">
        <x:v>m2</x:v>
      </x:c>
      <x:c r="F335" s="82" t="n">
        <x:v>0</x:v>
      </x:c>
      <x:c r="G335" s="78" t="n">
        <x:f>INDEX('Baseline'!$F$8:$F$39,MATCH(B335,'Baseline'!$A$8:$A$39,0))</x:f>
        <x:v>8.5</x:v>
      </x:c>
      <x:c r="H335" s="83" t="n">
        <x:f>F335*G335</x:f>
        <x:v>0</x:v>
      </x:c>
      <x:c r="I335" s="54"/>
      <x:c r="J335" s="54"/>
      <x:c r="K335" s="54"/>
      <x:c r="L335" s="54"/>
      <x:c r="M335" s="54"/>
      <x:c r="N335" s="54"/>
      <x:c r="O335" s="54"/>
      <x:c r="P335" s="54"/>
      <x:c r="Q335" s="54"/>
      <x:c r="R335" s="54"/>
      <x:c r="S335" s="54"/>
    </x:row>
    <x:row r="336" ht="23" customHeight="1">
      <x:c r="A336" s="58" t="str">
        <x:v>MQ-0329</x:v>
      </x:c>
      <x:c r="B336" s="58" t="str">
        <x:v>AR05</x:v>
      </x:c>
      <x:c r="C336" s="58" t="n">
        <x:v>5</x:v>
      </x:c>
      <x:c r="D336" s="58" t="str">
        <x:v>ZONE-4</x:v>
      </x:c>
      <x:c r="E336" s="58" t="str">
        <x:v>m2</x:v>
      </x:c>
      <x:c r="F336" s="79" t="n">
        <x:v>0</x:v>
      </x:c>
      <x:c r="G336" s="74" t="n">
        <x:f>INDEX('Baseline'!$F$8:$F$39,MATCH(B336,'Baseline'!$A$8:$A$39,0))</x:f>
        <x:v>8.5</x:v>
      </x:c>
      <x:c r="H336" s="80" t="n">
        <x:f>F336*G336</x:f>
        <x:v>0</x:v>
      </x:c>
      <x:c r="I336" s="54"/>
      <x:c r="J336" s="54"/>
      <x:c r="K336" s="54"/>
      <x:c r="L336" s="54"/>
      <x:c r="M336" s="54"/>
      <x:c r="N336" s="54"/>
      <x:c r="O336" s="54"/>
      <x:c r="P336" s="54"/>
      <x:c r="Q336" s="54"/>
      <x:c r="R336" s="54"/>
      <x:c r="S336" s="54"/>
    </x:row>
    <x:row r="337" ht="23" customHeight="1">
      <x:c r="A337" s="60" t="str">
        <x:v>MQ-0330</x:v>
      </x:c>
      <x:c r="B337" s="60" t="str">
        <x:v>AR05</x:v>
      </x:c>
      <x:c r="C337" s="60" t="n">
        <x:v>6</x:v>
      </x:c>
      <x:c r="D337" s="60" t="str">
        <x:v>ZONE-4</x:v>
      </x:c>
      <x:c r="E337" s="60" t="str">
        <x:v>m2</x:v>
      </x:c>
      <x:c r="F337" s="82" t="n">
        <x:v>0</x:v>
      </x:c>
      <x:c r="G337" s="78" t="n">
        <x:f>INDEX('Baseline'!$F$8:$F$39,MATCH(B337,'Baseline'!$A$8:$A$39,0))</x:f>
        <x:v>8.5</x:v>
      </x:c>
      <x:c r="H337" s="83" t="n">
        <x:f>F337*G337</x:f>
        <x:v>0</x:v>
      </x:c>
      <x:c r="I337" s="54"/>
      <x:c r="J337" s="54"/>
      <x:c r="K337" s="54"/>
      <x:c r="L337" s="54"/>
      <x:c r="M337" s="54"/>
      <x:c r="N337" s="54"/>
      <x:c r="O337" s="54"/>
      <x:c r="P337" s="54"/>
      <x:c r="Q337" s="54"/>
      <x:c r="R337" s="54"/>
      <x:c r="S337" s="54"/>
    </x:row>
    <x:row r="338" ht="23" customHeight="1">
      <x:c r="A338" s="58" t="str">
        <x:v>MQ-0331</x:v>
      </x:c>
      <x:c r="B338" s="58" t="str">
        <x:v>AR05</x:v>
      </x:c>
      <x:c r="C338" s="58" t="n">
        <x:v>7</x:v>
      </x:c>
      <x:c r="D338" s="58" t="str">
        <x:v>ZONE-4</x:v>
      </x:c>
      <x:c r="E338" s="58" t="str">
        <x:v>m2</x:v>
      </x:c>
      <x:c r="F338" s="79" t="n">
        <x:v>0</x:v>
      </x:c>
      <x:c r="G338" s="74" t="n">
        <x:f>INDEX('Baseline'!$F$8:$F$39,MATCH(B338,'Baseline'!$A$8:$A$39,0))</x:f>
        <x:v>8.5</x:v>
      </x:c>
      <x:c r="H338" s="80" t="n">
        <x:f>F338*G338</x:f>
        <x:v>0</x:v>
      </x:c>
      <x:c r="I338" s="54"/>
      <x:c r="J338" s="54"/>
      <x:c r="K338" s="54"/>
      <x:c r="L338" s="54"/>
      <x:c r="M338" s="54"/>
      <x:c r="N338" s="54"/>
      <x:c r="O338" s="54"/>
      <x:c r="P338" s="54"/>
      <x:c r="Q338" s="54"/>
      <x:c r="R338" s="54"/>
      <x:c r="S338" s="54"/>
    </x:row>
    <x:row r="339" ht="23" customHeight="1">
      <x:c r="A339" s="60" t="str">
        <x:v>MQ-0332</x:v>
      </x:c>
      <x:c r="B339" s="60" t="str">
        <x:v>AR05</x:v>
      </x:c>
      <x:c r="C339" s="60" t="n">
        <x:v>8</x:v>
      </x:c>
      <x:c r="D339" s="60" t="str">
        <x:v>ZONE-4</x:v>
      </x:c>
      <x:c r="E339" s="60" t="str">
        <x:v>m2</x:v>
      </x:c>
      <x:c r="F339" s="82" t="n">
        <x:v>0</x:v>
      </x:c>
      <x:c r="G339" s="78" t="n">
        <x:f>INDEX('Baseline'!$F$8:$F$39,MATCH(B339,'Baseline'!$A$8:$A$39,0))</x:f>
        <x:v>8.5</x:v>
      </x:c>
      <x:c r="H339" s="83" t="n">
        <x:f>F339*G339</x:f>
        <x:v>0</x:v>
      </x:c>
      <x:c r="I339" s="54"/>
      <x:c r="J339" s="54"/>
      <x:c r="K339" s="54"/>
      <x:c r="L339" s="54"/>
      <x:c r="M339" s="54"/>
      <x:c r="N339" s="54"/>
      <x:c r="O339" s="54"/>
      <x:c r="P339" s="54"/>
      <x:c r="Q339" s="54"/>
      <x:c r="R339" s="54"/>
      <x:c r="S339" s="54"/>
    </x:row>
    <x:row r="340" ht="23" customHeight="1">
      <x:c r="A340" s="58" t="str">
        <x:v>MQ-0333</x:v>
      </x:c>
      <x:c r="B340" s="58" t="str">
        <x:v>AR05</x:v>
      </x:c>
      <x:c r="C340" s="58" t="n">
        <x:v>9</x:v>
      </x:c>
      <x:c r="D340" s="58" t="str">
        <x:v>ZONE-4</x:v>
      </x:c>
      <x:c r="E340" s="58" t="str">
        <x:v>m2</x:v>
      </x:c>
      <x:c r="F340" s="79" t="n">
        <x:v>0</x:v>
      </x:c>
      <x:c r="G340" s="74" t="n">
        <x:f>INDEX('Baseline'!$F$8:$F$39,MATCH(B340,'Baseline'!$A$8:$A$39,0))</x:f>
        <x:v>8.5</x:v>
      </x:c>
      <x:c r="H340" s="80" t="n">
        <x:f>F340*G340</x:f>
        <x:v>0</x:v>
      </x:c>
      <x:c r="I340" s="54"/>
      <x:c r="J340" s="54"/>
      <x:c r="K340" s="54"/>
      <x:c r="L340" s="54"/>
      <x:c r="M340" s="54"/>
      <x:c r="N340" s="54"/>
      <x:c r="O340" s="54"/>
      <x:c r="P340" s="54"/>
      <x:c r="Q340" s="54"/>
      <x:c r="R340" s="54"/>
      <x:c r="S340" s="54"/>
    </x:row>
    <x:row r="341" ht="23" customHeight="1">
      <x:c r="A341" s="60" t="str">
        <x:v>MQ-0334</x:v>
      </x:c>
      <x:c r="B341" s="60" t="str">
        <x:v>AR05</x:v>
      </x:c>
      <x:c r="C341" s="60" t="n">
        <x:v>10</x:v>
      </x:c>
      <x:c r="D341" s="60" t="str">
        <x:v>ZONE-4</x:v>
      </x:c>
      <x:c r="E341" s="60" t="str">
        <x:v>m2</x:v>
      </x:c>
      <x:c r="F341" s="82" t="n">
        <x:v>0</x:v>
      </x:c>
      <x:c r="G341" s="78" t="n">
        <x:f>INDEX('Baseline'!$F$8:$F$39,MATCH(B341,'Baseline'!$A$8:$A$39,0))</x:f>
        <x:v>8.5</x:v>
      </x:c>
      <x:c r="H341" s="83" t="n">
        <x:f>F341*G341</x:f>
        <x:v>0</x:v>
      </x:c>
      <x:c r="I341" s="54"/>
      <x:c r="J341" s="54"/>
      <x:c r="K341" s="54"/>
      <x:c r="L341" s="54"/>
      <x:c r="M341" s="54"/>
      <x:c r="N341" s="54"/>
      <x:c r="O341" s="54"/>
      <x:c r="P341" s="54"/>
      <x:c r="Q341" s="54"/>
      <x:c r="R341" s="54"/>
      <x:c r="S341" s="54"/>
    </x:row>
    <x:row r="342" ht="23" customHeight="1">
      <x:c r="A342" s="58" t="str">
        <x:v>MQ-0335</x:v>
      </x:c>
      <x:c r="B342" s="58" t="str">
        <x:v>AR05</x:v>
      </x:c>
      <x:c r="C342" s="58" t="n">
        <x:v>11</x:v>
      </x:c>
      <x:c r="D342" s="58" t="str">
        <x:v>ZONE-4</x:v>
      </x:c>
      <x:c r="E342" s="58" t="str">
        <x:v>m2</x:v>
      </x:c>
      <x:c r="F342" s="79" t="n">
        <x:v>0</x:v>
      </x:c>
      <x:c r="G342" s="74" t="n">
        <x:f>INDEX('Baseline'!$F$8:$F$39,MATCH(B342,'Baseline'!$A$8:$A$39,0))</x:f>
        <x:v>8.5</x:v>
      </x:c>
      <x:c r="H342" s="80" t="n">
        <x:f>F342*G342</x:f>
        <x:v>0</x:v>
      </x:c>
      <x:c r="I342" s="54"/>
      <x:c r="J342" s="54"/>
      <x:c r="K342" s="54"/>
      <x:c r="L342" s="54"/>
      <x:c r="M342" s="54"/>
      <x:c r="N342" s="54"/>
      <x:c r="O342" s="54"/>
      <x:c r="P342" s="54"/>
      <x:c r="Q342" s="54"/>
      <x:c r="R342" s="54"/>
      <x:c r="S342" s="54"/>
    </x:row>
    <x:row r="343" ht="23" customHeight="1">
      <x:c r="A343" s="60" t="str">
        <x:v>MQ-0336</x:v>
      </x:c>
      <x:c r="B343" s="60" t="str">
        <x:v>AR05</x:v>
      </x:c>
      <x:c r="C343" s="60" t="n">
        <x:v>12</x:v>
      </x:c>
      <x:c r="D343" s="60" t="str">
        <x:v>ZONE-4</x:v>
      </x:c>
      <x:c r="E343" s="60" t="str">
        <x:v>m2</x:v>
      </x:c>
      <x:c r="F343" s="82" t="n">
        <x:v>0</x:v>
      </x:c>
      <x:c r="G343" s="78" t="n">
        <x:f>INDEX('Baseline'!$F$8:$F$39,MATCH(B343,'Baseline'!$A$8:$A$39,0))</x:f>
        <x:v>8.5</x:v>
      </x:c>
      <x:c r="H343" s="83" t="n">
        <x:f>F343*G343</x:f>
        <x:v>0</x:v>
      </x:c>
      <x:c r="I343" s="54"/>
      <x:c r="J343" s="54"/>
      <x:c r="K343" s="54"/>
      <x:c r="L343" s="54"/>
      <x:c r="M343" s="54"/>
      <x:c r="N343" s="54"/>
      <x:c r="O343" s="54"/>
      <x:c r="P343" s="54"/>
      <x:c r="Q343" s="54"/>
      <x:c r="R343" s="54"/>
      <x:c r="S343" s="54"/>
    </x:row>
    <x:row r="344" ht="23" customHeight="1">
      <x:c r="A344" s="58" t="str">
        <x:v>MQ-0337</x:v>
      </x:c>
      <x:c r="B344" s="58" t="str">
        <x:v>AR06</x:v>
      </x:c>
      <x:c r="C344" s="58" t="n">
        <x:v>1</x:v>
      </x:c>
      <x:c r="D344" s="58" t="str">
        <x:v>ZONE-5</x:v>
      </x:c>
      <x:c r="E344" s="58" t="str">
        <x:v>nr</x:v>
      </x:c>
      <x:c r="F344" s="79" t="n">
        <x:v>0</x:v>
      </x:c>
      <x:c r="G344" s="74" t="n">
        <x:f>INDEX('Baseline'!$F$8:$F$39,MATCH(B344,'Baseline'!$A$8:$A$39,0))</x:f>
        <x:v>207</x:v>
      </x:c>
      <x:c r="H344" s="80" t="n">
        <x:f>F344*G344</x:f>
        <x:v>0</x:v>
      </x:c>
      <x:c r="I344" s="54"/>
      <x:c r="J344" s="54"/>
      <x:c r="K344" s="54"/>
      <x:c r="L344" s="54"/>
      <x:c r="M344" s="54"/>
      <x:c r="N344" s="54"/>
      <x:c r="O344" s="54"/>
      <x:c r="P344" s="54"/>
      <x:c r="Q344" s="54"/>
      <x:c r="R344" s="54"/>
      <x:c r="S344" s="54"/>
    </x:row>
    <x:row r="345" ht="23" customHeight="1">
      <x:c r="A345" s="60" t="str">
        <x:v>MQ-0338</x:v>
      </x:c>
      <x:c r="B345" s="60" t="str">
        <x:v>AR06</x:v>
      </x:c>
      <x:c r="C345" s="60" t="n">
        <x:v>2</x:v>
      </x:c>
      <x:c r="D345" s="60" t="str">
        <x:v>ZONE-5</x:v>
      </x:c>
      <x:c r="E345" s="60" t="str">
        <x:v>nr</x:v>
      </x:c>
      <x:c r="F345" s="82" t="n">
        <x:v>0</x:v>
      </x:c>
      <x:c r="G345" s="78" t="n">
        <x:f>INDEX('Baseline'!$F$8:$F$39,MATCH(B345,'Baseline'!$A$8:$A$39,0))</x:f>
        <x:v>207</x:v>
      </x:c>
      <x:c r="H345" s="83" t="n">
        <x:f>F345*G345</x:f>
        <x:v>0</x:v>
      </x:c>
      <x:c r="I345" s="54"/>
      <x:c r="J345" s="54"/>
      <x:c r="K345" s="54"/>
      <x:c r="L345" s="54"/>
      <x:c r="M345" s="54"/>
      <x:c r="N345" s="54"/>
      <x:c r="O345" s="54"/>
      <x:c r="P345" s="54"/>
      <x:c r="Q345" s="54"/>
      <x:c r="R345" s="54"/>
      <x:c r="S345" s="54"/>
    </x:row>
    <x:row r="346" ht="23" customHeight="1">
      <x:c r="A346" s="58" t="str">
        <x:v>MQ-0339</x:v>
      </x:c>
      <x:c r="B346" s="58" t="str">
        <x:v>AR06</x:v>
      </x:c>
      <x:c r="C346" s="58" t="n">
        <x:v>3</x:v>
      </x:c>
      <x:c r="D346" s="58" t="str">
        <x:v>ZONE-5</x:v>
      </x:c>
      <x:c r="E346" s="58" t="str">
        <x:v>nr</x:v>
      </x:c>
      <x:c r="F346" s="79" t="n">
        <x:v>0</x:v>
      </x:c>
      <x:c r="G346" s="74" t="n">
        <x:f>INDEX('Baseline'!$F$8:$F$39,MATCH(B346,'Baseline'!$A$8:$A$39,0))</x:f>
        <x:v>207</x:v>
      </x:c>
      <x:c r="H346" s="80" t="n">
        <x:f>F346*G346</x:f>
        <x:v>0</x:v>
      </x:c>
      <x:c r="I346" s="54"/>
      <x:c r="J346" s="54"/>
      <x:c r="K346" s="54"/>
      <x:c r="L346" s="54"/>
      <x:c r="M346" s="54"/>
      <x:c r="N346" s="54"/>
      <x:c r="O346" s="54"/>
      <x:c r="P346" s="54"/>
      <x:c r="Q346" s="54"/>
      <x:c r="R346" s="54"/>
      <x:c r="S346" s="54"/>
    </x:row>
    <x:row r="347" ht="23" customHeight="1">
      <x:c r="A347" s="60" t="str">
        <x:v>MQ-0340</x:v>
      </x:c>
      <x:c r="B347" s="60" t="str">
        <x:v>AR06</x:v>
      </x:c>
      <x:c r="C347" s="60" t="n">
        <x:v>4</x:v>
      </x:c>
      <x:c r="D347" s="60" t="str">
        <x:v>ZONE-5</x:v>
      </x:c>
      <x:c r="E347" s="60" t="str">
        <x:v>nr</x:v>
      </x:c>
      <x:c r="F347" s="82" t="n">
        <x:v>0</x:v>
      </x:c>
      <x:c r="G347" s="78" t="n">
        <x:f>INDEX('Baseline'!$F$8:$F$39,MATCH(B347,'Baseline'!$A$8:$A$39,0))</x:f>
        <x:v>207</x:v>
      </x:c>
      <x:c r="H347" s="83" t="n">
        <x:f>F347*G347</x:f>
        <x:v>0</x:v>
      </x:c>
      <x:c r="I347" s="54"/>
      <x:c r="J347" s="54"/>
      <x:c r="K347" s="54"/>
      <x:c r="L347" s="54"/>
      <x:c r="M347" s="54"/>
      <x:c r="N347" s="54"/>
      <x:c r="O347" s="54"/>
      <x:c r="P347" s="54"/>
      <x:c r="Q347" s="54"/>
      <x:c r="R347" s="54"/>
      <x:c r="S347" s="54"/>
    </x:row>
    <x:row r="348" ht="23" customHeight="1">
      <x:c r="A348" s="58" t="str">
        <x:v>MQ-0341</x:v>
      </x:c>
      <x:c r="B348" s="58" t="str">
        <x:v>AR06</x:v>
      </x:c>
      <x:c r="C348" s="58" t="n">
        <x:v>5</x:v>
      </x:c>
      <x:c r="D348" s="58" t="str">
        <x:v>ZONE-5</x:v>
      </x:c>
      <x:c r="E348" s="58" t="str">
        <x:v>nr</x:v>
      </x:c>
      <x:c r="F348" s="79" t="n">
        <x:v>0</x:v>
      </x:c>
      <x:c r="G348" s="74" t="n">
        <x:f>INDEX('Baseline'!$F$8:$F$39,MATCH(B348,'Baseline'!$A$8:$A$39,0))</x:f>
        <x:v>207</x:v>
      </x:c>
      <x:c r="H348" s="80" t="n">
        <x:f>F348*G348</x:f>
        <x:v>0</x:v>
      </x:c>
      <x:c r="I348" s="54"/>
      <x:c r="J348" s="54"/>
      <x:c r="K348" s="54"/>
      <x:c r="L348" s="54"/>
      <x:c r="M348" s="54"/>
      <x:c r="N348" s="54"/>
      <x:c r="O348" s="54"/>
      <x:c r="P348" s="54"/>
      <x:c r="Q348" s="54"/>
      <x:c r="R348" s="54"/>
      <x:c r="S348" s="54"/>
    </x:row>
    <x:row r="349" ht="23" customHeight="1">
      <x:c r="A349" s="60" t="str">
        <x:v>MQ-0342</x:v>
      </x:c>
      <x:c r="B349" s="60" t="str">
        <x:v>AR06</x:v>
      </x:c>
      <x:c r="C349" s="60" t="n">
        <x:v>6</x:v>
      </x:c>
      <x:c r="D349" s="60" t="str">
        <x:v>ZONE-5</x:v>
      </x:c>
      <x:c r="E349" s="60" t="str">
        <x:v>nr</x:v>
      </x:c>
      <x:c r="F349" s="82" t="n">
        <x:v>0</x:v>
      </x:c>
      <x:c r="G349" s="78" t="n">
        <x:f>INDEX('Baseline'!$F$8:$F$39,MATCH(B349,'Baseline'!$A$8:$A$39,0))</x:f>
        <x:v>207</x:v>
      </x:c>
      <x:c r="H349" s="83" t="n">
        <x:f>F349*G349</x:f>
        <x:v>0</x:v>
      </x:c>
      <x:c r="I349" s="54"/>
      <x:c r="J349" s="54"/>
      <x:c r="K349" s="54"/>
      <x:c r="L349" s="54"/>
      <x:c r="M349" s="54"/>
      <x:c r="N349" s="54"/>
      <x:c r="O349" s="54"/>
      <x:c r="P349" s="54"/>
      <x:c r="Q349" s="54"/>
      <x:c r="R349" s="54"/>
      <x:c r="S349" s="54"/>
    </x:row>
    <x:row r="350" ht="23" customHeight="1">
      <x:c r="A350" s="58" t="str">
        <x:v>MQ-0343</x:v>
      </x:c>
      <x:c r="B350" s="58" t="str">
        <x:v>AR06</x:v>
      </x:c>
      <x:c r="C350" s="58" t="n">
        <x:v>7</x:v>
      </x:c>
      <x:c r="D350" s="58" t="str">
        <x:v>ZONE-5</x:v>
      </x:c>
      <x:c r="E350" s="58" t="str">
        <x:v>nr</x:v>
      </x:c>
      <x:c r="F350" s="79" t="n">
        <x:v>0</x:v>
      </x:c>
      <x:c r="G350" s="74" t="n">
        <x:f>INDEX('Baseline'!$F$8:$F$39,MATCH(B350,'Baseline'!$A$8:$A$39,0))</x:f>
        <x:v>207</x:v>
      </x:c>
      <x:c r="H350" s="80" t="n">
        <x:f>F350*G350</x:f>
        <x:v>0</x:v>
      </x:c>
      <x:c r="I350" s="54"/>
      <x:c r="J350" s="54"/>
      <x:c r="K350" s="54"/>
      <x:c r="L350" s="54"/>
      <x:c r="M350" s="54"/>
      <x:c r="N350" s="54"/>
      <x:c r="O350" s="54"/>
      <x:c r="P350" s="54"/>
      <x:c r="Q350" s="54"/>
      <x:c r="R350" s="54"/>
      <x:c r="S350" s="54"/>
    </x:row>
    <x:row r="351" ht="23" customHeight="1">
      <x:c r="A351" s="60" t="str">
        <x:v>MQ-0344</x:v>
      </x:c>
      <x:c r="B351" s="60" t="str">
        <x:v>AR06</x:v>
      </x:c>
      <x:c r="C351" s="60" t="n">
        <x:v>8</x:v>
      </x:c>
      <x:c r="D351" s="60" t="str">
        <x:v>ZONE-5</x:v>
      </x:c>
      <x:c r="E351" s="60" t="str">
        <x:v>nr</x:v>
      </x:c>
      <x:c r="F351" s="82" t="n">
        <x:v>0</x:v>
      </x:c>
      <x:c r="G351" s="78" t="n">
        <x:f>INDEX('Baseline'!$F$8:$F$39,MATCH(B351,'Baseline'!$A$8:$A$39,0))</x:f>
        <x:v>207</x:v>
      </x:c>
      <x:c r="H351" s="83" t="n">
        <x:f>F351*G351</x:f>
        <x:v>0</x:v>
      </x:c>
      <x:c r="I351" s="54"/>
      <x:c r="J351" s="54"/>
      <x:c r="K351" s="54"/>
      <x:c r="L351" s="54"/>
      <x:c r="M351" s="54"/>
      <x:c r="N351" s="54"/>
      <x:c r="O351" s="54"/>
      <x:c r="P351" s="54"/>
      <x:c r="Q351" s="54"/>
      <x:c r="R351" s="54"/>
      <x:c r="S351" s="54"/>
    </x:row>
    <x:row r="352" ht="23" customHeight="1">
      <x:c r="A352" s="58" t="str">
        <x:v>MQ-0345</x:v>
      </x:c>
      <x:c r="B352" s="58" t="str">
        <x:v>AR06</x:v>
      </x:c>
      <x:c r="C352" s="58" t="n">
        <x:v>9</x:v>
      </x:c>
      <x:c r="D352" s="58" t="str">
        <x:v>ZONE-5</x:v>
      </x:c>
      <x:c r="E352" s="58" t="str">
        <x:v>nr</x:v>
      </x:c>
      <x:c r="F352" s="79" t="n">
        <x:v>0</x:v>
      </x:c>
      <x:c r="G352" s="74" t="n">
        <x:f>INDEX('Baseline'!$F$8:$F$39,MATCH(B352,'Baseline'!$A$8:$A$39,0))</x:f>
        <x:v>207</x:v>
      </x:c>
      <x:c r="H352" s="80" t="n">
        <x:f>F352*G352</x:f>
        <x:v>0</x:v>
      </x:c>
      <x:c r="I352" s="54"/>
      <x:c r="J352" s="54"/>
      <x:c r="K352" s="54"/>
      <x:c r="L352" s="54"/>
      <x:c r="M352" s="54"/>
      <x:c r="N352" s="54"/>
      <x:c r="O352" s="54"/>
      <x:c r="P352" s="54"/>
      <x:c r="Q352" s="54"/>
      <x:c r="R352" s="54"/>
      <x:c r="S352" s="54"/>
    </x:row>
    <x:row r="353" ht="23" customHeight="1">
      <x:c r="A353" s="60" t="str">
        <x:v>MQ-0346</x:v>
      </x:c>
      <x:c r="B353" s="60" t="str">
        <x:v>AR06</x:v>
      </x:c>
      <x:c r="C353" s="60" t="n">
        <x:v>10</x:v>
      </x:c>
      <x:c r="D353" s="60" t="str">
        <x:v>ZONE-5</x:v>
      </x:c>
      <x:c r="E353" s="60" t="str">
        <x:v>nr</x:v>
      </x:c>
      <x:c r="F353" s="82" t="n">
        <x:v>0</x:v>
      </x:c>
      <x:c r="G353" s="78" t="n">
        <x:f>INDEX('Baseline'!$F$8:$F$39,MATCH(B353,'Baseline'!$A$8:$A$39,0))</x:f>
        <x:v>207</x:v>
      </x:c>
      <x:c r="H353" s="83" t="n">
        <x:f>F353*G353</x:f>
        <x:v>0</x:v>
      </x:c>
      <x:c r="I353" s="54"/>
      <x:c r="J353" s="54"/>
      <x:c r="K353" s="54"/>
      <x:c r="L353" s="54"/>
      <x:c r="M353" s="54"/>
      <x:c r="N353" s="54"/>
      <x:c r="O353" s="54"/>
      <x:c r="P353" s="54"/>
      <x:c r="Q353" s="54"/>
      <x:c r="R353" s="54"/>
      <x:c r="S353" s="54"/>
    </x:row>
    <x:row r="354" ht="23" customHeight="1">
      <x:c r="A354" s="58" t="str">
        <x:v>MQ-0347</x:v>
      </x:c>
      <x:c r="B354" s="58" t="str">
        <x:v>AR06</x:v>
      </x:c>
      <x:c r="C354" s="58" t="n">
        <x:v>11</x:v>
      </x:c>
      <x:c r="D354" s="58" t="str">
        <x:v>ZONE-5</x:v>
      </x:c>
      <x:c r="E354" s="58" t="str">
        <x:v>nr</x:v>
      </x:c>
      <x:c r="F354" s="79" t="n">
        <x:v>0</x:v>
      </x:c>
      <x:c r="G354" s="74" t="n">
        <x:f>INDEX('Baseline'!$F$8:$F$39,MATCH(B354,'Baseline'!$A$8:$A$39,0))</x:f>
        <x:v>207</x:v>
      </x:c>
      <x:c r="H354" s="80" t="n">
        <x:f>F354*G354</x:f>
        <x:v>0</x:v>
      </x:c>
      <x:c r="I354" s="54"/>
      <x:c r="J354" s="54"/>
      <x:c r="K354" s="54"/>
      <x:c r="L354" s="54"/>
      <x:c r="M354" s="54"/>
      <x:c r="N354" s="54"/>
      <x:c r="O354" s="54"/>
      <x:c r="P354" s="54"/>
      <x:c r="Q354" s="54"/>
      <x:c r="R354" s="54"/>
      <x:c r="S354" s="54"/>
    </x:row>
    <x:row r="355" ht="23" customHeight="1">
      <x:c r="A355" s="60" t="str">
        <x:v>MQ-0348</x:v>
      </x:c>
      <x:c r="B355" s="60" t="str">
        <x:v>AR06</x:v>
      </x:c>
      <x:c r="C355" s="60" t="n">
        <x:v>12</x:v>
      </x:c>
      <x:c r="D355" s="60" t="str">
        <x:v>ZONE-5</x:v>
      </x:c>
      <x:c r="E355" s="60" t="str">
        <x:v>nr</x:v>
      </x:c>
      <x:c r="F355" s="82" t="n">
        <x:v>0</x:v>
      </x:c>
      <x:c r="G355" s="78" t="n">
        <x:f>INDEX('Baseline'!$F$8:$F$39,MATCH(B355,'Baseline'!$A$8:$A$39,0))</x:f>
        <x:v>207</x:v>
      </x:c>
      <x:c r="H355" s="83" t="n">
        <x:f>F355*G355</x:f>
        <x:v>0</x:v>
      </x:c>
      <x:c r="I355" s="54"/>
      <x:c r="J355" s="54"/>
      <x:c r="K355" s="54"/>
      <x:c r="L355" s="54"/>
      <x:c r="M355" s="54"/>
      <x:c r="N355" s="54"/>
      <x:c r="O355" s="54"/>
      <x:c r="P355" s="54"/>
      <x:c r="Q355" s="54"/>
      <x:c r="R355" s="54"/>
      <x:c r="S355" s="54"/>
    </x:row>
    <x:row r="356" ht="23" customHeight="1">
      <x:c r="A356" s="58" t="str">
        <x:v>MQ-0349</x:v>
      </x:c>
      <x:c r="B356" s="58" t="str">
        <x:v>EX01</x:v>
      </x:c>
      <x:c r="C356" s="58" t="n">
        <x:v>1</x:v>
      </x:c>
      <x:c r="D356" s="58" t="str">
        <x:v>ZONE-6</x:v>
      </x:c>
      <x:c r="E356" s="58" t="str">
        <x:v>m2</x:v>
      </x:c>
      <x:c r="F356" s="79" t="n">
        <x:v>0</x:v>
      </x:c>
      <x:c r="G356" s="74" t="n">
        <x:f>INDEX('Baseline'!$F$8:$F$39,MATCH(B356,'Baseline'!$A$8:$A$39,0))</x:f>
        <x:v>38</x:v>
      </x:c>
      <x:c r="H356" s="80" t="n">
        <x:f>F356*G356</x:f>
        <x:v>0</x:v>
      </x:c>
      <x:c r="I356" s="54"/>
      <x:c r="J356" s="54"/>
      <x:c r="K356" s="54"/>
      <x:c r="L356" s="54"/>
      <x:c r="M356" s="54"/>
      <x:c r="N356" s="54"/>
      <x:c r="O356" s="54"/>
      <x:c r="P356" s="54"/>
      <x:c r="Q356" s="54"/>
      <x:c r="R356" s="54"/>
      <x:c r="S356" s="54"/>
    </x:row>
    <x:row r="357" ht="23" customHeight="1">
      <x:c r="A357" s="60" t="str">
        <x:v>MQ-0350</x:v>
      </x:c>
      <x:c r="B357" s="60" t="str">
        <x:v>EX01</x:v>
      </x:c>
      <x:c r="C357" s="60" t="n">
        <x:v>2</x:v>
      </x:c>
      <x:c r="D357" s="60" t="str">
        <x:v>ZONE-6</x:v>
      </x:c>
      <x:c r="E357" s="60" t="str">
        <x:v>m2</x:v>
      </x:c>
      <x:c r="F357" s="82" t="n">
        <x:v>0</x:v>
      </x:c>
      <x:c r="G357" s="78" t="n">
        <x:f>INDEX('Baseline'!$F$8:$F$39,MATCH(B357,'Baseline'!$A$8:$A$39,0))</x:f>
        <x:v>38</x:v>
      </x:c>
      <x:c r="H357" s="83" t="n">
        <x:f>F357*G357</x:f>
        <x:v>0</x:v>
      </x:c>
      <x:c r="I357" s="54"/>
      <x:c r="J357" s="54"/>
      <x:c r="K357" s="54"/>
      <x:c r="L357" s="54"/>
      <x:c r="M357" s="54"/>
      <x:c r="N357" s="54"/>
      <x:c r="O357" s="54"/>
      <x:c r="P357" s="54"/>
      <x:c r="Q357" s="54"/>
      <x:c r="R357" s="54"/>
      <x:c r="S357" s="54"/>
    </x:row>
    <x:row r="358" ht="23" customHeight="1">
      <x:c r="A358" s="58" t="str">
        <x:v>MQ-0351</x:v>
      </x:c>
      <x:c r="B358" s="58" t="str">
        <x:v>EX01</x:v>
      </x:c>
      <x:c r="C358" s="58" t="n">
        <x:v>3</x:v>
      </x:c>
      <x:c r="D358" s="58" t="str">
        <x:v>ZONE-6</x:v>
      </x:c>
      <x:c r="E358" s="58" t="str">
        <x:v>m2</x:v>
      </x:c>
      <x:c r="F358" s="79" t="n">
        <x:v>0</x:v>
      </x:c>
      <x:c r="G358" s="74" t="n">
        <x:f>INDEX('Baseline'!$F$8:$F$39,MATCH(B358,'Baseline'!$A$8:$A$39,0))</x:f>
        <x:v>38</x:v>
      </x:c>
      <x:c r="H358" s="80" t="n">
        <x:f>F358*G358</x:f>
        <x:v>0</x:v>
      </x:c>
      <x:c r="I358" s="54"/>
      <x:c r="J358" s="54"/>
      <x:c r="K358" s="54"/>
      <x:c r="L358" s="54"/>
      <x:c r="M358" s="54"/>
      <x:c r="N358" s="54"/>
      <x:c r="O358" s="54"/>
      <x:c r="P358" s="54"/>
      <x:c r="Q358" s="54"/>
      <x:c r="R358" s="54"/>
      <x:c r="S358" s="54"/>
    </x:row>
    <x:row r="359" ht="23" customHeight="1">
      <x:c r="A359" s="60" t="str">
        <x:v>MQ-0352</x:v>
      </x:c>
      <x:c r="B359" s="60" t="str">
        <x:v>EX01</x:v>
      </x:c>
      <x:c r="C359" s="60" t="n">
        <x:v>4</x:v>
      </x:c>
      <x:c r="D359" s="60" t="str">
        <x:v>ZONE-6</x:v>
      </x:c>
      <x:c r="E359" s="60" t="str">
        <x:v>m2</x:v>
      </x:c>
      <x:c r="F359" s="82" t="n">
        <x:v>0</x:v>
      </x:c>
      <x:c r="G359" s="78" t="n">
        <x:f>INDEX('Baseline'!$F$8:$F$39,MATCH(B359,'Baseline'!$A$8:$A$39,0))</x:f>
        <x:v>38</x:v>
      </x:c>
      <x:c r="H359" s="83" t="n">
        <x:f>F359*G359</x:f>
        <x:v>0</x:v>
      </x:c>
      <x:c r="I359" s="54"/>
      <x:c r="J359" s="54"/>
      <x:c r="K359" s="54"/>
      <x:c r="L359" s="54"/>
      <x:c r="M359" s="54"/>
      <x:c r="N359" s="54"/>
      <x:c r="O359" s="54"/>
      <x:c r="P359" s="54"/>
      <x:c r="Q359" s="54"/>
      <x:c r="R359" s="54"/>
      <x:c r="S359" s="54"/>
    </x:row>
    <x:row r="360" ht="23" customHeight="1">
      <x:c r="A360" s="58" t="str">
        <x:v>MQ-0353</x:v>
      </x:c>
      <x:c r="B360" s="58" t="str">
        <x:v>EX01</x:v>
      </x:c>
      <x:c r="C360" s="58" t="n">
        <x:v>5</x:v>
      </x:c>
      <x:c r="D360" s="58" t="str">
        <x:v>ZONE-6</x:v>
      </x:c>
      <x:c r="E360" s="58" t="str">
        <x:v>m2</x:v>
      </x:c>
      <x:c r="F360" s="79" t="n">
        <x:v>0</x:v>
      </x:c>
      <x:c r="G360" s="74" t="n">
        <x:f>INDEX('Baseline'!$F$8:$F$39,MATCH(B360,'Baseline'!$A$8:$A$39,0))</x:f>
        <x:v>38</x:v>
      </x:c>
      <x:c r="H360" s="80" t="n">
        <x:f>F360*G360</x:f>
        <x:v>0</x:v>
      </x:c>
      <x:c r="I360" s="54"/>
      <x:c r="J360" s="54"/>
      <x:c r="K360" s="54"/>
      <x:c r="L360" s="54"/>
      <x:c r="M360" s="54"/>
      <x:c r="N360" s="54"/>
      <x:c r="O360" s="54"/>
      <x:c r="P360" s="54"/>
      <x:c r="Q360" s="54"/>
      <x:c r="R360" s="54"/>
      <x:c r="S360" s="54"/>
    </x:row>
    <x:row r="361" ht="23" customHeight="1">
      <x:c r="A361" s="60" t="str">
        <x:v>MQ-0354</x:v>
      </x:c>
      <x:c r="B361" s="60" t="str">
        <x:v>EX01</x:v>
      </x:c>
      <x:c r="C361" s="60" t="n">
        <x:v>6</x:v>
      </x:c>
      <x:c r="D361" s="60" t="str">
        <x:v>ZONE-6</x:v>
      </x:c>
      <x:c r="E361" s="60" t="str">
        <x:v>m2</x:v>
      </x:c>
      <x:c r="F361" s="82" t="n">
        <x:v>0</x:v>
      </x:c>
      <x:c r="G361" s="78" t="n">
        <x:f>INDEX('Baseline'!$F$8:$F$39,MATCH(B361,'Baseline'!$A$8:$A$39,0))</x:f>
        <x:v>38</x:v>
      </x:c>
      <x:c r="H361" s="83" t="n">
        <x:f>F361*G361</x:f>
        <x:v>0</x:v>
      </x:c>
      <x:c r="I361" s="54"/>
      <x:c r="J361" s="54"/>
      <x:c r="K361" s="54"/>
      <x:c r="L361" s="54"/>
      <x:c r="M361" s="54"/>
      <x:c r="N361" s="54"/>
      <x:c r="O361" s="54"/>
      <x:c r="P361" s="54"/>
      <x:c r="Q361" s="54"/>
      <x:c r="R361" s="54"/>
      <x:c r="S361" s="54"/>
    </x:row>
    <x:row r="362" ht="23" customHeight="1">
      <x:c r="A362" s="58" t="str">
        <x:v>MQ-0355</x:v>
      </x:c>
      <x:c r="B362" s="58" t="str">
        <x:v>EX01</x:v>
      </x:c>
      <x:c r="C362" s="58" t="n">
        <x:v>7</x:v>
      </x:c>
      <x:c r="D362" s="58" t="str">
        <x:v>ZONE-6</x:v>
      </x:c>
      <x:c r="E362" s="58" t="str">
        <x:v>m2</x:v>
      </x:c>
      <x:c r="F362" s="79" t="n">
        <x:v>0</x:v>
      </x:c>
      <x:c r="G362" s="74" t="n">
        <x:f>INDEX('Baseline'!$F$8:$F$39,MATCH(B362,'Baseline'!$A$8:$A$39,0))</x:f>
        <x:v>38</x:v>
      </x:c>
      <x:c r="H362" s="80" t="n">
        <x:f>F362*G362</x:f>
        <x:v>0</x:v>
      </x:c>
      <x:c r="I362" s="54"/>
      <x:c r="J362" s="54"/>
      <x:c r="K362" s="54"/>
      <x:c r="L362" s="54"/>
      <x:c r="M362" s="54"/>
      <x:c r="N362" s="54"/>
      <x:c r="O362" s="54"/>
      <x:c r="P362" s="54"/>
      <x:c r="Q362" s="54"/>
      <x:c r="R362" s="54"/>
      <x:c r="S362" s="54"/>
    </x:row>
    <x:row r="363" ht="23" customHeight="1">
      <x:c r="A363" s="60" t="str">
        <x:v>MQ-0356</x:v>
      </x:c>
      <x:c r="B363" s="60" t="str">
        <x:v>EX01</x:v>
      </x:c>
      <x:c r="C363" s="60" t="n">
        <x:v>8</x:v>
      </x:c>
      <x:c r="D363" s="60" t="str">
        <x:v>ZONE-6</x:v>
      </x:c>
      <x:c r="E363" s="60" t="str">
        <x:v>m2</x:v>
      </x:c>
      <x:c r="F363" s="82" t="n">
        <x:v>0</x:v>
      </x:c>
      <x:c r="G363" s="78" t="n">
        <x:f>INDEX('Baseline'!$F$8:$F$39,MATCH(B363,'Baseline'!$A$8:$A$39,0))</x:f>
        <x:v>38</x:v>
      </x:c>
      <x:c r="H363" s="83" t="n">
        <x:f>F363*G363</x:f>
        <x:v>0</x:v>
      </x:c>
      <x:c r="I363" s="54"/>
      <x:c r="J363" s="54"/>
      <x:c r="K363" s="54"/>
      <x:c r="L363" s="54"/>
      <x:c r="M363" s="54"/>
      <x:c r="N363" s="54"/>
      <x:c r="O363" s="54"/>
      <x:c r="P363" s="54"/>
      <x:c r="Q363" s="54"/>
      <x:c r="R363" s="54"/>
      <x:c r="S363" s="54"/>
    </x:row>
    <x:row r="364" ht="23" customHeight="1">
      <x:c r="A364" s="58" t="str">
        <x:v>MQ-0357</x:v>
      </x:c>
      <x:c r="B364" s="58" t="str">
        <x:v>EX01</x:v>
      </x:c>
      <x:c r="C364" s="58" t="n">
        <x:v>9</x:v>
      </x:c>
      <x:c r="D364" s="58" t="str">
        <x:v>ZONE-6</x:v>
      </x:c>
      <x:c r="E364" s="58" t="str">
        <x:v>m2</x:v>
      </x:c>
      <x:c r="F364" s="79" t="n">
        <x:v>0</x:v>
      </x:c>
      <x:c r="G364" s="74" t="n">
        <x:f>INDEX('Baseline'!$F$8:$F$39,MATCH(B364,'Baseline'!$A$8:$A$39,0))</x:f>
        <x:v>38</x:v>
      </x:c>
      <x:c r="H364" s="80" t="n">
        <x:f>F364*G364</x:f>
        <x:v>0</x:v>
      </x:c>
      <x:c r="I364" s="54"/>
      <x:c r="J364" s="54"/>
      <x:c r="K364" s="54"/>
      <x:c r="L364" s="54"/>
      <x:c r="M364" s="54"/>
      <x:c r="N364" s="54"/>
      <x:c r="O364" s="54"/>
      <x:c r="P364" s="54"/>
      <x:c r="Q364" s="54"/>
      <x:c r="R364" s="54"/>
      <x:c r="S364" s="54"/>
    </x:row>
    <x:row r="365" ht="23" customHeight="1">
      <x:c r="A365" s="60" t="str">
        <x:v>MQ-0358</x:v>
      </x:c>
      <x:c r="B365" s="60" t="str">
        <x:v>EX01</x:v>
      </x:c>
      <x:c r="C365" s="60" t="n">
        <x:v>10</x:v>
      </x:c>
      <x:c r="D365" s="60" t="str">
        <x:v>ZONE-6</x:v>
      </x:c>
      <x:c r="E365" s="60" t="str">
        <x:v>m2</x:v>
      </x:c>
      <x:c r="F365" s="82" t="n">
        <x:v>0</x:v>
      </x:c>
      <x:c r="G365" s="78" t="n">
        <x:f>INDEX('Baseline'!$F$8:$F$39,MATCH(B365,'Baseline'!$A$8:$A$39,0))</x:f>
        <x:v>38</x:v>
      </x:c>
      <x:c r="H365" s="83" t="n">
        <x:f>F365*G365</x:f>
        <x:v>0</x:v>
      </x:c>
      <x:c r="I365" s="54"/>
      <x:c r="J365" s="54"/>
      <x:c r="K365" s="54"/>
      <x:c r="L365" s="54"/>
      <x:c r="M365" s="54"/>
      <x:c r="N365" s="54"/>
      <x:c r="O365" s="54"/>
      <x:c r="P365" s="54"/>
      <x:c r="Q365" s="54"/>
      <x:c r="R365" s="54"/>
      <x:c r="S365" s="54"/>
    </x:row>
    <x:row r="366" ht="23" customHeight="1">
      <x:c r="A366" s="58" t="str">
        <x:v>MQ-0359</x:v>
      </x:c>
      <x:c r="B366" s="58" t="str">
        <x:v>EX01</x:v>
      </x:c>
      <x:c r="C366" s="58" t="n">
        <x:v>11</x:v>
      </x:c>
      <x:c r="D366" s="58" t="str">
        <x:v>ZONE-6</x:v>
      </x:c>
      <x:c r="E366" s="58" t="str">
        <x:v>m2</x:v>
      </x:c>
      <x:c r="F366" s="79" t="n">
        <x:v>0</x:v>
      </x:c>
      <x:c r="G366" s="74" t="n">
        <x:f>INDEX('Baseline'!$F$8:$F$39,MATCH(B366,'Baseline'!$A$8:$A$39,0))</x:f>
        <x:v>38</x:v>
      </x:c>
      <x:c r="H366" s="80" t="n">
        <x:f>F366*G366</x:f>
        <x:v>0</x:v>
      </x:c>
      <x:c r="I366" s="54"/>
      <x:c r="J366" s="54"/>
      <x:c r="K366" s="54"/>
      <x:c r="L366" s="54"/>
      <x:c r="M366" s="54"/>
      <x:c r="N366" s="54"/>
      <x:c r="O366" s="54"/>
      <x:c r="P366" s="54"/>
      <x:c r="Q366" s="54"/>
      <x:c r="R366" s="54"/>
      <x:c r="S366" s="54"/>
    </x:row>
    <x:row r="367" ht="23" customHeight="1">
      <x:c r="A367" s="60" t="str">
        <x:v>MQ-0360</x:v>
      </x:c>
      <x:c r="B367" s="60" t="str">
        <x:v>EX01</x:v>
      </x:c>
      <x:c r="C367" s="60" t="n">
        <x:v>12</x:v>
      </x:c>
      <x:c r="D367" s="60" t="str">
        <x:v>ZONE-6</x:v>
      </x:c>
      <x:c r="E367" s="60" t="str">
        <x:v>m2</x:v>
      </x:c>
      <x:c r="F367" s="82" t="n">
        <x:v>0</x:v>
      </x:c>
      <x:c r="G367" s="78" t="n">
        <x:f>INDEX('Baseline'!$F$8:$F$39,MATCH(B367,'Baseline'!$A$8:$A$39,0))</x:f>
        <x:v>38</x:v>
      </x:c>
      <x:c r="H367" s="83" t="n">
        <x:f>F367*G367</x:f>
        <x:v>0</x:v>
      </x:c>
      <x:c r="I367" s="54"/>
      <x:c r="J367" s="54"/>
      <x:c r="K367" s="54"/>
      <x:c r="L367" s="54"/>
      <x:c r="M367" s="54"/>
      <x:c r="N367" s="54"/>
      <x:c r="O367" s="54"/>
      <x:c r="P367" s="54"/>
      <x:c r="Q367" s="54"/>
      <x:c r="R367" s="54"/>
      <x:c r="S367" s="54"/>
    </x:row>
    <x:row r="368" ht="23" customHeight="1">
      <x:c r="A368" s="58" t="str">
        <x:v>MQ-0361</x:v>
      </x:c>
      <x:c r="B368" s="58" t="str">
        <x:v>EX02</x:v>
      </x:c>
      <x:c r="C368" s="58" t="n">
        <x:v>1</x:v>
      </x:c>
      <x:c r="D368" s="58" t="str">
        <x:v>ZONE-1</x:v>
      </x:c>
      <x:c r="E368" s="58" t="str">
        <x:v>m</x:v>
      </x:c>
      <x:c r="F368" s="79" t="n">
        <x:v>0</x:v>
      </x:c>
      <x:c r="G368" s="74" t="n">
        <x:f>INDEX('Baseline'!$F$8:$F$39,MATCH(B368,'Baseline'!$A$8:$A$39,0))</x:f>
        <x:v>66</x:v>
      </x:c>
      <x:c r="H368" s="80" t="n">
        <x:f>F368*G368</x:f>
        <x:v>0</x:v>
      </x:c>
      <x:c r="I368" s="54"/>
      <x:c r="J368" s="54"/>
      <x:c r="K368" s="54"/>
      <x:c r="L368" s="54"/>
      <x:c r="M368" s="54"/>
      <x:c r="N368" s="54"/>
      <x:c r="O368" s="54"/>
      <x:c r="P368" s="54"/>
      <x:c r="Q368" s="54"/>
      <x:c r="R368" s="54"/>
      <x:c r="S368" s="54"/>
    </x:row>
    <x:row r="369" ht="23" customHeight="1">
      <x:c r="A369" s="60" t="str">
        <x:v>MQ-0362</x:v>
      </x:c>
      <x:c r="B369" s="60" t="str">
        <x:v>EX02</x:v>
      </x:c>
      <x:c r="C369" s="60" t="n">
        <x:v>2</x:v>
      </x:c>
      <x:c r="D369" s="60" t="str">
        <x:v>ZONE-1</x:v>
      </x:c>
      <x:c r="E369" s="60" t="str">
        <x:v>m</x:v>
      </x:c>
      <x:c r="F369" s="82" t="n">
        <x:v>0</x:v>
      </x:c>
      <x:c r="G369" s="78" t="n">
        <x:f>INDEX('Baseline'!$F$8:$F$39,MATCH(B369,'Baseline'!$A$8:$A$39,0))</x:f>
        <x:v>66</x:v>
      </x:c>
      <x:c r="H369" s="83" t="n">
        <x:f>F369*G369</x:f>
        <x:v>0</x:v>
      </x:c>
      <x:c r="I369" s="54"/>
      <x:c r="J369" s="54"/>
      <x:c r="K369" s="54"/>
      <x:c r="L369" s="54"/>
      <x:c r="M369" s="54"/>
      <x:c r="N369" s="54"/>
      <x:c r="O369" s="54"/>
      <x:c r="P369" s="54"/>
      <x:c r="Q369" s="54"/>
      <x:c r="R369" s="54"/>
      <x:c r="S369" s="54"/>
    </x:row>
    <x:row r="370" ht="23" customHeight="1">
      <x:c r="A370" s="58" t="str">
        <x:v>MQ-0363</x:v>
      </x:c>
      <x:c r="B370" s="58" t="str">
        <x:v>EX02</x:v>
      </x:c>
      <x:c r="C370" s="58" t="n">
        <x:v>3</x:v>
      </x:c>
      <x:c r="D370" s="58" t="str">
        <x:v>ZONE-1</x:v>
      </x:c>
      <x:c r="E370" s="58" t="str">
        <x:v>m</x:v>
      </x:c>
      <x:c r="F370" s="79" t="n">
        <x:v>0</x:v>
      </x:c>
      <x:c r="G370" s="74" t="n">
        <x:f>INDEX('Baseline'!$F$8:$F$39,MATCH(B370,'Baseline'!$A$8:$A$39,0))</x:f>
        <x:v>66</x:v>
      </x:c>
      <x:c r="H370" s="80" t="n">
        <x:f>F370*G370</x:f>
        <x:v>0</x:v>
      </x:c>
      <x:c r="I370" s="54"/>
      <x:c r="J370" s="54"/>
      <x:c r="K370" s="54"/>
      <x:c r="L370" s="54"/>
      <x:c r="M370" s="54"/>
      <x:c r="N370" s="54"/>
      <x:c r="O370" s="54"/>
      <x:c r="P370" s="54"/>
      <x:c r="Q370" s="54"/>
      <x:c r="R370" s="54"/>
      <x:c r="S370" s="54"/>
    </x:row>
    <x:row r="371" ht="23" customHeight="1">
      <x:c r="A371" s="60" t="str">
        <x:v>MQ-0364</x:v>
      </x:c>
      <x:c r="B371" s="60" t="str">
        <x:v>EX02</x:v>
      </x:c>
      <x:c r="C371" s="60" t="n">
        <x:v>4</x:v>
      </x:c>
      <x:c r="D371" s="60" t="str">
        <x:v>ZONE-1</x:v>
      </x:c>
      <x:c r="E371" s="60" t="str">
        <x:v>m</x:v>
      </x:c>
      <x:c r="F371" s="82" t="n">
        <x:v>0</x:v>
      </x:c>
      <x:c r="G371" s="78" t="n">
        <x:f>INDEX('Baseline'!$F$8:$F$39,MATCH(B371,'Baseline'!$A$8:$A$39,0))</x:f>
        <x:v>66</x:v>
      </x:c>
      <x:c r="H371" s="83" t="n">
        <x:f>F371*G371</x:f>
        <x:v>0</x:v>
      </x:c>
      <x:c r="I371" s="54"/>
      <x:c r="J371" s="54"/>
      <x:c r="K371" s="54"/>
      <x:c r="L371" s="54"/>
      <x:c r="M371" s="54"/>
      <x:c r="N371" s="54"/>
      <x:c r="O371" s="54"/>
      <x:c r="P371" s="54"/>
      <x:c r="Q371" s="54"/>
      <x:c r="R371" s="54"/>
      <x:c r="S371" s="54"/>
    </x:row>
    <x:row r="372" ht="23" customHeight="1">
      <x:c r="A372" s="58" t="str">
        <x:v>MQ-0365</x:v>
      </x:c>
      <x:c r="B372" s="58" t="str">
        <x:v>EX02</x:v>
      </x:c>
      <x:c r="C372" s="58" t="n">
        <x:v>5</x:v>
      </x:c>
      <x:c r="D372" s="58" t="str">
        <x:v>ZONE-1</x:v>
      </x:c>
      <x:c r="E372" s="58" t="str">
        <x:v>m</x:v>
      </x:c>
      <x:c r="F372" s="79" t="n">
        <x:v>0</x:v>
      </x:c>
      <x:c r="G372" s="74" t="n">
        <x:f>INDEX('Baseline'!$F$8:$F$39,MATCH(B372,'Baseline'!$A$8:$A$39,0))</x:f>
        <x:v>66</x:v>
      </x:c>
      <x:c r="H372" s="80" t="n">
        <x:f>F372*G372</x:f>
        <x:v>0</x:v>
      </x:c>
      <x:c r="I372" s="54"/>
      <x:c r="J372" s="54"/>
      <x:c r="K372" s="54"/>
      <x:c r="L372" s="54"/>
      <x:c r="M372" s="54"/>
      <x:c r="N372" s="54"/>
      <x:c r="O372" s="54"/>
      <x:c r="P372" s="54"/>
      <x:c r="Q372" s="54"/>
      <x:c r="R372" s="54"/>
      <x:c r="S372" s="54"/>
    </x:row>
    <x:row r="373" ht="23" customHeight="1">
      <x:c r="A373" s="60" t="str">
        <x:v>MQ-0366</x:v>
      </x:c>
      <x:c r="B373" s="60" t="str">
        <x:v>EX02</x:v>
      </x:c>
      <x:c r="C373" s="60" t="n">
        <x:v>6</x:v>
      </x:c>
      <x:c r="D373" s="60" t="str">
        <x:v>ZONE-1</x:v>
      </x:c>
      <x:c r="E373" s="60" t="str">
        <x:v>m</x:v>
      </x:c>
      <x:c r="F373" s="82" t="n">
        <x:v>0</x:v>
      </x:c>
      <x:c r="G373" s="78" t="n">
        <x:f>INDEX('Baseline'!$F$8:$F$39,MATCH(B373,'Baseline'!$A$8:$A$39,0))</x:f>
        <x:v>66</x:v>
      </x:c>
      <x:c r="H373" s="83" t="n">
        <x:f>F373*G373</x:f>
        <x:v>0</x:v>
      </x:c>
      <x:c r="I373" s="54"/>
      <x:c r="J373" s="54"/>
      <x:c r="K373" s="54"/>
      <x:c r="L373" s="54"/>
      <x:c r="M373" s="54"/>
      <x:c r="N373" s="54"/>
      <x:c r="O373" s="54"/>
      <x:c r="P373" s="54"/>
      <x:c r="Q373" s="54"/>
      <x:c r="R373" s="54"/>
      <x:c r="S373" s="54"/>
    </x:row>
    <x:row r="374" ht="23" customHeight="1">
      <x:c r="A374" s="58" t="str">
        <x:v>MQ-0367</x:v>
      </x:c>
      <x:c r="B374" s="58" t="str">
        <x:v>EX02</x:v>
      </x:c>
      <x:c r="C374" s="58" t="n">
        <x:v>7</x:v>
      </x:c>
      <x:c r="D374" s="58" t="str">
        <x:v>ZONE-1</x:v>
      </x:c>
      <x:c r="E374" s="58" t="str">
        <x:v>m</x:v>
      </x:c>
      <x:c r="F374" s="79" t="n">
        <x:v>0</x:v>
      </x:c>
      <x:c r="G374" s="74" t="n">
        <x:f>INDEX('Baseline'!$F$8:$F$39,MATCH(B374,'Baseline'!$A$8:$A$39,0))</x:f>
        <x:v>66</x:v>
      </x:c>
      <x:c r="H374" s="80" t="n">
        <x:f>F374*G374</x:f>
        <x:v>0</x:v>
      </x:c>
      <x:c r="I374" s="54"/>
      <x:c r="J374" s="54"/>
      <x:c r="K374" s="54"/>
      <x:c r="L374" s="54"/>
      <x:c r="M374" s="54"/>
      <x:c r="N374" s="54"/>
      <x:c r="O374" s="54"/>
      <x:c r="P374" s="54"/>
      <x:c r="Q374" s="54"/>
      <x:c r="R374" s="54"/>
      <x:c r="S374" s="54"/>
    </x:row>
    <x:row r="375" ht="23" customHeight="1">
      <x:c r="A375" s="60" t="str">
        <x:v>MQ-0368</x:v>
      </x:c>
      <x:c r="B375" s="60" t="str">
        <x:v>EX02</x:v>
      </x:c>
      <x:c r="C375" s="60" t="n">
        <x:v>8</x:v>
      </x:c>
      <x:c r="D375" s="60" t="str">
        <x:v>ZONE-1</x:v>
      </x:c>
      <x:c r="E375" s="60" t="str">
        <x:v>m</x:v>
      </x:c>
      <x:c r="F375" s="82" t="n">
        <x:v>0</x:v>
      </x:c>
      <x:c r="G375" s="78" t="n">
        <x:f>INDEX('Baseline'!$F$8:$F$39,MATCH(B375,'Baseline'!$A$8:$A$39,0))</x:f>
        <x:v>66</x:v>
      </x:c>
      <x:c r="H375" s="83" t="n">
        <x:f>F375*G375</x:f>
        <x:v>0</x:v>
      </x:c>
      <x:c r="I375" s="54"/>
      <x:c r="J375" s="54"/>
      <x:c r="K375" s="54"/>
      <x:c r="L375" s="54"/>
      <x:c r="M375" s="54"/>
      <x:c r="N375" s="54"/>
      <x:c r="O375" s="54"/>
      <x:c r="P375" s="54"/>
      <x:c r="Q375" s="54"/>
      <x:c r="R375" s="54"/>
      <x:c r="S375" s="54"/>
    </x:row>
    <x:row r="376" ht="23" customHeight="1">
      <x:c r="A376" s="58" t="str">
        <x:v>MQ-0369</x:v>
      </x:c>
      <x:c r="B376" s="58" t="str">
        <x:v>EX02</x:v>
      </x:c>
      <x:c r="C376" s="58" t="n">
        <x:v>9</x:v>
      </x:c>
      <x:c r="D376" s="58" t="str">
        <x:v>ZONE-1</x:v>
      </x:c>
      <x:c r="E376" s="58" t="str">
        <x:v>m</x:v>
      </x:c>
      <x:c r="F376" s="79" t="n">
        <x:v>0</x:v>
      </x:c>
      <x:c r="G376" s="74" t="n">
        <x:f>INDEX('Baseline'!$F$8:$F$39,MATCH(B376,'Baseline'!$A$8:$A$39,0))</x:f>
        <x:v>66</x:v>
      </x:c>
      <x:c r="H376" s="80" t="n">
        <x:f>F376*G376</x:f>
        <x:v>0</x:v>
      </x:c>
      <x:c r="I376" s="54"/>
      <x:c r="J376" s="54"/>
      <x:c r="K376" s="54"/>
      <x:c r="L376" s="54"/>
      <x:c r="M376" s="54"/>
      <x:c r="N376" s="54"/>
      <x:c r="O376" s="54"/>
      <x:c r="P376" s="54"/>
      <x:c r="Q376" s="54"/>
      <x:c r="R376" s="54"/>
      <x:c r="S376" s="54"/>
    </x:row>
    <x:row r="377" ht="23" customHeight="1">
      <x:c r="A377" s="60" t="str">
        <x:v>MQ-0370</x:v>
      </x:c>
      <x:c r="B377" s="60" t="str">
        <x:v>EX02</x:v>
      </x:c>
      <x:c r="C377" s="60" t="n">
        <x:v>10</x:v>
      </x:c>
      <x:c r="D377" s="60" t="str">
        <x:v>ZONE-1</x:v>
      </x:c>
      <x:c r="E377" s="60" t="str">
        <x:v>m</x:v>
      </x:c>
      <x:c r="F377" s="82" t="n">
        <x:v>0</x:v>
      </x:c>
      <x:c r="G377" s="78" t="n">
        <x:f>INDEX('Baseline'!$F$8:$F$39,MATCH(B377,'Baseline'!$A$8:$A$39,0))</x:f>
        <x:v>66</x:v>
      </x:c>
      <x:c r="H377" s="83" t="n">
        <x:f>F377*G377</x:f>
        <x:v>0</x:v>
      </x:c>
      <x:c r="I377" s="54"/>
      <x:c r="J377" s="54"/>
      <x:c r="K377" s="54"/>
      <x:c r="L377" s="54"/>
      <x:c r="M377" s="54"/>
      <x:c r="N377" s="54"/>
      <x:c r="O377" s="54"/>
      <x:c r="P377" s="54"/>
      <x:c r="Q377" s="54"/>
      <x:c r="R377" s="54"/>
      <x:c r="S377" s="54"/>
    </x:row>
    <x:row r="378" ht="23" customHeight="1">
      <x:c r="A378" s="58" t="str">
        <x:v>MQ-0371</x:v>
      </x:c>
      <x:c r="B378" s="58" t="str">
        <x:v>EX02</x:v>
      </x:c>
      <x:c r="C378" s="58" t="n">
        <x:v>11</x:v>
      </x:c>
      <x:c r="D378" s="58" t="str">
        <x:v>ZONE-1</x:v>
      </x:c>
      <x:c r="E378" s="58" t="str">
        <x:v>m</x:v>
      </x:c>
      <x:c r="F378" s="79" t="n">
        <x:v>0</x:v>
      </x:c>
      <x:c r="G378" s="74" t="n">
        <x:f>INDEX('Baseline'!$F$8:$F$39,MATCH(B378,'Baseline'!$A$8:$A$39,0))</x:f>
        <x:v>66</x:v>
      </x:c>
      <x:c r="H378" s="80" t="n">
        <x:f>F378*G378</x:f>
        <x:v>0</x:v>
      </x:c>
      <x:c r="I378" s="54"/>
      <x:c r="J378" s="54"/>
      <x:c r="K378" s="54"/>
      <x:c r="L378" s="54"/>
      <x:c r="M378" s="54"/>
      <x:c r="N378" s="54"/>
      <x:c r="O378" s="54"/>
      <x:c r="P378" s="54"/>
      <x:c r="Q378" s="54"/>
      <x:c r="R378" s="54"/>
      <x:c r="S378" s="54"/>
    </x:row>
    <x:row r="379" ht="23" customHeight="1">
      <x:c r="A379" s="60" t="str">
        <x:v>MQ-0372</x:v>
      </x:c>
      <x:c r="B379" s="60" t="str">
        <x:v>EX02</x:v>
      </x:c>
      <x:c r="C379" s="60" t="n">
        <x:v>12</x:v>
      </x:c>
      <x:c r="D379" s="60" t="str">
        <x:v>ZONE-1</x:v>
      </x:c>
      <x:c r="E379" s="60" t="str">
        <x:v>m</x:v>
      </x:c>
      <x:c r="F379" s="82" t="n">
        <x:v>0</x:v>
      </x:c>
      <x:c r="G379" s="78" t="n">
        <x:f>INDEX('Baseline'!$F$8:$F$39,MATCH(B379,'Baseline'!$A$8:$A$39,0))</x:f>
        <x:v>66</x:v>
      </x:c>
      <x:c r="H379" s="83" t="n">
        <x:f>F379*G379</x:f>
        <x:v>0</x:v>
      </x:c>
      <x:c r="I379" s="54"/>
      <x:c r="J379" s="54"/>
      <x:c r="K379" s="54"/>
      <x:c r="L379" s="54"/>
      <x:c r="M379" s="54"/>
      <x:c r="N379" s="54"/>
      <x:c r="O379" s="54"/>
      <x:c r="P379" s="54"/>
      <x:c r="Q379" s="54"/>
      <x:c r="R379" s="54"/>
      <x:c r="S379" s="54"/>
    </x:row>
    <x:row r="380" ht="23" customHeight="1">
      <x:c r="A380" s="58" t="str">
        <x:v>MQ-0373</x:v>
      </x:c>
      <x:c r="B380" s="58" t="str">
        <x:v>EX03</x:v>
      </x:c>
      <x:c r="C380" s="58" t="n">
        <x:v>1</x:v>
      </x:c>
      <x:c r="D380" s="58" t="str">
        <x:v>ZONE-2</x:v>
      </x:c>
      <x:c r="E380" s="58" t="str">
        <x:v>nr</x:v>
      </x:c>
      <x:c r="F380" s="79" t="n">
        <x:v>0</x:v>
      </x:c>
      <x:c r="G380" s="74" t="n">
        <x:f>INDEX('Baseline'!$F$8:$F$39,MATCH(B380,'Baseline'!$A$8:$A$39,0))</x:f>
        <x:v>560</x:v>
      </x:c>
      <x:c r="H380" s="80" t="n">
        <x:f>F380*G380</x:f>
        <x:v>0</x:v>
      </x:c>
      <x:c r="I380" s="54"/>
      <x:c r="J380" s="54"/>
      <x:c r="K380" s="54"/>
      <x:c r="L380" s="54"/>
      <x:c r="M380" s="54"/>
      <x:c r="N380" s="54"/>
      <x:c r="O380" s="54"/>
      <x:c r="P380" s="54"/>
      <x:c r="Q380" s="54"/>
      <x:c r="R380" s="54"/>
      <x:c r="S380" s="54"/>
    </x:row>
    <x:row r="381" ht="23" customHeight="1">
      <x:c r="A381" s="60" t="str">
        <x:v>MQ-0374</x:v>
      </x:c>
      <x:c r="B381" s="60" t="str">
        <x:v>EX03</x:v>
      </x:c>
      <x:c r="C381" s="60" t="n">
        <x:v>2</x:v>
      </x:c>
      <x:c r="D381" s="60" t="str">
        <x:v>ZONE-2</x:v>
      </x:c>
      <x:c r="E381" s="60" t="str">
        <x:v>nr</x:v>
      </x:c>
      <x:c r="F381" s="82" t="n">
        <x:v>0</x:v>
      </x:c>
      <x:c r="G381" s="78" t="n">
        <x:f>INDEX('Baseline'!$F$8:$F$39,MATCH(B381,'Baseline'!$A$8:$A$39,0))</x:f>
        <x:v>560</x:v>
      </x:c>
      <x:c r="H381" s="83" t="n">
        <x:f>F381*G381</x:f>
        <x:v>0</x:v>
      </x:c>
      <x:c r="I381" s="54"/>
      <x:c r="J381" s="54"/>
      <x:c r="K381" s="54"/>
      <x:c r="L381" s="54"/>
      <x:c r="M381" s="54"/>
      <x:c r="N381" s="54"/>
      <x:c r="O381" s="54"/>
      <x:c r="P381" s="54"/>
      <x:c r="Q381" s="54"/>
      <x:c r="R381" s="54"/>
      <x:c r="S381" s="54"/>
    </x:row>
    <x:row r="382" ht="23" customHeight="1">
      <x:c r="A382" s="58" t="str">
        <x:v>MQ-0375</x:v>
      </x:c>
      <x:c r="B382" s="58" t="str">
        <x:v>EX03</x:v>
      </x:c>
      <x:c r="C382" s="58" t="n">
        <x:v>3</x:v>
      </x:c>
      <x:c r="D382" s="58" t="str">
        <x:v>ZONE-2</x:v>
      </x:c>
      <x:c r="E382" s="58" t="str">
        <x:v>nr</x:v>
      </x:c>
      <x:c r="F382" s="79" t="n">
        <x:v>0</x:v>
      </x:c>
      <x:c r="G382" s="74" t="n">
        <x:f>INDEX('Baseline'!$F$8:$F$39,MATCH(B382,'Baseline'!$A$8:$A$39,0))</x:f>
        <x:v>560</x:v>
      </x:c>
      <x:c r="H382" s="80" t="n">
        <x:f>F382*G382</x:f>
        <x:v>0</x:v>
      </x:c>
      <x:c r="I382" s="54"/>
      <x:c r="J382" s="54"/>
      <x:c r="K382" s="54"/>
      <x:c r="L382" s="54"/>
      <x:c r="M382" s="54"/>
      <x:c r="N382" s="54"/>
      <x:c r="O382" s="54"/>
      <x:c r="P382" s="54"/>
      <x:c r="Q382" s="54"/>
      <x:c r="R382" s="54"/>
      <x:c r="S382" s="54"/>
    </x:row>
    <x:row r="383" ht="23" customHeight="1">
      <x:c r="A383" s="60" t="str">
        <x:v>MQ-0376</x:v>
      </x:c>
      <x:c r="B383" s="60" t="str">
        <x:v>EX03</x:v>
      </x:c>
      <x:c r="C383" s="60" t="n">
        <x:v>4</x:v>
      </x:c>
      <x:c r="D383" s="60" t="str">
        <x:v>ZONE-2</x:v>
      </x:c>
      <x:c r="E383" s="60" t="str">
        <x:v>nr</x:v>
      </x:c>
      <x:c r="F383" s="82" t="n">
        <x:v>0</x:v>
      </x:c>
      <x:c r="G383" s="78" t="n">
        <x:f>INDEX('Baseline'!$F$8:$F$39,MATCH(B383,'Baseline'!$A$8:$A$39,0))</x:f>
        <x:v>560</x:v>
      </x:c>
      <x:c r="H383" s="83" t="n">
        <x:f>F383*G383</x:f>
        <x:v>0</x:v>
      </x:c>
      <x:c r="I383" s="54"/>
      <x:c r="J383" s="54"/>
      <x:c r="K383" s="54"/>
      <x:c r="L383" s="54"/>
      <x:c r="M383" s="54"/>
      <x:c r="N383" s="54"/>
      <x:c r="O383" s="54"/>
      <x:c r="P383" s="54"/>
      <x:c r="Q383" s="54"/>
      <x:c r="R383" s="54"/>
      <x:c r="S383" s="54"/>
    </x:row>
    <x:row r="384" ht="23" customHeight="1">
      <x:c r="A384" s="58" t="str">
        <x:v>MQ-0377</x:v>
      </x:c>
      <x:c r="B384" s="58" t="str">
        <x:v>EX03</x:v>
      </x:c>
      <x:c r="C384" s="58" t="n">
        <x:v>5</x:v>
      </x:c>
      <x:c r="D384" s="58" t="str">
        <x:v>ZONE-2</x:v>
      </x:c>
      <x:c r="E384" s="58" t="str">
        <x:v>nr</x:v>
      </x:c>
      <x:c r="F384" s="79" t="n">
        <x:v>0</x:v>
      </x:c>
      <x:c r="G384" s="74" t="n">
        <x:f>INDEX('Baseline'!$F$8:$F$39,MATCH(B384,'Baseline'!$A$8:$A$39,0))</x:f>
        <x:v>560</x:v>
      </x:c>
      <x:c r="H384" s="80" t="n">
        <x:f>F384*G384</x:f>
        <x:v>0</x:v>
      </x:c>
      <x:c r="I384" s="54"/>
      <x:c r="J384" s="54"/>
      <x:c r="K384" s="54"/>
      <x:c r="L384" s="54"/>
      <x:c r="M384" s="54"/>
      <x:c r="N384" s="54"/>
      <x:c r="O384" s="54"/>
      <x:c r="P384" s="54"/>
      <x:c r="Q384" s="54"/>
      <x:c r="R384" s="54"/>
      <x:c r="S384" s="54"/>
    </x:row>
    <x:row r="385" ht="23" customHeight="1">
      <x:c r="A385" s="60" t="str">
        <x:v>MQ-0378</x:v>
      </x:c>
      <x:c r="B385" s="60" t="str">
        <x:v>EX03</x:v>
      </x:c>
      <x:c r="C385" s="60" t="n">
        <x:v>6</x:v>
      </x:c>
      <x:c r="D385" s="60" t="str">
        <x:v>ZONE-2</x:v>
      </x:c>
      <x:c r="E385" s="60" t="str">
        <x:v>nr</x:v>
      </x:c>
      <x:c r="F385" s="82" t="n">
        <x:v>0</x:v>
      </x:c>
      <x:c r="G385" s="78" t="n">
        <x:f>INDEX('Baseline'!$F$8:$F$39,MATCH(B385,'Baseline'!$A$8:$A$39,0))</x:f>
        <x:v>560</x:v>
      </x:c>
      <x:c r="H385" s="83" t="n">
        <x:f>F385*G385</x:f>
        <x:v>0</x:v>
      </x:c>
      <x:c r="I385" s="54"/>
      <x:c r="J385" s="54"/>
      <x:c r="K385" s="54"/>
      <x:c r="L385" s="54"/>
      <x:c r="M385" s="54"/>
      <x:c r="N385" s="54"/>
      <x:c r="O385" s="54"/>
      <x:c r="P385" s="54"/>
      <x:c r="Q385" s="54"/>
      <x:c r="R385" s="54"/>
      <x:c r="S385" s="54"/>
    </x:row>
    <x:row r="386" ht="23" customHeight="1">
      <x:c r="A386" s="58" t="str">
        <x:v>MQ-0379</x:v>
      </x:c>
      <x:c r="B386" s="58" t="str">
        <x:v>EX03</x:v>
      </x:c>
      <x:c r="C386" s="58" t="n">
        <x:v>7</x:v>
      </x:c>
      <x:c r="D386" s="58" t="str">
        <x:v>ZONE-2</x:v>
      </x:c>
      <x:c r="E386" s="58" t="str">
        <x:v>nr</x:v>
      </x:c>
      <x:c r="F386" s="79" t="n">
        <x:v>0</x:v>
      </x:c>
      <x:c r="G386" s="74" t="n">
        <x:f>INDEX('Baseline'!$F$8:$F$39,MATCH(B386,'Baseline'!$A$8:$A$39,0))</x:f>
        <x:v>560</x:v>
      </x:c>
      <x:c r="H386" s="80" t="n">
        <x:f>F386*G386</x:f>
        <x:v>0</x:v>
      </x:c>
      <x:c r="I386" s="54"/>
      <x:c r="J386" s="54"/>
      <x:c r="K386" s="54"/>
      <x:c r="L386" s="54"/>
      <x:c r="M386" s="54"/>
      <x:c r="N386" s="54"/>
      <x:c r="O386" s="54"/>
      <x:c r="P386" s="54"/>
      <x:c r="Q386" s="54"/>
      <x:c r="R386" s="54"/>
      <x:c r="S386" s="54"/>
    </x:row>
    <x:row r="387" ht="23" customHeight="1">
      <x:c r="A387" s="60" t="str">
        <x:v>MQ-0380</x:v>
      </x:c>
      <x:c r="B387" s="60" t="str">
        <x:v>EX03</x:v>
      </x:c>
      <x:c r="C387" s="60" t="n">
        <x:v>8</x:v>
      </x:c>
      <x:c r="D387" s="60" t="str">
        <x:v>ZONE-2</x:v>
      </x:c>
      <x:c r="E387" s="60" t="str">
        <x:v>nr</x:v>
      </x:c>
      <x:c r="F387" s="82" t="n">
        <x:v>0</x:v>
      </x:c>
      <x:c r="G387" s="78" t="n">
        <x:f>INDEX('Baseline'!$F$8:$F$39,MATCH(B387,'Baseline'!$A$8:$A$39,0))</x:f>
        <x:v>560</x:v>
      </x:c>
      <x:c r="H387" s="83" t="n">
        <x:f>F387*G387</x:f>
        <x:v>0</x:v>
      </x:c>
      <x:c r="I387" s="54"/>
      <x:c r="J387" s="54"/>
      <x:c r="K387" s="54"/>
      <x:c r="L387" s="54"/>
      <x:c r="M387" s="54"/>
      <x:c r="N387" s="54"/>
      <x:c r="O387" s="54"/>
      <x:c r="P387" s="54"/>
      <x:c r="Q387" s="54"/>
      <x:c r="R387" s="54"/>
      <x:c r="S387" s="54"/>
    </x:row>
    <x:row r="388" ht="23" customHeight="1">
      <x:c r="A388" s="58" t="str">
        <x:v>MQ-0381</x:v>
      </x:c>
      <x:c r="B388" s="58" t="str">
        <x:v>EX03</x:v>
      </x:c>
      <x:c r="C388" s="58" t="n">
        <x:v>9</x:v>
      </x:c>
      <x:c r="D388" s="58" t="str">
        <x:v>ZONE-2</x:v>
      </x:c>
      <x:c r="E388" s="58" t="str">
        <x:v>nr</x:v>
      </x:c>
      <x:c r="F388" s="79" t="n">
        <x:v>0</x:v>
      </x:c>
      <x:c r="G388" s="74" t="n">
        <x:f>INDEX('Baseline'!$F$8:$F$39,MATCH(B388,'Baseline'!$A$8:$A$39,0))</x:f>
        <x:v>560</x:v>
      </x:c>
      <x:c r="H388" s="80" t="n">
        <x:f>F388*G388</x:f>
        <x:v>0</x:v>
      </x:c>
      <x:c r="I388" s="54"/>
      <x:c r="J388" s="54"/>
      <x:c r="K388" s="54"/>
      <x:c r="L388" s="54"/>
      <x:c r="M388" s="54"/>
      <x:c r="N388" s="54"/>
      <x:c r="O388" s="54"/>
      <x:c r="P388" s="54"/>
      <x:c r="Q388" s="54"/>
      <x:c r="R388" s="54"/>
      <x:c r="S388" s="54"/>
    </x:row>
    <x:row r="389" ht="23" customHeight="1">
      <x:c r="A389" s="60" t="str">
        <x:v>MQ-0382</x:v>
      </x:c>
      <x:c r="B389" s="60" t="str">
        <x:v>EX03</x:v>
      </x:c>
      <x:c r="C389" s="60" t="n">
        <x:v>10</x:v>
      </x:c>
      <x:c r="D389" s="60" t="str">
        <x:v>ZONE-2</x:v>
      </x:c>
      <x:c r="E389" s="60" t="str">
        <x:v>nr</x:v>
      </x:c>
      <x:c r="F389" s="82" t="n">
        <x:v>0</x:v>
      </x:c>
      <x:c r="G389" s="78" t="n">
        <x:f>INDEX('Baseline'!$F$8:$F$39,MATCH(B389,'Baseline'!$A$8:$A$39,0))</x:f>
        <x:v>560</x:v>
      </x:c>
      <x:c r="H389" s="83" t="n">
        <x:f>F389*G389</x:f>
        <x:v>0</x:v>
      </x:c>
      <x:c r="I389" s="54"/>
      <x:c r="J389" s="54"/>
      <x:c r="K389" s="54"/>
      <x:c r="L389" s="54"/>
      <x:c r="M389" s="54"/>
      <x:c r="N389" s="54"/>
      <x:c r="O389" s="54"/>
      <x:c r="P389" s="54"/>
      <x:c r="Q389" s="54"/>
      <x:c r="R389" s="54"/>
      <x:c r="S389" s="54"/>
    </x:row>
    <x:row r="390" ht="23" customHeight="1">
      <x:c r="A390" s="58" t="str">
        <x:v>MQ-0383</x:v>
      </x:c>
      <x:c r="B390" s="58" t="str">
        <x:v>EX03</x:v>
      </x:c>
      <x:c r="C390" s="58" t="n">
        <x:v>11</x:v>
      </x:c>
      <x:c r="D390" s="58" t="str">
        <x:v>ZONE-2</x:v>
      </x:c>
      <x:c r="E390" s="58" t="str">
        <x:v>nr</x:v>
      </x:c>
      <x:c r="F390" s="79" t="n">
        <x:v>0</x:v>
      </x:c>
      <x:c r="G390" s="74" t="n">
        <x:f>INDEX('Baseline'!$F$8:$F$39,MATCH(B390,'Baseline'!$A$8:$A$39,0))</x:f>
        <x:v>560</x:v>
      </x:c>
      <x:c r="H390" s="80" t="n">
        <x:f>F390*G390</x:f>
        <x:v>0</x:v>
      </x:c>
      <x:c r="I390" s="54"/>
      <x:c r="J390" s="54"/>
      <x:c r="K390" s="54"/>
      <x:c r="L390" s="54"/>
      <x:c r="M390" s="54"/>
      <x:c r="N390" s="54"/>
      <x:c r="O390" s="54"/>
      <x:c r="P390" s="54"/>
      <x:c r="Q390" s="54"/>
      <x:c r="R390" s="54"/>
      <x:c r="S390" s="54"/>
    </x:row>
    <x:row r="391" ht="23" customHeight="1">
      <x:c r="A391" s="60" t="str">
        <x:v>MQ-0384</x:v>
      </x:c>
      <x:c r="B391" s="60" t="str">
        <x:v>EX03</x:v>
      </x:c>
      <x:c r="C391" s="60" t="n">
        <x:v>12</x:v>
      </x:c>
      <x:c r="D391" s="60" t="str">
        <x:v>ZONE-2</x:v>
      </x:c>
      <x:c r="E391" s="60" t="str">
        <x:v>nr</x:v>
      </x:c>
      <x:c r="F391" s="82" t="n">
        <x:v>0</x:v>
      </x:c>
      <x:c r="G391" s="78" t="n">
        <x:f>INDEX('Baseline'!$F$8:$F$39,MATCH(B391,'Baseline'!$A$8:$A$39,0))</x:f>
        <x:v>560</x:v>
      </x:c>
      <x:c r="H391" s="83" t="n">
        <x:f>F391*G391</x:f>
        <x:v>0</x:v>
      </x:c>
      <x:c r="I391" s="54"/>
      <x:c r="J391" s="54"/>
      <x:c r="K391" s="54"/>
      <x:c r="L391" s="54"/>
      <x:c r="M391" s="54"/>
      <x:c r="N391" s="54"/>
      <x:c r="O391" s="54"/>
      <x:c r="P391" s="54"/>
      <x:c r="Q391" s="54"/>
      <x:c r="R391" s="54"/>
      <x:c r="S391" s="54"/>
    </x:row>
  </x:sheetData>
  <x:pageMargins left="0.7" right="0.7" top="0.75" bottom="0.75" header="0.3" footer="0.3"/>
  <x:tableParts count="1">
    <x:tablePart xmlns:r="http://schemas.openxmlformats.org/officeDocument/2006/relationships" r:id="Rf75d34357e2148a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6" hidden="0" customWidth="1"/>
    <x:col min="5" max="5" width="22" hidden="0" customWidth="1"/>
    <x:col min="6" max="6" width="23" hidden="0" customWidth="1"/>
    <x:col min="7" max="7" width="25" hidden="0" customWidth="1"/>
    <x:col min="8" max="8" width="24" hidden="0" customWidth="1"/>
  </x:cols>
  <x:sheetData>
    <x:row r="2">
      <x:c r="A2" s="53" t="str">
        <x:v>Accrued direct costs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Costs include invoices and accruals. Pending-change costs remain in actuals until resolved.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Record</x:v>
      </x:c>
      <x:c r="B7" s="6" t="str">
        <x:v>BOQ code</x:v>
      </x:c>
      <x:c r="C7" s="6" t="str">
        <x:v>Month</x:v>
      </x:c>
      <x:c r="D7" s="6" t="str">
        <x:v>Scope ref</x:v>
      </x:c>
      <x:c r="E7" s="6" t="str">
        <x:v>Quantity</x:v>
      </x:c>
      <x:c r="F7" s="6" t="str">
        <x:v>Actual cost rate</x:v>
      </x:c>
      <x:c r="G7" s="6" t="str">
        <x:v>Accrued cost USD</x:v>
      </x:c>
      <x:c r="H7" s="6" t="str">
        <x:v>Basis</x:v>
      </x:c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AC-0001</x:v>
      </x:c>
      <x:c r="B8" s="58" t="str">
        <x:v>EW01</x:v>
      </x:c>
      <x:c r="C8" s="58" t="n">
        <x:v>1</x:v>
      </x:c>
      <x:c r="D8" s="58" t="str">
        <x:v>BASE</x:v>
      </x:c>
      <x:c r="E8" s="79" t="n">
        <x:v>0</x:v>
      </x:c>
      <x:c r="F8" s="79" t="n">
        <x:v>7.104</x:v>
      </x:c>
      <x:c r="G8" s="80" t="n">
        <x:f>E8*F8</x:f>
        <x:v>0</x:v>
      </x:c>
      <x:c r="H8" s="58" t="str">
        <x:v>Accrual</x:v>
      </x:c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AC-0002</x:v>
      </x:c>
      <x:c r="B9" s="60" t="str">
        <x:v>EW01</x:v>
      </x:c>
      <x:c r="C9" s="60" t="n">
        <x:v>2</x:v>
      </x:c>
      <x:c r="D9" s="60" t="str">
        <x:v>BASE</x:v>
      </x:c>
      <x:c r="E9" s="82" t="n">
        <x:v>22372.079999999998</x:v>
      </x:c>
      <x:c r="F9" s="82" t="n">
        <x:v>7.104</x:v>
      </x:c>
      <x:c r="G9" s="83" t="n">
        <x:f>E9*F9</x:f>
        <x:v>158931.25632</x:v>
      </x:c>
      <x:c r="H9" s="60" t="str">
        <x:v>Accrual</x:v>
      </x:c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AC-0003</x:v>
      </x:c>
      <x:c r="B10" s="58" t="str">
        <x:v>EW01</x:v>
      </x:c>
      <x:c r="C10" s="58" t="n">
        <x:v>3</x:v>
      </x:c>
      <x:c r="D10" s="58" t="str">
        <x:v>BASE</x:v>
      </x:c>
      <x:c r="E10" s="79" t="n">
        <x:v>22372.079999999998</x:v>
      </x:c>
      <x:c r="F10" s="79" t="n">
        <x:v>7.104</x:v>
      </x:c>
      <x:c r="G10" s="80" t="n">
        <x:f>E10*F10</x:f>
        <x:v>158931.25632</x:v>
      </x:c>
      <x:c r="H10" s="58" t="str">
        <x:v>Accrual</x:v>
      </x:c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AC-0004</x:v>
      </x:c>
      <x:c r="B11" s="60" t="str">
        <x:v>EW01</x:v>
      </x:c>
      <x:c r="C11" s="60" t="n">
        <x:v>4</x:v>
      </x:c>
      <x:c r="D11" s="60" t="str">
        <x:v>BASE</x:v>
      </x:c>
      <x:c r="E11" s="82" t="n">
        <x:v>22372.08000000001</x:v>
      </x:c>
      <x:c r="F11" s="82" t="n">
        <x:v>7.104</x:v>
      </x:c>
      <x:c r="G11" s="83" t="n">
        <x:f>E11*F11</x:f>
        <x:v>158931.25632000007</x:v>
      </x:c>
      <x:c r="H11" s="60" t="str">
        <x:v>Accrual</x:v>
      </x:c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AC-0005</x:v>
      </x:c>
      <x:c r="B12" s="58" t="str">
        <x:v>EW01</x:v>
      </x:c>
      <x:c r="C12" s="58" t="n">
        <x:v>5</x:v>
      </x:c>
      <x:c r="D12" s="58" t="str">
        <x:v>BASE</x:v>
      </x:c>
      <x:c r="E12" s="79" t="n">
        <x:v>0</x:v>
      </x:c>
      <x:c r="F12" s="79" t="n">
        <x:v>7.104</x:v>
      </x:c>
      <x:c r="G12" s="80" t="n">
        <x:f>E12*F12</x:f>
        <x:v>0</x:v>
      </x:c>
      <x:c r="H12" s="58" t="str">
        <x:v>Accrual</x:v>
      </x:c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AC-0006</x:v>
      </x:c>
      <x:c r="B13" s="60" t="str">
        <x:v>EW01</x:v>
      </x:c>
      <x:c r="C13" s="60" t="n">
        <x:v>6</x:v>
      </x:c>
      <x:c r="D13" s="60" t="str">
        <x:v>BASE</x:v>
      </x:c>
      <x:c r="E13" s="82" t="n">
        <x:v>0</x:v>
      </x:c>
      <x:c r="F13" s="82" t="n">
        <x:v>7.104</x:v>
      </x:c>
      <x:c r="G13" s="83" t="n">
        <x:f>E13*F13</x:f>
        <x:v>0</x:v>
      </x:c>
      <x:c r="H13" s="60" t="str">
        <x:v>Accrual</x:v>
      </x:c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AC-0007</x:v>
      </x:c>
      <x:c r="B14" s="58" t="str">
        <x:v>EW01</x:v>
      </x:c>
      <x:c r="C14" s="58" t="n">
        <x:v>7</x:v>
      </x:c>
      <x:c r="D14" s="58" t="str">
        <x:v>BASE</x:v>
      </x:c>
      <x:c r="E14" s="79" t="n">
        <x:v>0</x:v>
      </x:c>
      <x:c r="F14" s="79" t="n">
        <x:v>7.104</x:v>
      </x:c>
      <x:c r="G14" s="80" t="n">
        <x:f>E14*F14</x:f>
        <x:v>0</x:v>
      </x:c>
      <x:c r="H14" s="58" t="str">
        <x:v>Accrual</x:v>
      </x:c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AC-0008</x:v>
      </x:c>
      <x:c r="B15" s="60" t="str">
        <x:v>EW01</x:v>
      </x:c>
      <x:c r="C15" s="60" t="n">
        <x:v>8</x:v>
      </x:c>
      <x:c r="D15" s="60" t="str">
        <x:v>BASE</x:v>
      </x:c>
      <x:c r="E15" s="82" t="n">
        <x:v>0</x:v>
      </x:c>
      <x:c r="F15" s="82" t="n">
        <x:v>7.104</x:v>
      </x:c>
      <x:c r="G15" s="83" t="n">
        <x:f>E15*F15</x:f>
        <x:v>0</x:v>
      </x:c>
      <x:c r="H15" s="60" t="str">
        <x:v>Accrual</x:v>
      </x:c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AC-0009</x:v>
      </x:c>
      <x:c r="B16" s="58" t="str">
        <x:v>EW01</x:v>
      </x:c>
      <x:c r="C16" s="58" t="n">
        <x:v>9</x:v>
      </x:c>
      <x:c r="D16" s="58" t="str">
        <x:v>BASE</x:v>
      </x:c>
      <x:c r="E16" s="79" t="n">
        <x:v>0</x:v>
      </x:c>
      <x:c r="F16" s="79" t="n">
        <x:v>7.104</x:v>
      </x:c>
      <x:c r="G16" s="80" t="n">
        <x:f>E16*F16</x:f>
        <x:v>0</x:v>
      </x:c>
      <x:c r="H16" s="58" t="str">
        <x:v>Accrual</x:v>
      </x:c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AC-0010</x:v>
      </x:c>
      <x:c r="B17" s="60" t="str">
        <x:v>EW01</x:v>
      </x:c>
      <x:c r="C17" s="60" t="n">
        <x:v>10</x:v>
      </x:c>
      <x:c r="D17" s="60" t="str">
        <x:v>BASE</x:v>
      </x:c>
      <x:c r="E17" s="82" t="n">
        <x:v>0</x:v>
      </x:c>
      <x:c r="F17" s="82" t="n">
        <x:v>7.104</x:v>
      </x:c>
      <x:c r="G17" s="83" t="n">
        <x:f>E17*F17</x:f>
        <x:v>0</x:v>
      </x:c>
      <x:c r="H17" s="60" t="str">
        <x:v>Accrual</x:v>
      </x:c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AC-0011</x:v>
      </x:c>
      <x:c r="B18" s="58" t="str">
        <x:v>EW01</x:v>
      </x:c>
      <x:c r="C18" s="58" t="n">
        <x:v>11</x:v>
      </x:c>
      <x:c r="D18" s="58" t="str">
        <x:v>BASE</x:v>
      </x:c>
      <x:c r="E18" s="79" t="n">
        <x:v>0</x:v>
      </x:c>
      <x:c r="F18" s="79" t="n">
        <x:v>7.104</x:v>
      </x:c>
      <x:c r="G18" s="80" t="n">
        <x:f>E18*F18</x:f>
        <x:v>0</x:v>
      </x:c>
      <x:c r="H18" s="58" t="str">
        <x:v>Accrual</x:v>
      </x:c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str">
        <x:v>AC-0012</x:v>
      </x:c>
      <x:c r="B19" s="60" t="str">
        <x:v>EW01</x:v>
      </x:c>
      <x:c r="C19" s="60" t="n">
        <x:v>12</x:v>
      </x:c>
      <x:c r="D19" s="60" t="str">
        <x:v>BASE</x:v>
      </x:c>
      <x:c r="E19" s="82" t="n">
        <x:v>0</x:v>
      </x:c>
      <x:c r="F19" s="82" t="n">
        <x:v>7.104</x:v>
      </x:c>
      <x:c r="G19" s="83" t="n">
        <x:f>E19*F19</x:f>
        <x:v>0</x:v>
      </x:c>
      <x:c r="H19" s="60" t="str">
        <x:v>Accrual</x:v>
      </x:c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 ht="23" customHeight="1">
      <x:c r="A20" s="58" t="str">
        <x:v>AC-0013</x:v>
      </x:c>
      <x:c r="B20" s="58" t="str">
        <x:v>EW02</x:v>
      </x:c>
      <x:c r="C20" s="58" t="n">
        <x:v>1</x:v>
      </x:c>
      <x:c r="D20" s="58" t="str">
        <x:v>BASE</x:v>
      </x:c>
      <x:c r="E20" s="79" t="n">
        <x:v>25920</x:v>
      </x:c>
      <x:c r="F20" s="79" t="n">
        <x:v>6.304</x:v>
      </x:c>
      <x:c r="G20" s="80" t="n">
        <x:f>E20*F20</x:f>
        <x:v>163399.68</x:v>
      </x:c>
      <x:c r="H20" s="58" t="str">
        <x:v>Invoice</x:v>
      </x:c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 ht="23" customHeight="1">
      <x:c r="A21" s="60" t="str">
        <x:v>AC-0014</x:v>
      </x:c>
      <x:c r="B21" s="60" t="str">
        <x:v>EW02</x:v>
      </x:c>
      <x:c r="C21" s="60" t="n">
        <x:v>2</x:v>
      </x:c>
      <x:c r="D21" s="60" t="str">
        <x:v>BASE</x:v>
      </x:c>
      <x:c r="E21" s="82" t="n">
        <x:v>25920</x:v>
      </x:c>
      <x:c r="F21" s="82" t="n">
        <x:v>6.304</x:v>
      </x:c>
      <x:c r="G21" s="83" t="n">
        <x:f>E21*F21</x:f>
        <x:v>163399.68</x:v>
      </x:c>
      <x:c r="H21" s="60" t="str">
        <x:v>Invoice</x:v>
      </x:c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  <x:row r="22" ht="23" customHeight="1">
      <x:c r="A22" s="58" t="str">
        <x:v>AC-0015</x:v>
      </x:c>
      <x:c r="B22" s="58" t="str">
        <x:v>EW02</x:v>
      </x:c>
      <x:c r="C22" s="58" t="n">
        <x:v>3</x:v>
      </x:c>
      <x:c r="D22" s="58" t="str">
        <x:v>BASE</x:v>
      </x:c>
      <x:c r="E22" s="79" t="n">
        <x:v>25920</x:v>
      </x:c>
      <x:c r="F22" s="79" t="n">
        <x:v>6.304</x:v>
      </x:c>
      <x:c r="G22" s="80" t="n">
        <x:f>E22*F22</x:f>
        <x:v>163399.68</x:v>
      </x:c>
      <x:c r="H22" s="58" t="str">
        <x:v>Invoice</x:v>
      </x:c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</x:row>
    <x:row r="23" ht="23" customHeight="1">
      <x:c r="A23" s="60" t="str">
        <x:v>AC-0016</x:v>
      </x:c>
      <x:c r="B23" s="60" t="str">
        <x:v>EW02</x:v>
      </x:c>
      <x:c r="C23" s="60" t="n">
        <x:v>4</x:v>
      </x:c>
      <x:c r="D23" s="60" t="str">
        <x:v>BASE</x:v>
      </x:c>
      <x:c r="E23" s="82" t="n">
        <x:v>0</x:v>
      </x:c>
      <x:c r="F23" s="82" t="n">
        <x:v>6.304</x:v>
      </x:c>
      <x:c r="G23" s="83" t="n">
        <x:f>E23*F23</x:f>
        <x:v>0</x:v>
      </x:c>
      <x:c r="H23" s="60" t="str">
        <x:v>Invoice</x:v>
      </x:c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</x:row>
    <x:row r="24" ht="23" customHeight="1">
      <x:c r="A24" s="58" t="str">
        <x:v>AC-0017</x:v>
      </x:c>
      <x:c r="B24" s="58" t="str">
        <x:v>EW02</x:v>
      </x:c>
      <x:c r="C24" s="58" t="n">
        <x:v>5</x:v>
      </x:c>
      <x:c r="D24" s="58" t="str">
        <x:v>BASE</x:v>
      </x:c>
      <x:c r="E24" s="79" t="n">
        <x:v>0</x:v>
      </x:c>
      <x:c r="F24" s="79" t="n">
        <x:v>6.304</x:v>
      </x:c>
      <x:c r="G24" s="80" t="n">
        <x:f>E24*F24</x:f>
        <x:v>0</x:v>
      </x:c>
      <x:c r="H24" s="58" t="str">
        <x:v>Invoice</x:v>
      </x:c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</x:row>
    <x:row r="25" ht="23" customHeight="1">
      <x:c r="A25" s="60" t="str">
        <x:v>AC-0018</x:v>
      </x:c>
      <x:c r="B25" s="60" t="str">
        <x:v>EW02</x:v>
      </x:c>
      <x:c r="C25" s="60" t="n">
        <x:v>6</x:v>
      </x:c>
      <x:c r="D25" s="60" t="str">
        <x:v>BASE</x:v>
      </x:c>
      <x:c r="E25" s="82" t="n">
        <x:v>0</x:v>
      </x:c>
      <x:c r="F25" s="82" t="n">
        <x:v>6.304</x:v>
      </x:c>
      <x:c r="G25" s="83" t="n">
        <x:f>E25*F25</x:f>
        <x:v>0</x:v>
      </x:c>
      <x:c r="H25" s="60" t="str">
        <x:v>Invoice</x:v>
      </x:c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</x:row>
    <x:row r="26" ht="23" customHeight="1">
      <x:c r="A26" s="58" t="str">
        <x:v>AC-0019</x:v>
      </x:c>
      <x:c r="B26" s="58" t="str">
        <x:v>EW02</x:v>
      </x:c>
      <x:c r="C26" s="58" t="n">
        <x:v>7</x:v>
      </x:c>
      <x:c r="D26" s="58" t="str">
        <x:v>BASE</x:v>
      </x:c>
      <x:c r="E26" s="79" t="n">
        <x:v>0</x:v>
      </x:c>
      <x:c r="F26" s="79" t="n">
        <x:v>6.304</x:v>
      </x:c>
      <x:c r="G26" s="80" t="n">
        <x:f>E26*F26</x:f>
        <x:v>0</x:v>
      </x:c>
      <x:c r="H26" s="58" t="str">
        <x:v>Invoice</x:v>
      </x:c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7" ht="23" customHeight="1">
      <x:c r="A27" s="60" t="str">
        <x:v>AC-0020</x:v>
      </x:c>
      <x:c r="B27" s="60" t="str">
        <x:v>EW02</x:v>
      </x:c>
      <x:c r="C27" s="60" t="n">
        <x:v>8</x:v>
      </x:c>
      <x:c r="D27" s="60" t="str">
        <x:v>BASE</x:v>
      </x:c>
      <x:c r="E27" s="82" t="n">
        <x:v>0</x:v>
      </x:c>
      <x:c r="F27" s="82" t="n">
        <x:v>6.304</x:v>
      </x:c>
      <x:c r="G27" s="83" t="n">
        <x:f>E27*F27</x:f>
        <x:v>0</x:v>
      </x:c>
      <x:c r="H27" s="60" t="str">
        <x:v>Invoice</x:v>
      </x:c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</x:row>
    <x:row r="28" ht="23" customHeight="1">
      <x:c r="A28" s="58" t="str">
        <x:v>AC-0021</x:v>
      </x:c>
      <x:c r="B28" s="58" t="str">
        <x:v>EW02</x:v>
      </x:c>
      <x:c r="C28" s="58" t="n">
        <x:v>9</x:v>
      </x:c>
      <x:c r="D28" s="58" t="str">
        <x:v>BASE</x:v>
      </x:c>
      <x:c r="E28" s="79" t="n">
        <x:v>0</x:v>
      </x:c>
      <x:c r="F28" s="79" t="n">
        <x:v>6.304</x:v>
      </x:c>
      <x:c r="G28" s="80" t="n">
        <x:f>E28*F28</x:f>
        <x:v>0</x:v>
      </x:c>
      <x:c r="H28" s="58" t="str">
        <x:v>Invoice</x:v>
      </x:c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</x:row>
    <x:row r="29" ht="23" customHeight="1">
      <x:c r="A29" s="60" t="str">
        <x:v>AC-0022</x:v>
      </x:c>
      <x:c r="B29" s="60" t="str">
        <x:v>EW02</x:v>
      </x:c>
      <x:c r="C29" s="60" t="n">
        <x:v>10</x:v>
      </x:c>
      <x:c r="D29" s="60" t="str">
        <x:v>BASE</x:v>
      </x:c>
      <x:c r="E29" s="82" t="n">
        <x:v>0</x:v>
      </x:c>
      <x:c r="F29" s="82" t="n">
        <x:v>6.304</x:v>
      </x:c>
      <x:c r="G29" s="83" t="n">
        <x:f>E29*F29</x:f>
        <x:v>0</x:v>
      </x:c>
      <x:c r="H29" s="60" t="str">
        <x:v>Invoice</x:v>
      </x:c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</x:row>
    <x:row r="30" ht="23" customHeight="1">
      <x:c r="A30" s="58" t="str">
        <x:v>AC-0023</x:v>
      </x:c>
      <x:c r="B30" s="58" t="str">
        <x:v>EW02</x:v>
      </x:c>
      <x:c r="C30" s="58" t="n">
        <x:v>11</x:v>
      </x:c>
      <x:c r="D30" s="58" t="str">
        <x:v>BASE</x:v>
      </x:c>
      <x:c r="E30" s="79" t="n">
        <x:v>0</x:v>
      </x:c>
      <x:c r="F30" s="79" t="n">
        <x:v>6.304</x:v>
      </x:c>
      <x:c r="G30" s="80" t="n">
        <x:f>E30*F30</x:f>
        <x:v>0</x:v>
      </x:c>
      <x:c r="H30" s="58" t="str">
        <x:v>Invoice</x:v>
      </x:c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</x:row>
    <x:row r="31" ht="23" customHeight="1">
      <x:c r="A31" s="60" t="str">
        <x:v>AC-0024</x:v>
      </x:c>
      <x:c r="B31" s="60" t="str">
        <x:v>EW02</x:v>
      </x:c>
      <x:c r="C31" s="60" t="n">
        <x:v>12</x:v>
      </x:c>
      <x:c r="D31" s="60" t="str">
        <x:v>BASE</x:v>
      </x:c>
      <x:c r="E31" s="82" t="n">
        <x:v>0</x:v>
      </x:c>
      <x:c r="F31" s="82" t="n">
        <x:v>6.304</x:v>
      </x:c>
      <x:c r="G31" s="83" t="n">
        <x:f>E31*F31</x:f>
        <x:v>0</x:v>
      </x:c>
      <x:c r="H31" s="60" t="str">
        <x:v>Invoice</x:v>
      </x:c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</x:row>
    <x:row r="32" ht="23" customHeight="1">
      <x:c r="A32" s="58" t="str">
        <x:v>AC-0025</x:v>
      </x:c>
      <x:c r="B32" s="58" t="str">
        <x:v>EW03</x:v>
      </x:c>
      <x:c r="C32" s="58" t="n">
        <x:v>1</x:v>
      </x:c>
      <x:c r="D32" s="58" t="str">
        <x:v>BASE</x:v>
      </x:c>
      <x:c r="E32" s="79" t="n">
        <x:v>0</x:v>
      </x:c>
      <x:c r="F32" s="79" t="n">
        <x:v>15.453000000000001</x:v>
      </x:c>
      <x:c r="G32" s="80" t="n">
        <x:f>E32*F32</x:f>
        <x:v>0</x:v>
      </x:c>
      <x:c r="H32" s="58" t="str">
        <x:v>Invoice</x:v>
      </x:c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</x:row>
    <x:row r="33" ht="23" customHeight="1">
      <x:c r="A33" s="60" t="str">
        <x:v>AC-0026</x:v>
      </x:c>
      <x:c r="B33" s="60" t="str">
        <x:v>EW03</x:v>
      </x:c>
      <x:c r="C33" s="60" t="n">
        <x:v>2</x:v>
      </x:c>
      <x:c r="D33" s="60" t="str">
        <x:v>BASE</x:v>
      </x:c>
      <x:c r="E33" s="82" t="n">
        <x:v>0</x:v>
      </x:c>
      <x:c r="F33" s="82" t="n">
        <x:v>15.453000000000001</x:v>
      </x:c>
      <x:c r="G33" s="83" t="n">
        <x:f>E33*F33</x:f>
        <x:v>0</x:v>
      </x:c>
      <x:c r="H33" s="60" t="str">
        <x:v>Invoice</x:v>
      </x:c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</x:row>
    <x:row r="34" ht="23" customHeight="1">
      <x:c r="A34" s="58" t="str">
        <x:v>AC-0027</x:v>
      </x:c>
      <x:c r="B34" s="58" t="str">
        <x:v>EW03</x:v>
      </x:c>
      <x:c r="C34" s="58" t="n">
        <x:v>3</x:v>
      </x:c>
      <x:c r="D34" s="58" t="str">
        <x:v>BASE</x:v>
      </x:c>
      <x:c r="E34" s="79" t="n">
        <x:v>0</x:v>
      </x:c>
      <x:c r="F34" s="79" t="n">
        <x:v>15.453000000000001</x:v>
      </x:c>
      <x:c r="G34" s="80" t="n">
        <x:f>E34*F34</x:f>
        <x:v>0</x:v>
      </x:c>
      <x:c r="H34" s="58" t="str">
        <x:v>Invoice</x:v>
      </x:c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</x:row>
    <x:row r="35" ht="23" customHeight="1">
      <x:c r="A35" s="60" t="str">
        <x:v>AC-0028</x:v>
      </x:c>
      <x:c r="B35" s="60" t="str">
        <x:v>EW03</x:v>
      </x:c>
      <x:c r="C35" s="60" t="n">
        <x:v>4</x:v>
      </x:c>
      <x:c r="D35" s="60" t="str">
        <x:v>BASE</x:v>
      </x:c>
      <x:c r="E35" s="82" t="n">
        <x:v>0</x:v>
      </x:c>
      <x:c r="F35" s="82" t="n">
        <x:v>15.453000000000001</x:v>
      </x:c>
      <x:c r="G35" s="83" t="n">
        <x:f>E35*F35</x:f>
        <x:v>0</x:v>
      </x:c>
      <x:c r="H35" s="60" t="str">
        <x:v>Invoice</x:v>
      </x:c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</x:row>
    <x:row r="36" ht="23" customHeight="1">
      <x:c r="A36" s="58" t="str">
        <x:v>AC-0029</x:v>
      </x:c>
      <x:c r="B36" s="58" t="str">
        <x:v>EW03</x:v>
      </x:c>
      <x:c r="C36" s="58" t="n">
        <x:v>5</x:v>
      </x:c>
      <x:c r="D36" s="58" t="str">
        <x:v>BASE</x:v>
      </x:c>
      <x:c r="E36" s="79" t="n">
        <x:v>1464</x:v>
      </x:c>
      <x:c r="F36" s="79" t="n">
        <x:v>15.453000000000001</x:v>
      </x:c>
      <x:c r="G36" s="80" t="n">
        <x:f>E36*F36</x:f>
        <x:v>22623.192000000003</x:v>
      </x:c>
      <x:c r="H36" s="58" t="str">
        <x:v>Invoice</x:v>
      </x:c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</x:row>
    <x:row r="37" ht="23" customHeight="1">
      <x:c r="A37" s="60" t="str">
        <x:v>AC-0030</x:v>
      </x:c>
      <x:c r="B37" s="60" t="str">
        <x:v>EW03</x:v>
      </x:c>
      <x:c r="C37" s="60" t="n">
        <x:v>6</x:v>
      </x:c>
      <x:c r="D37" s="60" t="str">
        <x:v>BASE</x:v>
      </x:c>
      <x:c r="E37" s="82" t="n">
        <x:v>1464</x:v>
      </x:c>
      <x:c r="F37" s="82" t="n">
        <x:v>15.453000000000001</x:v>
      </x:c>
      <x:c r="G37" s="83" t="n">
        <x:f>E37*F37</x:f>
        <x:v>22623.192000000003</x:v>
      </x:c>
      <x:c r="H37" s="60" t="str">
        <x:v>Invoice</x:v>
      </x:c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</x:row>
    <x:row r="38" ht="23" customHeight="1">
      <x:c r="A38" s="58" t="str">
        <x:v>AC-0031</x:v>
      </x:c>
      <x:c r="B38" s="58" t="str">
        <x:v>EW03</x:v>
      </x:c>
      <x:c r="C38" s="58" t="n">
        <x:v>7</x:v>
      </x:c>
      <x:c r="D38" s="58" t="str">
        <x:v>BASE</x:v>
      </x:c>
      <x:c r="E38" s="79" t="n">
        <x:v>1464</x:v>
      </x:c>
      <x:c r="F38" s="79" t="n">
        <x:v>15.453000000000001</x:v>
      </x:c>
      <x:c r="G38" s="80" t="n">
        <x:f>E38*F38</x:f>
        <x:v>22623.192000000003</x:v>
      </x:c>
      <x:c r="H38" s="58" t="str">
        <x:v>Invoice</x:v>
      </x:c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</x:row>
    <x:row r="39" ht="23" customHeight="1">
      <x:c r="A39" s="60" t="str">
        <x:v>AC-0032</x:v>
      </x:c>
      <x:c r="B39" s="60" t="str">
        <x:v>EW03</x:v>
      </x:c>
      <x:c r="C39" s="60" t="n">
        <x:v>8</x:v>
      </x:c>
      <x:c r="D39" s="60" t="str">
        <x:v>BASE</x:v>
      </x:c>
      <x:c r="E39" s="82" t="n">
        <x:v>0</x:v>
      </x:c>
      <x:c r="F39" s="82" t="n">
        <x:v>15.453000000000001</x:v>
      </x:c>
      <x:c r="G39" s="83" t="n">
        <x:f>E39*F39</x:f>
        <x:v>0</x:v>
      </x:c>
      <x:c r="H39" s="60" t="str">
        <x:v>Invoice</x:v>
      </x:c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</x:row>
    <x:row r="40" ht="23" customHeight="1">
      <x:c r="A40" s="58" t="str">
        <x:v>AC-0033</x:v>
      </x:c>
      <x:c r="B40" s="58" t="str">
        <x:v>EW03</x:v>
      </x:c>
      <x:c r="C40" s="58" t="n">
        <x:v>9</x:v>
      </x:c>
      <x:c r="D40" s="58" t="str">
        <x:v>BASE</x:v>
      </x:c>
      <x:c r="E40" s="79" t="n">
        <x:v>0</x:v>
      </x:c>
      <x:c r="F40" s="79" t="n">
        <x:v>15.453000000000001</x:v>
      </x:c>
      <x:c r="G40" s="80" t="n">
        <x:f>E40*F40</x:f>
        <x:v>0</x:v>
      </x:c>
      <x:c r="H40" s="58" t="str">
        <x:v>Invoice</x:v>
      </x:c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</x:row>
    <x:row r="41" ht="23" customHeight="1">
      <x:c r="A41" s="60" t="str">
        <x:v>AC-0034</x:v>
      </x:c>
      <x:c r="B41" s="60" t="str">
        <x:v>EW03</x:v>
      </x:c>
      <x:c r="C41" s="60" t="n">
        <x:v>10</x:v>
      </x:c>
      <x:c r="D41" s="60" t="str">
        <x:v>BASE</x:v>
      </x:c>
      <x:c r="E41" s="82" t="n">
        <x:v>0</x:v>
      </x:c>
      <x:c r="F41" s="82" t="n">
        <x:v>15.453000000000001</x:v>
      </x:c>
      <x:c r="G41" s="83" t="n">
        <x:f>E41*F41</x:f>
        <x:v>0</x:v>
      </x:c>
      <x:c r="H41" s="60" t="str">
        <x:v>Invoice</x:v>
      </x:c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</x:row>
    <x:row r="42" ht="23" customHeight="1">
      <x:c r="A42" s="58" t="str">
        <x:v>AC-0035</x:v>
      </x:c>
      <x:c r="B42" s="58" t="str">
        <x:v>EW03</x:v>
      </x:c>
      <x:c r="C42" s="58" t="n">
        <x:v>11</x:v>
      </x:c>
      <x:c r="D42" s="58" t="str">
        <x:v>BASE</x:v>
      </x:c>
      <x:c r="E42" s="79" t="n">
        <x:v>0</x:v>
      </x:c>
      <x:c r="F42" s="79" t="n">
        <x:v>15.453000000000001</x:v>
      </x:c>
      <x:c r="G42" s="80" t="n">
        <x:f>E42*F42</x:f>
        <x:v>0</x:v>
      </x:c>
      <x:c r="H42" s="58" t="str">
        <x:v>Invoice</x:v>
      </x:c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</x:row>
    <x:row r="43" ht="23" customHeight="1">
      <x:c r="A43" s="60" t="str">
        <x:v>AC-0036</x:v>
      </x:c>
      <x:c r="B43" s="60" t="str">
        <x:v>EW03</x:v>
      </x:c>
      <x:c r="C43" s="60" t="n">
        <x:v>12</x:v>
      </x:c>
      <x:c r="D43" s="60" t="str">
        <x:v>BASE</x:v>
      </x:c>
      <x:c r="E43" s="82" t="n">
        <x:v>0</x:v>
      </x:c>
      <x:c r="F43" s="82" t="n">
        <x:v>15.453000000000001</x:v>
      </x:c>
      <x:c r="G43" s="83" t="n">
        <x:f>E43*F43</x:f>
        <x:v>0</x:v>
      </x:c>
      <x:c r="H43" s="60" t="str">
        <x:v>Invoice</x:v>
      </x:c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</x:row>
    <x:row r="44" ht="23" customHeight="1">
      <x:c r="A44" s="58" t="str">
        <x:v>AC-0037</x:v>
      </x:c>
      <x:c r="B44" s="58" t="str">
        <x:v>RC01</x:v>
      </x:c>
      <x:c r="C44" s="58" t="n">
        <x:v>1</x:v>
      </x:c>
      <x:c r="D44" s="58" t="str">
        <x:v>BASE</x:v>
      </x:c>
      <x:c r="E44" s="79" t="n">
        <x:v>0</x:v>
      </x:c>
      <x:c r="F44" s="79" t="n">
        <x:v>97.28999999999999</x:v>
      </x:c>
      <x:c r="G44" s="80" t="n">
        <x:f>E44*F44</x:f>
        <x:v>0</x:v>
      </x:c>
      <x:c r="H44" s="58" t="str">
        <x:v>Accrual</x:v>
      </x:c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</x:row>
    <x:row r="45" ht="23" customHeight="1">
      <x:c r="A45" s="60" t="str">
        <x:v>AC-0038</x:v>
      </x:c>
      <x:c r="B45" s="60" t="str">
        <x:v>RC01</x:v>
      </x:c>
      <x:c r="C45" s="60" t="n">
        <x:v>2</x:v>
      </x:c>
      <x:c r="D45" s="60" t="str">
        <x:v>BASE</x:v>
      </x:c>
      <x:c r="E45" s="82" t="n">
        <x:v>720</x:v>
      </x:c>
      <x:c r="F45" s="82" t="n">
        <x:v>97.28999999999999</x:v>
      </x:c>
      <x:c r="G45" s="83" t="n">
        <x:f>E45*F45</x:f>
        <x:v>70048.79999999999</x:v>
      </x:c>
      <x:c r="H45" s="60" t="str">
        <x:v>Accrual</x:v>
      </x:c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</x:row>
    <x:row r="46" ht="23" customHeight="1">
      <x:c r="A46" s="58" t="str">
        <x:v>AC-0039</x:v>
      </x:c>
      <x:c r="B46" s="58" t="str">
        <x:v>RC01</x:v>
      </x:c>
      <x:c r="C46" s="58" t="n">
        <x:v>3</x:v>
      </x:c>
      <x:c r="D46" s="58" t="str">
        <x:v>BASE</x:v>
      </x:c>
      <x:c r="E46" s="79" t="n">
        <x:v>720</x:v>
      </x:c>
      <x:c r="F46" s="79" t="n">
        <x:v>97.28999999999999</x:v>
      </x:c>
      <x:c r="G46" s="80" t="n">
        <x:f>E46*F46</x:f>
        <x:v>70048.79999999999</x:v>
      </x:c>
      <x:c r="H46" s="58" t="str">
        <x:v>Accrual</x:v>
      </x:c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</x:row>
    <x:row r="47" ht="23" customHeight="1">
      <x:c r="A47" s="60" t="str">
        <x:v>AC-0040</x:v>
      </x:c>
      <x:c r="B47" s="60" t="str">
        <x:v>RC01</x:v>
      </x:c>
      <x:c r="C47" s="60" t="n">
        <x:v>4</x:v>
      </x:c>
      <x:c r="D47" s="60" t="str">
        <x:v>BASE</x:v>
      </x:c>
      <x:c r="E47" s="82" t="n">
        <x:v>0</x:v>
      </x:c>
      <x:c r="F47" s="82" t="n">
        <x:v>97.28999999999999</x:v>
      </x:c>
      <x:c r="G47" s="83" t="n">
        <x:f>E47*F47</x:f>
        <x:v>0</x:v>
      </x:c>
      <x:c r="H47" s="60" t="str">
        <x:v>Accrual</x:v>
      </x:c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</x:row>
    <x:row r="48" ht="23" customHeight="1">
      <x:c r="A48" s="58" t="str">
        <x:v>AC-0041</x:v>
      </x:c>
      <x:c r="B48" s="58" t="str">
        <x:v>RC01</x:v>
      </x:c>
      <x:c r="C48" s="58" t="n">
        <x:v>5</x:v>
      </x:c>
      <x:c r="D48" s="58" t="str">
        <x:v>BASE</x:v>
      </x:c>
      <x:c r="E48" s="79" t="n">
        <x:v>0</x:v>
      </x:c>
      <x:c r="F48" s="79" t="n">
        <x:v>97.28999999999999</x:v>
      </x:c>
      <x:c r="G48" s="80" t="n">
        <x:f>E48*F48</x:f>
        <x:v>0</x:v>
      </x:c>
      <x:c r="H48" s="58" t="str">
        <x:v>Accrual</x:v>
      </x:c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</x:row>
    <x:row r="49" ht="23" customHeight="1">
      <x:c r="A49" s="60" t="str">
        <x:v>AC-0042</x:v>
      </x:c>
      <x:c r="B49" s="60" t="str">
        <x:v>RC01</x:v>
      </x:c>
      <x:c r="C49" s="60" t="n">
        <x:v>6</x:v>
      </x:c>
      <x:c r="D49" s="60" t="str">
        <x:v>BASE</x:v>
      </x:c>
      <x:c r="E49" s="82" t="n">
        <x:v>0</x:v>
      </x:c>
      <x:c r="F49" s="82" t="n">
        <x:v>97.28999999999999</x:v>
      </x:c>
      <x:c r="G49" s="83" t="n">
        <x:f>E49*F49</x:f>
        <x:v>0</x:v>
      </x:c>
      <x:c r="H49" s="60" t="str">
        <x:v>Accrual</x:v>
      </x:c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</x:row>
    <x:row r="50" ht="23" customHeight="1">
      <x:c r="A50" s="58" t="str">
        <x:v>AC-0043</x:v>
      </x:c>
      <x:c r="B50" s="58" t="str">
        <x:v>RC01</x:v>
      </x:c>
      <x:c r="C50" s="58" t="n">
        <x:v>7</x:v>
      </x:c>
      <x:c r="D50" s="58" t="str">
        <x:v>BASE</x:v>
      </x:c>
      <x:c r="E50" s="79" t="n">
        <x:v>0</x:v>
      </x:c>
      <x:c r="F50" s="79" t="n">
        <x:v>97.28999999999999</x:v>
      </x:c>
      <x:c r="G50" s="80" t="n">
        <x:f>E50*F50</x:f>
        <x:v>0</x:v>
      </x:c>
      <x:c r="H50" s="58" t="str">
        <x:v>Accrual</x:v>
      </x:c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</x:row>
    <x:row r="51" ht="23" customHeight="1">
      <x:c r="A51" s="60" t="str">
        <x:v>AC-0044</x:v>
      </x:c>
      <x:c r="B51" s="60" t="str">
        <x:v>RC01</x:v>
      </x:c>
      <x:c r="C51" s="60" t="n">
        <x:v>8</x:v>
      </x:c>
      <x:c r="D51" s="60" t="str">
        <x:v>BASE</x:v>
      </x:c>
      <x:c r="E51" s="82" t="n">
        <x:v>0</x:v>
      </x:c>
      <x:c r="F51" s="82" t="n">
        <x:v>97.28999999999999</x:v>
      </x:c>
      <x:c r="G51" s="83" t="n">
        <x:f>E51*F51</x:f>
        <x:v>0</x:v>
      </x:c>
      <x:c r="H51" s="60" t="str">
        <x:v>Accrual</x:v>
      </x:c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</x:row>
    <x:row r="52" ht="23" customHeight="1">
      <x:c r="A52" s="58" t="str">
        <x:v>AC-0045</x:v>
      </x:c>
      <x:c r="B52" s="58" t="str">
        <x:v>RC01</x:v>
      </x:c>
      <x:c r="C52" s="58" t="n">
        <x:v>9</x:v>
      </x:c>
      <x:c r="D52" s="58" t="str">
        <x:v>BASE</x:v>
      </x:c>
      <x:c r="E52" s="79" t="n">
        <x:v>0</x:v>
      </x:c>
      <x:c r="F52" s="79" t="n">
        <x:v>97.28999999999999</x:v>
      </x:c>
      <x:c r="G52" s="80" t="n">
        <x:f>E52*F52</x:f>
        <x:v>0</x:v>
      </x:c>
      <x:c r="H52" s="58" t="str">
        <x:v>Accrual</x:v>
      </x:c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</x:row>
    <x:row r="53" ht="23" customHeight="1">
      <x:c r="A53" s="60" t="str">
        <x:v>AC-0046</x:v>
      </x:c>
      <x:c r="B53" s="60" t="str">
        <x:v>RC01</x:v>
      </x:c>
      <x:c r="C53" s="60" t="n">
        <x:v>10</x:v>
      </x:c>
      <x:c r="D53" s="60" t="str">
        <x:v>BASE</x:v>
      </x:c>
      <x:c r="E53" s="82" t="n">
        <x:v>0</x:v>
      </x:c>
      <x:c r="F53" s="82" t="n">
        <x:v>97.28999999999999</x:v>
      </x:c>
      <x:c r="G53" s="83" t="n">
        <x:f>E53*F53</x:f>
        <x:v>0</x:v>
      </x:c>
      <x:c r="H53" s="60" t="str">
        <x:v>Accrual</x:v>
      </x:c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</x:row>
    <x:row r="54" ht="23" customHeight="1">
      <x:c r="A54" s="58" t="str">
        <x:v>AC-0047</x:v>
      </x:c>
      <x:c r="B54" s="58" t="str">
        <x:v>RC01</x:v>
      </x:c>
      <x:c r="C54" s="58" t="n">
        <x:v>11</x:v>
      </x:c>
      <x:c r="D54" s="58" t="str">
        <x:v>BASE</x:v>
      </x:c>
      <x:c r="E54" s="79" t="n">
        <x:v>0</x:v>
      </x:c>
      <x:c r="F54" s="79" t="n">
        <x:v>97.28999999999999</x:v>
      </x:c>
      <x:c r="G54" s="80" t="n">
        <x:f>E54*F54</x:f>
        <x:v>0</x:v>
      </x:c>
      <x:c r="H54" s="58" t="str">
        <x:v>Accrual</x:v>
      </x:c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</x:row>
    <x:row r="55" ht="23" customHeight="1">
      <x:c r="A55" s="60" t="str">
        <x:v>AC-0048</x:v>
      </x:c>
      <x:c r="B55" s="60" t="str">
        <x:v>RC01</x:v>
      </x:c>
      <x:c r="C55" s="60" t="n">
        <x:v>12</x:v>
      </x:c>
      <x:c r="D55" s="60" t="str">
        <x:v>BASE</x:v>
      </x:c>
      <x:c r="E55" s="82" t="n">
        <x:v>0</x:v>
      </x:c>
      <x:c r="F55" s="82" t="n">
        <x:v>97.28999999999999</x:v>
      </x:c>
      <x:c r="G55" s="83" t="n">
        <x:f>E55*F55</x:f>
        <x:v>0</x:v>
      </x:c>
      <x:c r="H55" s="60" t="str">
        <x:v>Accrual</x:v>
      </x:c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</x:row>
    <x:row r="56" ht="23" customHeight="1">
      <x:c r="A56" s="58" t="str">
        <x:v>AC-0049</x:v>
      </x:c>
      <x:c r="B56" s="58" t="str">
        <x:v>RC02</x:v>
      </x:c>
      <x:c r="C56" s="58" t="n">
        <x:v>1</x:v>
      </x:c>
      <x:c r="D56" s="58" t="str">
        <x:v>BASE</x:v>
      </x:c>
      <x:c r="E56" s="79" t="n">
        <x:v>0</x:v>
      </x:c>
      <x:c r="F56" s="79" t="n">
        <x:v>144.16</x:v>
      </x:c>
      <x:c r="G56" s="80" t="n">
        <x:f>E56*F56</x:f>
        <x:v>0</x:v>
      </x:c>
      <x:c r="H56" s="58" t="str">
        <x:v>Invoice</x:v>
      </x:c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</x:row>
    <x:row r="57" ht="23" customHeight="1">
      <x:c r="A57" s="60" t="str">
        <x:v>AC-0050</x:v>
      </x:c>
      <x:c r="B57" s="60" t="str">
        <x:v>RC02</x:v>
      </x:c>
      <x:c r="C57" s="60" t="n">
        <x:v>2</x:v>
      </x:c>
      <x:c r="D57" s="60" t="str">
        <x:v>BASE</x:v>
      </x:c>
      <x:c r="E57" s="82" t="n">
        <x:v>0</x:v>
      </x:c>
      <x:c r="F57" s="82" t="n">
        <x:v>144.16</x:v>
      </x:c>
      <x:c r="G57" s="83" t="n">
        <x:f>E57*F57</x:f>
        <x:v>0</x:v>
      </x:c>
      <x:c r="H57" s="60" t="str">
        <x:v>Invoice</x:v>
      </x:c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</x:row>
    <x:row r="58" ht="23" customHeight="1">
      <x:c r="A58" s="58" t="str">
        <x:v>AC-0051</x:v>
      </x:c>
      <x:c r="B58" s="58" t="str">
        <x:v>RC02</x:v>
      </x:c>
      <x:c r="C58" s="58" t="n">
        <x:v>3</x:v>
      </x:c>
      <x:c r="D58" s="58" t="str">
        <x:v>BASE</x:v>
      </x:c>
      <x:c r="E58" s="79" t="n">
        <x:v>3060</x:v>
      </x:c>
      <x:c r="F58" s="79" t="n">
        <x:v>144.16</x:v>
      </x:c>
      <x:c r="G58" s="80" t="n">
        <x:f>E58*F58</x:f>
        <x:v>441129.6</x:v>
      </x:c>
      <x:c r="H58" s="58" t="str">
        <x:v>Invoice</x:v>
      </x:c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</x:row>
    <x:row r="59" ht="23" customHeight="1">
      <x:c r="A59" s="60" t="str">
        <x:v>AC-0052</x:v>
      </x:c>
      <x:c r="B59" s="60" t="str">
        <x:v>RC02</x:v>
      </x:c>
      <x:c r="C59" s="60" t="n">
        <x:v>4</x:v>
      </x:c>
      <x:c r="D59" s="60" t="str">
        <x:v>BASE</x:v>
      </x:c>
      <x:c r="E59" s="82" t="n">
        <x:v>3060</x:v>
      </x:c>
      <x:c r="F59" s="82" t="n">
        <x:v>144.16</x:v>
      </x:c>
      <x:c r="G59" s="83" t="n">
        <x:f>E59*F59</x:f>
        <x:v>441129.6</x:v>
      </x:c>
      <x:c r="H59" s="60" t="str">
        <x:v>Invoice</x:v>
      </x:c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</x:row>
    <x:row r="60" ht="23" customHeight="1">
      <x:c r="A60" s="58" t="str">
        <x:v>AC-0053</x:v>
      </x:c>
      <x:c r="B60" s="58" t="str">
        <x:v>RC02</x:v>
      </x:c>
      <x:c r="C60" s="58" t="n">
        <x:v>5</x:v>
      </x:c>
      <x:c r="D60" s="58" t="str">
        <x:v>BASE</x:v>
      </x:c>
      <x:c r="E60" s="79" t="n">
        <x:v>3060</x:v>
      </x:c>
      <x:c r="F60" s="79" t="n">
        <x:v>144.16</x:v>
      </x:c>
      <x:c r="G60" s="80" t="n">
        <x:f>E60*F60</x:f>
        <x:v>441129.6</x:v>
      </x:c>
      <x:c r="H60" s="58" t="str">
        <x:v>Invoice</x:v>
      </x:c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</x:row>
    <x:row r="61" ht="23" customHeight="1">
      <x:c r="A61" s="60" t="str">
        <x:v>AC-0054</x:v>
      </x:c>
      <x:c r="B61" s="60" t="str">
        <x:v>RC02</x:v>
      </x:c>
      <x:c r="C61" s="60" t="n">
        <x:v>6</x:v>
      </x:c>
      <x:c r="D61" s="60" t="str">
        <x:v>BASE</x:v>
      </x:c>
      <x:c r="E61" s="82" t="n">
        <x:v>3060</x:v>
      </x:c>
      <x:c r="F61" s="82" t="n">
        <x:v>144.16</x:v>
      </x:c>
      <x:c r="G61" s="83" t="n">
        <x:f>E61*F61</x:f>
        <x:v>441129.6</x:v>
      </x:c>
      <x:c r="H61" s="60" t="str">
        <x:v>Invoice</x:v>
      </x:c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</x:row>
    <x:row r="62" ht="23" customHeight="1">
      <x:c r="A62" s="58" t="str">
        <x:v>AC-0055</x:v>
      </x:c>
      <x:c r="B62" s="58" t="str">
        <x:v>RC02</x:v>
      </x:c>
      <x:c r="C62" s="58" t="n">
        <x:v>7</x:v>
      </x:c>
      <x:c r="D62" s="58" t="str">
        <x:v>BASE</x:v>
      </x:c>
      <x:c r="E62" s="79" t="n">
        <x:v>0</x:v>
      </x:c>
      <x:c r="F62" s="79" t="n">
        <x:v>144.16</x:v>
      </x:c>
      <x:c r="G62" s="80" t="n">
        <x:f>E62*F62</x:f>
        <x:v>0</x:v>
      </x:c>
      <x:c r="H62" s="58" t="str">
        <x:v>Invoice</x:v>
      </x:c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</x:row>
    <x:row r="63" ht="23" customHeight="1">
      <x:c r="A63" s="60" t="str">
        <x:v>AC-0056</x:v>
      </x:c>
      <x:c r="B63" s="60" t="str">
        <x:v>RC02</x:v>
      </x:c>
      <x:c r="C63" s="60" t="n">
        <x:v>8</x:v>
      </x:c>
      <x:c r="D63" s="60" t="str">
        <x:v>BASE</x:v>
      </x:c>
      <x:c r="E63" s="82" t="n">
        <x:v>0</x:v>
      </x:c>
      <x:c r="F63" s="82" t="n">
        <x:v>144.16</x:v>
      </x:c>
      <x:c r="G63" s="83" t="n">
        <x:f>E63*F63</x:f>
        <x:v>0</x:v>
      </x:c>
      <x:c r="H63" s="60" t="str">
        <x:v>Invoice</x:v>
      </x:c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</x:row>
    <x:row r="64" ht="23" customHeight="1">
      <x:c r="A64" s="58" t="str">
        <x:v>AC-0057</x:v>
      </x:c>
      <x:c r="B64" s="58" t="str">
        <x:v>RC02</x:v>
      </x:c>
      <x:c r="C64" s="58" t="n">
        <x:v>9</x:v>
      </x:c>
      <x:c r="D64" s="58" t="str">
        <x:v>BASE</x:v>
      </x:c>
      <x:c r="E64" s="79" t="n">
        <x:v>0</x:v>
      </x:c>
      <x:c r="F64" s="79" t="n">
        <x:v>144.16</x:v>
      </x:c>
      <x:c r="G64" s="80" t="n">
        <x:f>E64*F64</x:f>
        <x:v>0</x:v>
      </x:c>
      <x:c r="H64" s="58" t="str">
        <x:v>Invoice</x:v>
      </x:c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</x:row>
    <x:row r="65" ht="23" customHeight="1">
      <x:c r="A65" s="60" t="str">
        <x:v>AC-0058</x:v>
      </x:c>
      <x:c r="B65" s="60" t="str">
        <x:v>RC02</x:v>
      </x:c>
      <x:c r="C65" s="60" t="n">
        <x:v>10</x:v>
      </x:c>
      <x:c r="D65" s="60" t="str">
        <x:v>BASE</x:v>
      </x:c>
      <x:c r="E65" s="82" t="n">
        <x:v>0</x:v>
      </x:c>
      <x:c r="F65" s="82" t="n">
        <x:v>144.16</x:v>
      </x:c>
      <x:c r="G65" s="83" t="n">
        <x:f>E65*F65</x:f>
        <x:v>0</x:v>
      </x:c>
      <x:c r="H65" s="60" t="str">
        <x:v>Invoice</x:v>
      </x:c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</x:row>
    <x:row r="66" ht="23" customHeight="1">
      <x:c r="A66" s="58" t="str">
        <x:v>AC-0059</x:v>
      </x:c>
      <x:c r="B66" s="58" t="str">
        <x:v>RC02</x:v>
      </x:c>
      <x:c r="C66" s="58" t="n">
        <x:v>11</x:v>
      </x:c>
      <x:c r="D66" s="58" t="str">
        <x:v>BASE</x:v>
      </x:c>
      <x:c r="E66" s="79" t="n">
        <x:v>0</x:v>
      </x:c>
      <x:c r="F66" s="79" t="n">
        <x:v>144.16</x:v>
      </x:c>
      <x:c r="G66" s="80" t="n">
        <x:f>E66*F66</x:f>
        <x:v>0</x:v>
      </x:c>
      <x:c r="H66" s="58" t="str">
        <x:v>Invoice</x:v>
      </x:c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</x:row>
    <x:row r="67" ht="23" customHeight="1">
      <x:c r="A67" s="60" t="str">
        <x:v>AC-0060</x:v>
      </x:c>
      <x:c r="B67" s="60" t="str">
        <x:v>RC02</x:v>
      </x:c>
      <x:c r="C67" s="60" t="n">
        <x:v>12</x:v>
      </x:c>
      <x:c r="D67" s="60" t="str">
        <x:v>BASE</x:v>
      </x:c>
      <x:c r="E67" s="82" t="n">
        <x:v>0</x:v>
      </x:c>
      <x:c r="F67" s="82" t="n">
        <x:v>144.16</x:v>
      </x:c>
      <x:c r="G67" s="83" t="n">
        <x:f>E67*F67</x:f>
        <x:v>0</x:v>
      </x:c>
      <x:c r="H67" s="60" t="str">
        <x:v>Invoice</x:v>
      </x:c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</x:row>
    <x:row r="68" ht="23" customHeight="1">
      <x:c r="A68" s="58" t="str">
        <x:v>AC-0061</x:v>
      </x:c>
      <x:c r="B68" s="58" t="str">
        <x:v>RC03</x:v>
      </x:c>
      <x:c r="C68" s="58" t="n">
        <x:v>1</x:v>
      </x:c>
      <x:c r="D68" s="58" t="str">
        <x:v>BASE</x:v>
      </x:c>
      <x:c r="E68" s="79" t="n">
        <x:v>0</x:v>
      </x:c>
      <x:c r="F68" s="79" t="n">
        <x:v>155.155</x:v>
      </x:c>
      <x:c r="G68" s="80" t="n">
        <x:f>E68*F68</x:f>
        <x:v>0</x:v>
      </x:c>
      <x:c r="H68" s="58" t="str">
        <x:v>Invoice</x:v>
      </x:c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</x:row>
    <x:row r="69" ht="23" customHeight="1">
      <x:c r="A69" s="60" t="str">
        <x:v>AC-0062</x:v>
      </x:c>
      <x:c r="B69" s="60" t="str">
        <x:v>RC03</x:v>
      </x:c>
      <x:c r="C69" s="60" t="n">
        <x:v>2</x:v>
      </x:c>
      <x:c r="D69" s="60" t="str">
        <x:v>BASE</x:v>
      </x:c>
      <x:c r="E69" s="82" t="n">
        <x:v>0</x:v>
      </x:c>
      <x:c r="F69" s="82" t="n">
        <x:v>155.155</x:v>
      </x:c>
      <x:c r="G69" s="83" t="n">
        <x:f>E69*F69</x:f>
        <x:v>0</x:v>
      </x:c>
      <x:c r="H69" s="60" t="str">
        <x:v>Invoice</x:v>
      </x:c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</x:row>
    <x:row r="70" ht="23" customHeight="1">
      <x:c r="A70" s="58" t="str">
        <x:v>AC-0063</x:v>
      </x:c>
      <x:c r="B70" s="58" t="str">
        <x:v>RC03</x:v>
      </x:c>
      <x:c r="C70" s="58" t="n">
        <x:v>3</x:v>
      </x:c>
      <x:c r="D70" s="58" t="str">
        <x:v>BASE</x:v>
      </x:c>
      <x:c r="E70" s="79" t="n">
        <x:v>0</x:v>
      </x:c>
      <x:c r="F70" s="79" t="n">
        <x:v>155.155</x:v>
      </x:c>
      <x:c r="G70" s="80" t="n">
        <x:f>E70*F70</x:f>
        <x:v>0</x:v>
      </x:c>
      <x:c r="H70" s="58" t="str">
        <x:v>Invoice</x:v>
      </x:c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</x:row>
    <x:row r="71" ht="23" customHeight="1">
      <x:c r="A71" s="60" t="str">
        <x:v>AC-0064</x:v>
      </x:c>
      <x:c r="B71" s="60" t="str">
        <x:v>RC03</x:v>
      </x:c>
      <x:c r="C71" s="60" t="n">
        <x:v>4</x:v>
      </x:c>
      <x:c r="D71" s="60" t="str">
        <x:v>BASE</x:v>
      </x:c>
      <x:c r="E71" s="82" t="n">
        <x:v>0</x:v>
      </x:c>
      <x:c r="F71" s="82" t="n">
        <x:v>155.155</x:v>
      </x:c>
      <x:c r="G71" s="83" t="n">
        <x:f>E71*F71</x:f>
        <x:v>0</x:v>
      </x:c>
      <x:c r="H71" s="60" t="str">
        <x:v>Invoice</x:v>
      </x:c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</x:row>
    <x:row r="72" ht="23" customHeight="1">
      <x:c r="A72" s="58" t="str">
        <x:v>AC-0065</x:v>
      </x:c>
      <x:c r="B72" s="58" t="str">
        <x:v>RC03</x:v>
      </x:c>
      <x:c r="C72" s="58" t="n">
        <x:v>5</x:v>
      </x:c>
      <x:c r="D72" s="58" t="str">
        <x:v>BASE</x:v>
      </x:c>
      <x:c r="E72" s="79" t="n">
        <x:v>0</x:v>
      </x:c>
      <x:c r="F72" s="79" t="n">
        <x:v>155.155</x:v>
      </x:c>
      <x:c r="G72" s="80" t="n">
        <x:f>E72*F72</x:f>
        <x:v>0</x:v>
      </x:c>
      <x:c r="H72" s="58" t="str">
        <x:v>Invoice</x:v>
      </x:c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</x:row>
    <x:row r="73" ht="23" customHeight="1">
      <x:c r="A73" s="60" t="str">
        <x:v>AC-0066</x:v>
      </x:c>
      <x:c r="B73" s="60" t="str">
        <x:v>RC03</x:v>
      </x:c>
      <x:c r="C73" s="60" t="n">
        <x:v>6</x:v>
      </x:c>
      <x:c r="D73" s="60" t="str">
        <x:v>BASE</x:v>
      </x:c>
      <x:c r="E73" s="82" t="n">
        <x:v>0</x:v>
      </x:c>
      <x:c r="F73" s="82" t="n">
        <x:v>155.155</x:v>
      </x:c>
      <x:c r="G73" s="83" t="n">
        <x:f>E73*F73</x:f>
        <x:v>0</x:v>
      </x:c>
      <x:c r="H73" s="60" t="str">
        <x:v>Invoice</x:v>
      </x:c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</x:row>
    <x:row r="74" ht="23" customHeight="1">
      <x:c r="A74" s="58" t="str">
        <x:v>AC-0067</x:v>
      </x:c>
      <x:c r="B74" s="58" t="str">
        <x:v>RC03</x:v>
      </x:c>
      <x:c r="C74" s="58" t="n">
        <x:v>7</x:v>
      </x:c>
      <x:c r="D74" s="58" t="str">
        <x:v>BASE</x:v>
      </x:c>
      <x:c r="E74" s="79" t="n">
        <x:v>995.2799999999976</x:v>
      </x:c>
      <x:c r="F74" s="79" t="n">
        <x:v>155.155</x:v>
      </x:c>
      <x:c r="G74" s="80" t="n">
        <x:f>E74*F74</x:f>
        <x:v>154422.66839999962</x:v>
      </x:c>
      <x:c r="H74" s="58" t="str">
        <x:v>Invoice</x:v>
      </x:c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</x:row>
    <x:row r="75" ht="23" customHeight="1">
      <x:c r="A75" s="60" t="str">
        <x:v>AC-0068</x:v>
      </x:c>
      <x:c r="B75" s="60" t="str">
        <x:v>RC03</x:v>
      </x:c>
      <x:c r="C75" s="60" t="n">
        <x:v>8</x:v>
      </x:c>
      <x:c r="D75" s="60" t="str">
        <x:v>BASE</x:v>
      </x:c>
      <x:c r="E75" s="82" t="n">
        <x:v>995.2799999999976</x:v>
      </x:c>
      <x:c r="F75" s="82" t="n">
        <x:v>155.155</x:v>
      </x:c>
      <x:c r="G75" s="83" t="n">
        <x:f>E75*F75</x:f>
        <x:v>154422.66839999962</x:v>
      </x:c>
      <x:c r="H75" s="60" t="str">
        <x:v>Invoice</x:v>
      </x:c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</x:row>
    <x:row r="76" ht="23" customHeight="1">
      <x:c r="A76" s="58" t="str">
        <x:v>AC-0069</x:v>
      </x:c>
      <x:c r="B76" s="58" t="str">
        <x:v>RC03</x:v>
      </x:c>
      <x:c r="C76" s="58" t="n">
        <x:v>9</x:v>
      </x:c>
      <x:c r="D76" s="58" t="str">
        <x:v>BASE</x:v>
      </x:c>
      <x:c r="E76" s="79" t="n">
        <x:v>995.2799999999977</x:v>
      </x:c>
      <x:c r="F76" s="79" t="n">
        <x:v>155.155</x:v>
      </x:c>
      <x:c r="G76" s="80" t="n">
        <x:f>E76*F76</x:f>
        <x:v>154422.66839999965</x:v>
      </x:c>
      <x:c r="H76" s="58" t="str">
        <x:v>Invoice</x:v>
      </x:c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</x:row>
    <x:row r="77" ht="23" customHeight="1">
      <x:c r="A77" s="60" t="str">
        <x:v>AC-0070</x:v>
      </x:c>
      <x:c r="B77" s="60" t="str">
        <x:v>RC03</x:v>
      </x:c>
      <x:c r="C77" s="60" t="n">
        <x:v>10</x:v>
      </x:c>
      <x:c r="D77" s="60" t="str">
        <x:v>BASE</x:v>
      </x:c>
      <x:c r="E77" s="82" t="n">
        <x:v>995.2799999999975</x:v>
      </x:c>
      <x:c r="F77" s="82" t="n">
        <x:v>155.155</x:v>
      </x:c>
      <x:c r="G77" s="83" t="n">
        <x:f>E77*F77</x:f>
        <x:v>154422.66839999962</x:v>
      </x:c>
      <x:c r="H77" s="60" t="str">
        <x:v>Invoice</x:v>
      </x:c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</x:row>
    <x:row r="78" ht="23" customHeight="1">
      <x:c r="A78" s="58" t="str">
        <x:v>AC-0071</x:v>
      </x:c>
      <x:c r="B78" s="58" t="str">
        <x:v>RC03</x:v>
      </x:c>
      <x:c r="C78" s="58" t="n">
        <x:v>11</x:v>
      </x:c>
      <x:c r="D78" s="58" t="str">
        <x:v>BASE</x:v>
      </x:c>
      <x:c r="E78" s="79" t="n">
        <x:v>995.2799999999984</x:v>
      </x:c>
      <x:c r="F78" s="79" t="n">
        <x:v>155.155</x:v>
      </x:c>
      <x:c r="G78" s="80" t="n">
        <x:f>E78*F78</x:f>
        <x:v>154422.66839999976</x:v>
      </x:c>
      <x:c r="H78" s="58" t="str">
        <x:v>Invoice</x:v>
      </x:c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</x:row>
    <x:row r="79" ht="23" customHeight="1">
      <x:c r="A79" s="60" t="str">
        <x:v>AC-0072</x:v>
      </x:c>
      <x:c r="B79" s="60" t="str">
        <x:v>RC03</x:v>
      </x:c>
      <x:c r="C79" s="60" t="n">
        <x:v>12</x:v>
      </x:c>
      <x:c r="D79" s="60" t="str">
        <x:v>BASE</x:v>
      </x:c>
      <x:c r="E79" s="82" t="n">
        <x:v>995.279999999997</x:v>
      </x:c>
      <x:c r="F79" s="82" t="n">
        <x:v>155.155</x:v>
      </x:c>
      <x:c r="G79" s="83" t="n">
        <x:f>E79*F79</x:f>
        <x:v>154422.66839999953</x:v>
      </x:c>
      <x:c r="H79" s="60" t="str">
        <x:v>Invoice</x:v>
      </x:c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</x:row>
    <x:row r="80" ht="23" customHeight="1">
      <x:c r="A80" s="58" t="str">
        <x:v>AC-0073</x:v>
      </x:c>
      <x:c r="B80" s="58" t="str">
        <x:v>RC04</x:v>
      </x:c>
      <x:c r="C80" s="58" t="n">
        <x:v>1</x:v>
      </x:c>
      <x:c r="D80" s="58" t="str">
        <x:v>BASE</x:v>
      </x:c>
      <x:c r="E80" s="79" t="n">
        <x:v>0</x:v>
      </x:c>
      <x:c r="F80" s="79" t="n">
        <x:v>167.60999999999999</x:v>
      </x:c>
      <x:c r="G80" s="80" t="n">
        <x:f>E80*F80</x:f>
        <x:v>0</x:v>
      </x:c>
      <x:c r="H80" s="58" t="str">
        <x:v>Accrual</x:v>
      </x:c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</x:row>
    <x:row r="81" ht="23" customHeight="1">
      <x:c r="A81" s="60" t="str">
        <x:v>AC-0074</x:v>
      </x:c>
      <x:c r="B81" s="60" t="str">
        <x:v>RC04</x:v>
      </x:c>
      <x:c r="C81" s="60" t="n">
        <x:v>2</x:v>
      </x:c>
      <x:c r="D81" s="60" t="str">
        <x:v>BASE</x:v>
      </x:c>
      <x:c r="E81" s="82" t="n">
        <x:v>0</x:v>
      </x:c>
      <x:c r="F81" s="82" t="n">
        <x:v>167.60999999999999</x:v>
      </x:c>
      <x:c r="G81" s="83" t="n">
        <x:f>E81*F81</x:f>
        <x:v>0</x:v>
      </x:c>
      <x:c r="H81" s="60" t="str">
        <x:v>Accrual</x:v>
      </x:c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</x:row>
    <x:row r="82" ht="23" customHeight="1">
      <x:c r="A82" s="58" t="str">
        <x:v>AC-0075</x:v>
      </x:c>
      <x:c r="B82" s="58" t="str">
        <x:v>RC04</x:v>
      </x:c>
      <x:c r="C82" s="58" t="n">
        <x:v>3</x:v>
      </x:c>
      <x:c r="D82" s="58" t="str">
        <x:v>BASE</x:v>
      </x:c>
      <x:c r="E82" s="79" t="n">
        <x:v>0</x:v>
      </x:c>
      <x:c r="F82" s="79" t="n">
        <x:v>167.60999999999999</x:v>
      </x:c>
      <x:c r="G82" s="80" t="n">
        <x:f>E82*F82</x:f>
        <x:v>0</x:v>
      </x:c>
      <x:c r="H82" s="58" t="str">
        <x:v>Accrual</x:v>
      </x:c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</x:row>
    <x:row r="83" ht="23" customHeight="1">
      <x:c r="A83" s="60" t="str">
        <x:v>AC-0076</x:v>
      </x:c>
      <x:c r="B83" s="60" t="str">
        <x:v>RC04</x:v>
      </x:c>
      <x:c r="C83" s="60" t="n">
        <x:v>4</x:v>
      </x:c>
      <x:c r="D83" s="60" t="str">
        <x:v>BASE</x:v>
      </x:c>
      <x:c r="E83" s="82" t="n">
        <x:v>0</x:v>
      </x:c>
      <x:c r="F83" s="82" t="n">
        <x:v>167.60999999999999</x:v>
      </x:c>
      <x:c r="G83" s="83" t="n">
        <x:f>E83*F83</x:f>
        <x:v>0</x:v>
      </x:c>
      <x:c r="H83" s="60" t="str">
        <x:v>Accrual</x:v>
      </x:c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</x:row>
    <x:row r="84" ht="23" customHeight="1">
      <x:c r="A84" s="58" t="str">
        <x:v>AC-0077</x:v>
      </x:c>
      <x:c r="B84" s="58" t="str">
        <x:v>RC04</x:v>
      </x:c>
      <x:c r="C84" s="58" t="n">
        <x:v>5</x:v>
      </x:c>
      <x:c r="D84" s="58" t="str">
        <x:v>BASE</x:v>
      </x:c>
      <x:c r="E84" s="79" t="n">
        <x:v>0</x:v>
      </x:c>
      <x:c r="F84" s="79" t="n">
        <x:v>167.60999999999999</x:v>
      </x:c>
      <x:c r="G84" s="80" t="n">
        <x:f>E84*F84</x:f>
        <x:v>0</x:v>
      </x:c>
      <x:c r="H84" s="58" t="str">
        <x:v>Accrual</x:v>
      </x:c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</x:row>
    <x:row r="85" ht="23" customHeight="1">
      <x:c r="A85" s="60" t="str">
        <x:v>AC-0078</x:v>
      </x:c>
      <x:c r="B85" s="60" t="str">
        <x:v>RC04</x:v>
      </x:c>
      <x:c r="C85" s="60" t="n">
        <x:v>6</x:v>
      </x:c>
      <x:c r="D85" s="60" t="str">
        <x:v>BASE</x:v>
      </x:c>
      <x:c r="E85" s="82" t="n">
        <x:v>199.69949999999977</x:v>
      </x:c>
      <x:c r="F85" s="82" t="n">
        <x:v>167.60999999999999</x:v>
      </x:c>
      <x:c r="G85" s="83" t="n">
        <x:f>E85*F85</x:f>
        <x:v>33471.63319499996</x:v>
      </x:c>
      <x:c r="H85" s="60" t="str">
        <x:v>Accrual</x:v>
      </x:c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</x:row>
    <x:row r="86" ht="23" customHeight="1">
      <x:c r="A86" s="58" t="str">
        <x:v>AC-0079</x:v>
      </x:c>
      <x:c r="B86" s="58" t="str">
        <x:v>RC04</x:v>
      </x:c>
      <x:c r="C86" s="58" t="n">
        <x:v>7</x:v>
      </x:c>
      <x:c r="D86" s="58" t="str">
        <x:v>BASE</x:v>
      </x:c>
      <x:c r="E86" s="79" t="n">
        <x:v>199.69949999999977</x:v>
      </x:c>
      <x:c r="F86" s="79" t="n">
        <x:v>167.60999999999999</x:v>
      </x:c>
      <x:c r="G86" s="80" t="n">
        <x:f>E86*F86</x:f>
        <x:v>33471.63319499996</x:v>
      </x:c>
      <x:c r="H86" s="58" t="str">
        <x:v>Accrual</x:v>
      </x:c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</x:row>
    <x:row r="87" ht="23" customHeight="1">
      <x:c r="A87" s="60" t="str">
        <x:v>AC-0080</x:v>
      </x:c>
      <x:c r="B87" s="60" t="str">
        <x:v>RC04</x:v>
      </x:c>
      <x:c r="C87" s="60" t="n">
        <x:v>8</x:v>
      </x:c>
      <x:c r="D87" s="60" t="str">
        <x:v>BASE</x:v>
      </x:c>
      <x:c r="E87" s="82" t="n">
        <x:v>199.69949999999983</x:v>
      </x:c>
      <x:c r="F87" s="82" t="n">
        <x:v>167.60999999999999</x:v>
      </x:c>
      <x:c r="G87" s="83" t="n">
        <x:f>E87*F87</x:f>
        <x:v>33471.633194999966</x:v>
      </x:c>
      <x:c r="H87" s="60" t="str">
        <x:v>Accrual</x:v>
      </x:c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</x:row>
    <x:row r="88" ht="23" customHeight="1">
      <x:c r="A88" s="58" t="str">
        <x:v>AC-0081</x:v>
      </x:c>
      <x:c r="B88" s="58" t="str">
        <x:v>RC04</x:v>
      </x:c>
      <x:c r="C88" s="58" t="n">
        <x:v>9</x:v>
      </x:c>
      <x:c r="D88" s="58" t="str">
        <x:v>BASE</x:v>
      </x:c>
      <x:c r="E88" s="79" t="n">
        <x:v>199.69949999999972</x:v>
      </x:c>
      <x:c r="F88" s="79" t="n">
        <x:v>167.60999999999999</x:v>
      </x:c>
      <x:c r="G88" s="80" t="n">
        <x:f>E88*F88</x:f>
        <x:v>33471.63319499995</x:v>
      </x:c>
      <x:c r="H88" s="58" t="str">
        <x:v>Accrual</x:v>
      </x:c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</x:row>
    <x:row r="89" ht="23" customHeight="1">
      <x:c r="A89" s="60" t="str">
        <x:v>AC-0082</x:v>
      </x:c>
      <x:c r="B89" s="60" t="str">
        <x:v>RC04</x:v>
      </x:c>
      <x:c r="C89" s="60" t="n">
        <x:v>10</x:v>
      </x:c>
      <x:c r="D89" s="60" t="str">
        <x:v>BASE</x:v>
      </x:c>
      <x:c r="E89" s="82" t="n">
        <x:v>199.69949999999994</x:v>
      </x:c>
      <x:c r="F89" s="82" t="n">
        <x:v>167.60999999999999</x:v>
      </x:c>
      <x:c r="G89" s="83" t="n">
        <x:f>E89*F89</x:f>
        <x:v>33471.63319499999</x:v>
      </x:c>
      <x:c r="H89" s="60" t="str">
        <x:v>Accrual</x:v>
      </x:c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</x:row>
    <x:row r="90" ht="23" customHeight="1">
      <x:c r="A90" s="58" t="str">
        <x:v>AC-0083</x:v>
      </x:c>
      <x:c r="B90" s="58" t="str">
        <x:v>RC04</x:v>
      </x:c>
      <x:c r="C90" s="58" t="n">
        <x:v>11</x:v>
      </x:c>
      <x:c r="D90" s="58" t="str">
        <x:v>BASE</x:v>
      </x:c>
      <x:c r="E90" s="79" t="n">
        <x:v>199.69949999999972</x:v>
      </x:c>
      <x:c r="F90" s="79" t="n">
        <x:v>167.60999999999999</x:v>
      </x:c>
      <x:c r="G90" s="80" t="n">
        <x:f>E90*F90</x:f>
        <x:v>33471.63319499995</x:v>
      </x:c>
      <x:c r="H90" s="58" t="str">
        <x:v>Accrual</x:v>
      </x:c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</x:row>
    <x:row r="91" ht="23" customHeight="1">
      <x:c r="A91" s="60" t="str">
        <x:v>AC-0084</x:v>
      </x:c>
      <x:c r="B91" s="60" t="str">
        <x:v>RC04</x:v>
      </x:c>
      <x:c r="C91" s="60" t="n">
        <x:v>12</x:v>
      </x:c>
      <x:c r="D91" s="60" t="str">
        <x:v>BASE</x:v>
      </x:c>
      <x:c r="E91" s="82" t="n">
        <x:v>199.69949999999994</x:v>
      </x:c>
      <x:c r="F91" s="82" t="n">
        <x:v>167.60999999999999</x:v>
      </x:c>
      <x:c r="G91" s="83" t="n">
        <x:f>E91*F91</x:f>
        <x:v>33471.63319499999</x:v>
      </x:c>
      <x:c r="H91" s="60" t="str">
        <x:v>Accrual</x:v>
      </x:c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</x:row>
    <x:row r="92" ht="23" customHeight="1">
      <x:c r="A92" s="58" t="str">
        <x:v>AC-0085</x:v>
      </x:c>
      <x:c r="B92" s="58" t="str">
        <x:v>RC05</x:v>
      </x:c>
      <x:c r="C92" s="58" t="n">
        <x:v>1</x:v>
      </x:c>
      <x:c r="D92" s="58" t="str">
        <x:v>BASE</x:v>
      </x:c>
      <x:c r="E92" s="79" t="n">
        <x:v>0</x:v>
      </x:c>
      <x:c r="F92" s="79" t="n">
        <x:v>157.44</x:v>
      </x:c>
      <x:c r="G92" s="80" t="n">
        <x:f>E92*F92</x:f>
        <x:v>0</x:v>
      </x:c>
      <x:c r="H92" s="58" t="str">
        <x:v>Invoice</x:v>
      </x:c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</x:row>
    <x:row r="93" ht="23" customHeight="1">
      <x:c r="A93" s="60" t="str">
        <x:v>AC-0086</x:v>
      </x:c>
      <x:c r="B93" s="60" t="str">
        <x:v>RC05</x:v>
      </x:c>
      <x:c r="C93" s="60" t="n">
        <x:v>2</x:v>
      </x:c>
      <x:c r="D93" s="60" t="str">
        <x:v>BASE</x:v>
      </x:c>
      <x:c r="E93" s="82" t="n">
        <x:v>0</x:v>
      </x:c>
      <x:c r="F93" s="82" t="n">
        <x:v>157.44</x:v>
      </x:c>
      <x:c r="G93" s="83" t="n">
        <x:f>E93*F93</x:f>
        <x:v>0</x:v>
      </x:c>
      <x:c r="H93" s="60" t="str">
        <x:v>Invoice</x:v>
      </x:c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</x:row>
    <x:row r="94" ht="23" customHeight="1">
      <x:c r="A94" s="58" t="str">
        <x:v>AC-0087</x:v>
      </x:c>
      <x:c r="B94" s="58" t="str">
        <x:v>RC05</x:v>
      </x:c>
      <x:c r="C94" s="58" t="n">
        <x:v>3</x:v>
      </x:c>
      <x:c r="D94" s="58" t="str">
        <x:v>BASE</x:v>
      </x:c>
      <x:c r="E94" s="79" t="n">
        <x:v>0</x:v>
      </x:c>
      <x:c r="F94" s="79" t="n">
        <x:v>157.44</x:v>
      </x:c>
      <x:c r="G94" s="80" t="n">
        <x:f>E94*F94</x:f>
        <x:v>0</x:v>
      </x:c>
      <x:c r="H94" s="58" t="str">
        <x:v>Invoice</x:v>
      </x:c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</x:row>
    <x:row r="95" ht="23" customHeight="1">
      <x:c r="A95" s="60" t="str">
        <x:v>AC-0088</x:v>
      </x:c>
      <x:c r="B95" s="60" t="str">
        <x:v>RC05</x:v>
      </x:c>
      <x:c r="C95" s="60" t="n">
        <x:v>4</x:v>
      </x:c>
      <x:c r="D95" s="60" t="str">
        <x:v>BASE</x:v>
      </x:c>
      <x:c r="E95" s="82" t="n">
        <x:v>0</x:v>
      </x:c>
      <x:c r="F95" s="82" t="n">
        <x:v>157.44</x:v>
      </x:c>
      <x:c r="G95" s="83" t="n">
        <x:f>E95*F95</x:f>
        <x:v>0</x:v>
      </x:c>
      <x:c r="H95" s="60" t="str">
        <x:v>Invoice</x:v>
      </x:c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</x:row>
    <x:row r="96" ht="23" customHeight="1">
      <x:c r="A96" s="58" t="str">
        <x:v>AC-0089</x:v>
      </x:c>
      <x:c r="B96" s="58" t="str">
        <x:v>RC05</x:v>
      </x:c>
      <x:c r="C96" s="58" t="n">
        <x:v>5</x:v>
      </x:c>
      <x:c r="D96" s="58" t="str">
        <x:v>BASE</x:v>
      </x:c>
      <x:c r="E96" s="79" t="n">
        <x:v>140.9167499999998</x:v>
      </x:c>
      <x:c r="F96" s="79" t="n">
        <x:v>157.44</x:v>
      </x:c>
      <x:c r="G96" s="80" t="n">
        <x:f>E96*F96</x:f>
        <x:v>22185.93311999997</x:v>
      </x:c>
      <x:c r="H96" s="58" t="str">
        <x:v>Invoice</x:v>
      </x:c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</x:row>
    <x:row r="97" ht="23" customHeight="1">
      <x:c r="A97" s="60" t="str">
        <x:v>AC-0090</x:v>
      </x:c>
      <x:c r="B97" s="60" t="str">
        <x:v>RC05</x:v>
      </x:c>
      <x:c r="C97" s="60" t="n">
        <x:v>6</x:v>
      </x:c>
      <x:c r="D97" s="60" t="str">
        <x:v>BASE</x:v>
      </x:c>
      <x:c r="E97" s="82" t="n">
        <x:v>140.9167499999998</x:v>
      </x:c>
      <x:c r="F97" s="82" t="n">
        <x:v>157.44</x:v>
      </x:c>
      <x:c r="G97" s="83" t="n">
        <x:f>E97*F97</x:f>
        <x:v>22185.93311999997</x:v>
      </x:c>
      <x:c r="H97" s="60" t="str">
        <x:v>Invoice</x:v>
      </x:c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</x:row>
    <x:row r="98" ht="23" customHeight="1">
      <x:c r="A98" s="58" t="str">
        <x:v>AC-0091</x:v>
      </x:c>
      <x:c r="B98" s="58" t="str">
        <x:v>RC05</x:v>
      </x:c>
      <x:c r="C98" s="58" t="n">
        <x:v>7</x:v>
      </x:c>
      <x:c r="D98" s="58" t="str">
        <x:v>BASE</x:v>
      </x:c>
      <x:c r="E98" s="79" t="n">
        <x:v>140.9167499999998</x:v>
      </x:c>
      <x:c r="F98" s="79" t="n">
        <x:v>157.44</x:v>
      </x:c>
      <x:c r="G98" s="80" t="n">
        <x:f>E98*F98</x:f>
        <x:v>22185.93311999997</x:v>
      </x:c>
      <x:c r="H98" s="58" t="str">
        <x:v>Invoice</x:v>
      </x:c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</x:row>
    <x:row r="99" ht="23" customHeight="1">
      <x:c r="A99" s="60" t="str">
        <x:v>AC-0092</x:v>
      </x:c>
      <x:c r="B99" s="60" t="str">
        <x:v>RC05</x:v>
      </x:c>
      <x:c r="C99" s="60" t="n">
        <x:v>8</x:v>
      </x:c>
      <x:c r="D99" s="60" t="str">
        <x:v>BASE</x:v>
      </x:c>
      <x:c r="E99" s="82" t="n">
        <x:v>140.9167499999998</x:v>
      </x:c>
      <x:c r="F99" s="82" t="n">
        <x:v>157.44</x:v>
      </x:c>
      <x:c r="G99" s="83" t="n">
        <x:f>E99*F99</x:f>
        <x:v>22185.93311999997</x:v>
      </x:c>
      <x:c r="H99" s="60" t="str">
        <x:v>Invoice</x:v>
      </x:c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</x:row>
    <x:row r="100" ht="23" customHeight="1">
      <x:c r="A100" s="58" t="str">
        <x:v>AC-0093</x:v>
      </x:c>
      <x:c r="B100" s="58" t="str">
        <x:v>RC05</x:v>
      </x:c>
      <x:c r="C100" s="58" t="n">
        <x:v>9</x:v>
      </x:c>
      <x:c r="D100" s="58" t="str">
        <x:v>BASE</x:v>
      </x:c>
      <x:c r="E100" s="79" t="n">
        <x:v>140.91674999999987</x:v>
      </x:c>
      <x:c r="F100" s="79" t="n">
        <x:v>157.44</x:v>
      </x:c>
      <x:c r="G100" s="80" t="n">
        <x:f>E100*F100</x:f>
        <x:v>22185.93311999998</x:v>
      </x:c>
      <x:c r="H100" s="58" t="str">
        <x:v>Invoice</x:v>
      </x:c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</x:row>
    <x:row r="101" ht="23" customHeight="1">
      <x:c r="A101" s="60" t="str">
        <x:v>AC-0094</x:v>
      </x:c>
      <x:c r="B101" s="60" t="str">
        <x:v>RC05</x:v>
      </x:c>
      <x:c r="C101" s="60" t="n">
        <x:v>10</x:v>
      </x:c>
      <x:c r="D101" s="60" t="str">
        <x:v>BASE</x:v>
      </x:c>
      <x:c r="E101" s="82" t="n">
        <x:v>140.91674999999975</x:v>
      </x:c>
      <x:c r="F101" s="82" t="n">
        <x:v>157.44</x:v>
      </x:c>
      <x:c r="G101" s="83" t="n">
        <x:f>E101*F101</x:f>
        <x:v>22185.93311999996</x:v>
      </x:c>
      <x:c r="H101" s="60" t="str">
        <x:v>Invoice</x:v>
      </x:c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</x:row>
    <x:row r="102" ht="23" customHeight="1">
      <x:c r="A102" s="58" t="str">
        <x:v>AC-0095</x:v>
      </x:c>
      <x:c r="B102" s="58" t="str">
        <x:v>RC05</x:v>
      </x:c>
      <x:c r="C102" s="58" t="n">
        <x:v>11</x:v>
      </x:c>
      <x:c r="D102" s="58" t="str">
        <x:v>BASE</x:v>
      </x:c>
      <x:c r="E102" s="79" t="n">
        <x:v>140.91674999999987</x:v>
      </x:c>
      <x:c r="F102" s="79" t="n">
        <x:v>157.44</x:v>
      </x:c>
      <x:c r="G102" s="80" t="n">
        <x:f>E102*F102</x:f>
        <x:v>22185.93311999998</x:v>
      </x:c>
      <x:c r="H102" s="58" t="str">
        <x:v>Invoice</x:v>
      </x:c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</x:row>
    <x:row r="103" ht="23" customHeight="1">
      <x:c r="A103" s="60" t="str">
        <x:v>AC-0096</x:v>
      </x:c>
      <x:c r="B103" s="60" t="str">
        <x:v>RC05</x:v>
      </x:c>
      <x:c r="C103" s="60" t="n">
        <x:v>12</x:v>
      </x:c>
      <x:c r="D103" s="60" t="str">
        <x:v>BASE</x:v>
      </x:c>
      <x:c r="E103" s="82" t="n">
        <x:v>140.91674999999975</x:v>
      </x:c>
      <x:c r="F103" s="82" t="n">
        <x:v>157.44</x:v>
      </x:c>
      <x:c r="G103" s="83" t="n">
        <x:f>E103*F103</x:f>
        <x:v>22185.93311999996</x:v>
      </x:c>
      <x:c r="H103" s="60" t="str">
        <x:v>Invoice</x:v>
      </x:c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</x:row>
    <x:row r="104" ht="23" customHeight="1">
      <x:c r="A104" s="58" t="str">
        <x:v>AC-0097</x:v>
      </x:c>
      <x:c r="B104" s="58" t="str">
        <x:v>RC06</x:v>
      </x:c>
      <x:c r="C104" s="58" t="n">
        <x:v>1</x:v>
      </x:c>
      <x:c r="D104" s="58" t="str">
        <x:v>BASE</x:v>
      </x:c>
      <x:c r="E104" s="79" t="n">
        <x:v>0</x:v>
      </x:c>
      <x:c r="F104" s="79" t="n">
        <x:v>158.585</x:v>
      </x:c>
      <x:c r="G104" s="80" t="n">
        <x:f>E104*F104</x:f>
        <x:v>0</x:v>
      </x:c>
      <x:c r="H104" s="58" t="str">
        <x:v>Invoice</x:v>
      </x:c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</x:row>
    <x:row r="105" ht="23" customHeight="1">
      <x:c r="A105" s="60" t="str">
        <x:v>AC-0098</x:v>
      </x:c>
      <x:c r="B105" s="60" t="str">
        <x:v>RC06</x:v>
      </x:c>
      <x:c r="C105" s="60" t="n">
        <x:v>2</x:v>
      </x:c>
      <x:c r="D105" s="60" t="str">
        <x:v>BASE</x:v>
      </x:c>
      <x:c r="E105" s="82" t="n">
        <x:v>0</x:v>
      </x:c>
      <x:c r="F105" s="82" t="n">
        <x:v>158.585</x:v>
      </x:c>
      <x:c r="G105" s="83" t="n">
        <x:f>E105*F105</x:f>
        <x:v>0</x:v>
      </x:c>
      <x:c r="H105" s="60" t="str">
        <x:v>Invoice</x:v>
      </x:c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</x:row>
    <x:row r="106" ht="23" customHeight="1">
      <x:c r="A106" s="58" t="str">
        <x:v>AC-0099</x:v>
      </x:c>
      <x:c r="B106" s="58" t="str">
        <x:v>RC06</x:v>
      </x:c>
      <x:c r="C106" s="58" t="n">
        <x:v>3</x:v>
      </x:c>
      <x:c r="D106" s="58" t="str">
        <x:v>BASE</x:v>
      </x:c>
      <x:c r="E106" s="79" t="n">
        <x:v>0</x:v>
      </x:c>
      <x:c r="F106" s="79" t="n">
        <x:v>158.585</x:v>
      </x:c>
      <x:c r="G106" s="80" t="n">
        <x:f>E106*F106</x:f>
        <x:v>0</x:v>
      </x:c>
      <x:c r="H106" s="58" t="str">
        <x:v>Invoice</x:v>
      </x:c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</x:row>
    <x:row r="107" ht="23" customHeight="1">
      <x:c r="A107" s="60" t="str">
        <x:v>AC-0100</x:v>
      </x:c>
      <x:c r="B107" s="60" t="str">
        <x:v>RC06</x:v>
      </x:c>
      <x:c r="C107" s="60" t="n">
        <x:v>4</x:v>
      </x:c>
      <x:c r="D107" s="60" t="str">
        <x:v>BASE</x:v>
      </x:c>
      <x:c r="E107" s="82" t="n">
        <x:v>0</x:v>
      </x:c>
      <x:c r="F107" s="82" t="n">
        <x:v>158.585</x:v>
      </x:c>
      <x:c r="G107" s="83" t="n">
        <x:f>E107*F107</x:f>
        <x:v>0</x:v>
      </x:c>
      <x:c r="H107" s="60" t="str">
        <x:v>Invoice</x:v>
      </x:c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</x:row>
    <x:row r="108" ht="23" customHeight="1">
      <x:c r="A108" s="58" t="str">
        <x:v>AC-0101</x:v>
      </x:c>
      <x:c r="B108" s="58" t="str">
        <x:v>RC06</x:v>
      </x:c>
      <x:c r="C108" s="58" t="n">
        <x:v>5</x:v>
      </x:c>
      <x:c r="D108" s="58" t="str">
        <x:v>BASE</x:v>
      </x:c>
      <x:c r="E108" s="79" t="n">
        <x:v>116.22000000000017</x:v>
      </x:c>
      <x:c r="F108" s="79" t="n">
        <x:v>158.585</x:v>
      </x:c>
      <x:c r="G108" s="80" t="n">
        <x:f>E108*F108</x:f>
        <x:v>18430.74870000003</x:v>
      </x:c>
      <x:c r="H108" s="58" t="str">
        <x:v>Invoice</x:v>
      </x:c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</x:row>
    <x:row r="109" ht="23" customHeight="1">
      <x:c r="A109" s="60" t="str">
        <x:v>AC-0102</x:v>
      </x:c>
      <x:c r="B109" s="60" t="str">
        <x:v>RC06</x:v>
      </x:c>
      <x:c r="C109" s="60" t="n">
        <x:v>6</x:v>
      </x:c>
      <x:c r="D109" s="60" t="str">
        <x:v>BASE</x:v>
      </x:c>
      <x:c r="E109" s="82" t="n">
        <x:v>116.22000000000017</x:v>
      </x:c>
      <x:c r="F109" s="82" t="n">
        <x:v>158.585</x:v>
      </x:c>
      <x:c r="G109" s="83" t="n">
        <x:f>E109*F109</x:f>
        <x:v>18430.74870000003</x:v>
      </x:c>
      <x:c r="H109" s="60" t="str">
        <x:v>Invoice</x:v>
      </x:c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</x:row>
    <x:row r="110" ht="23" customHeight="1">
      <x:c r="A110" s="58" t="str">
        <x:v>AC-0103</x:v>
      </x:c>
      <x:c r="B110" s="58" t="str">
        <x:v>RC06</x:v>
      </x:c>
      <x:c r="C110" s="58" t="n">
        <x:v>7</x:v>
      </x:c>
      <x:c r="D110" s="58" t="str">
        <x:v>BASE</x:v>
      </x:c>
      <x:c r="E110" s="79" t="n">
        <x:v>116.2200000000002</x:v>
      </x:c>
      <x:c r="F110" s="79" t="n">
        <x:v>158.585</x:v>
      </x:c>
      <x:c r="G110" s="80" t="n">
        <x:f>E110*F110</x:f>
        <x:v>18430.748700000033</x:v>
      </x:c>
      <x:c r="H110" s="58" t="str">
        <x:v>Invoice</x:v>
      </x:c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</x:row>
    <x:row r="111" ht="23" customHeight="1">
      <x:c r="A111" s="60" t="str">
        <x:v>AC-0104</x:v>
      </x:c>
      <x:c r="B111" s="60" t="str">
        <x:v>RC06</x:v>
      </x:c>
      <x:c r="C111" s="60" t="n">
        <x:v>8</x:v>
      </x:c>
      <x:c r="D111" s="60" t="str">
        <x:v>BASE</x:v>
      </x:c>
      <x:c r="E111" s="82" t="n">
        <x:v>116.22000000000014</x:v>
      </x:c>
      <x:c r="F111" s="82" t="n">
        <x:v>158.585</x:v>
      </x:c>
      <x:c r="G111" s="83" t="n">
        <x:f>E111*F111</x:f>
        <x:v>18430.748700000022</x:v>
      </x:c>
      <x:c r="H111" s="60" t="str">
        <x:v>Invoice</x:v>
      </x:c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</x:row>
    <x:row r="112" ht="23" customHeight="1">
      <x:c r="A112" s="58" t="str">
        <x:v>AC-0105</x:v>
      </x:c>
      <x:c r="B112" s="58" t="str">
        <x:v>RC06</x:v>
      </x:c>
      <x:c r="C112" s="58" t="n">
        <x:v>9</x:v>
      </x:c>
      <x:c r="D112" s="58" t="str">
        <x:v>BASE</x:v>
      </x:c>
      <x:c r="E112" s="79" t="n">
        <x:v>116.22000000000025</x:v>
      </x:c>
      <x:c r="F112" s="79" t="n">
        <x:v>158.585</x:v>
      </x:c>
      <x:c r="G112" s="80" t="n">
        <x:f>E112*F112</x:f>
        <x:v>18430.74870000004</x:v>
      </x:c>
      <x:c r="H112" s="58" t="str">
        <x:v>Invoice</x:v>
      </x:c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</x:row>
    <x:row r="113" ht="23" customHeight="1">
      <x:c r="A113" s="60" t="str">
        <x:v>AC-0106</x:v>
      </x:c>
      <x:c r="B113" s="60" t="str">
        <x:v>RC06</x:v>
      </x:c>
      <x:c r="C113" s="60" t="n">
        <x:v>10</x:v>
      </x:c>
      <x:c r="D113" s="60" t="str">
        <x:v>BASE</x:v>
      </x:c>
      <x:c r="E113" s="82" t="n">
        <x:v>116.22000000000014</x:v>
      </x:c>
      <x:c r="F113" s="82" t="n">
        <x:v>158.585</x:v>
      </x:c>
      <x:c r="G113" s="83" t="n">
        <x:f>E113*F113</x:f>
        <x:v>18430.748700000022</x:v>
      </x:c>
      <x:c r="H113" s="60" t="str">
        <x:v>Invoice</x:v>
      </x:c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</x:row>
    <x:row r="114" ht="23" customHeight="1">
      <x:c r="A114" s="58" t="str">
        <x:v>AC-0107</x:v>
      </x:c>
      <x:c r="B114" s="58" t="str">
        <x:v>RC06</x:v>
      </x:c>
      <x:c r="C114" s="58" t="n">
        <x:v>11</x:v>
      </x:c>
      <x:c r="D114" s="58" t="str">
        <x:v>BASE</x:v>
      </x:c>
      <x:c r="E114" s="79" t="n">
        <x:v>116.22000000000025</x:v>
      </x:c>
      <x:c r="F114" s="79" t="n">
        <x:v>158.585</x:v>
      </x:c>
      <x:c r="G114" s="80" t="n">
        <x:f>E114*F114</x:f>
        <x:v>18430.74870000004</x:v>
      </x:c>
      <x:c r="H114" s="58" t="str">
        <x:v>Invoice</x:v>
      </x:c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</x:row>
    <x:row r="115" ht="23" customHeight="1">
      <x:c r="A115" s="60" t="str">
        <x:v>AC-0108</x:v>
      </x:c>
      <x:c r="B115" s="60" t="str">
        <x:v>RC06</x:v>
      </x:c>
      <x:c r="C115" s="60" t="n">
        <x:v>12</x:v>
      </x:c>
      <x:c r="D115" s="60" t="str">
        <x:v>BASE</x:v>
      </x:c>
      <x:c r="E115" s="82" t="n">
        <x:v>116.22000000000003</x:v>
      </x:c>
      <x:c r="F115" s="82" t="n">
        <x:v>158.585</x:v>
      </x:c>
      <x:c r="G115" s="83" t="n">
        <x:f>E115*F115</x:f>
        <x:v>18430.748700000004</x:v>
      </x:c>
      <x:c r="H115" s="60" t="str">
        <x:v>Invoice</x:v>
      </x:c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</x:row>
    <x:row r="116" ht="23" customHeight="1">
      <x:c r="A116" s="58" t="str">
        <x:v>AC-0109</x:v>
      </x:c>
      <x:c r="B116" s="58" t="str">
        <x:v>RC07</x:v>
      </x:c>
      <x:c r="C116" s="58" t="n">
        <x:v>1</x:v>
      </x:c>
      <x:c r="D116" s="58" t="str">
        <x:v>BASE</x:v>
      </x:c>
      <x:c r="E116" s="79" t="n">
        <x:v>0</x:v>
      </x:c>
      <x:c r="F116" s="79" t="n">
        <x:v>171.7</x:v>
      </x:c>
      <x:c r="G116" s="80" t="n">
        <x:f>E116*F116</x:f>
        <x:v>0</x:v>
      </x:c>
      <x:c r="H116" s="58" t="str">
        <x:v>Accrual</x:v>
      </x:c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</x:row>
    <x:row r="117" ht="23" customHeight="1">
      <x:c r="A117" s="60" t="str">
        <x:v>AC-0110</x:v>
      </x:c>
      <x:c r="B117" s="60" t="str">
        <x:v>RC07</x:v>
      </x:c>
      <x:c r="C117" s="60" t="n">
        <x:v>2</x:v>
      </x:c>
      <x:c r="D117" s="60" t="str">
        <x:v>BASE</x:v>
      </x:c>
      <x:c r="E117" s="82" t="n">
        <x:v>0</x:v>
      </x:c>
      <x:c r="F117" s="82" t="n">
        <x:v>171.7</x:v>
      </x:c>
      <x:c r="G117" s="83" t="n">
        <x:f>E117*F117</x:f>
        <x:v>0</x:v>
      </x:c>
      <x:c r="H117" s="60" t="str">
        <x:v>Accrual</x:v>
      </x:c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</x:row>
    <x:row r="118" ht="23" customHeight="1">
      <x:c r="A118" s="58" t="str">
        <x:v>AC-0111</x:v>
      </x:c>
      <x:c r="B118" s="58" t="str">
        <x:v>RC07</x:v>
      </x:c>
      <x:c r="C118" s="58" t="n">
        <x:v>3</x:v>
      </x:c>
      <x:c r="D118" s="58" t="str">
        <x:v>BASE</x:v>
      </x:c>
      <x:c r="E118" s="79" t="n">
        <x:v>0</x:v>
      </x:c>
      <x:c r="F118" s="79" t="n">
        <x:v>171.7</x:v>
      </x:c>
      <x:c r="G118" s="80" t="n">
        <x:f>E118*F118</x:f>
        <x:v>0</x:v>
      </x:c>
      <x:c r="H118" s="58" t="str">
        <x:v>Accrual</x:v>
      </x:c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</x:row>
    <x:row r="119" ht="23" customHeight="1">
      <x:c r="A119" s="60" t="str">
        <x:v>AC-0112</x:v>
      </x:c>
      <x:c r="B119" s="60" t="str">
        <x:v>RC07</x:v>
      </x:c>
      <x:c r="C119" s="60" t="n">
        <x:v>4</x:v>
      </x:c>
      <x:c r="D119" s="60" t="str">
        <x:v>BASE</x:v>
      </x:c>
      <x:c r="E119" s="82" t="n">
        <x:v>0</x:v>
      </x:c>
      <x:c r="F119" s="82" t="n">
        <x:v>171.7</x:v>
      </x:c>
      <x:c r="G119" s="83" t="n">
        <x:f>E119*F119</x:f>
        <x:v>0</x:v>
      </x:c>
      <x:c r="H119" s="60" t="str">
        <x:v>Accrual</x:v>
      </x:c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</x:row>
    <x:row r="120" ht="23" customHeight="1">
      <x:c r="A120" s="58" t="str">
        <x:v>AC-0113</x:v>
      </x:c>
      <x:c r="B120" s="58" t="str">
        <x:v>RC07</x:v>
      </x:c>
      <x:c r="C120" s="58" t="n">
        <x:v>5</x:v>
      </x:c>
      <x:c r="D120" s="58" t="str">
        <x:v>BASE</x:v>
      </x:c>
      <x:c r="E120" s="79" t="n">
        <x:v>0</x:v>
      </x:c>
      <x:c r="F120" s="79" t="n">
        <x:v>171.7</x:v>
      </x:c>
      <x:c r="G120" s="80" t="n">
        <x:f>E120*F120</x:f>
        <x:v>0</x:v>
      </x:c>
      <x:c r="H120" s="58" t="str">
        <x:v>Accrual</x:v>
      </x:c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</x:row>
    <x:row r="121" ht="23" customHeight="1">
      <x:c r="A121" s="60" t="str">
        <x:v>AC-0114</x:v>
      </x:c>
      <x:c r="B121" s="60" t="str">
        <x:v>RC07</x:v>
      </x:c>
      <x:c r="C121" s="60" t="n">
        <x:v>6</x:v>
      </x:c>
      <x:c r="D121" s="60" t="str">
        <x:v>BASE</x:v>
      </x:c>
      <x:c r="E121" s="82" t="n">
        <x:v>15.81119999999999</x:v>
      </x:c>
      <x:c r="F121" s="82" t="n">
        <x:v>171.7</x:v>
      </x:c>
      <x:c r="G121" s="83" t="n">
        <x:f>E121*F121</x:f>
        <x:v>2714.783039999998</x:v>
      </x:c>
      <x:c r="H121" s="60" t="str">
        <x:v>Accrual</x:v>
      </x:c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</x:row>
    <x:row r="122" ht="23" customHeight="1">
      <x:c r="A122" s="58" t="str">
        <x:v>AC-0115</x:v>
      </x:c>
      <x:c r="B122" s="58" t="str">
        <x:v>RC07</x:v>
      </x:c>
      <x:c r="C122" s="58" t="n">
        <x:v>7</x:v>
      </x:c>
      <x:c r="D122" s="58" t="str">
        <x:v>BASE</x:v>
      </x:c>
      <x:c r="E122" s="79" t="n">
        <x:v>15.81119999999999</x:v>
      </x:c>
      <x:c r="F122" s="79" t="n">
        <x:v>171.7</x:v>
      </x:c>
      <x:c r="G122" s="80" t="n">
        <x:f>E122*F122</x:f>
        <x:v>2714.783039999998</x:v>
      </x:c>
      <x:c r="H122" s="58" t="str">
        <x:v>Accrual</x:v>
      </x:c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</x:row>
    <x:row r="123" ht="23" customHeight="1">
      <x:c r="A123" s="60" t="str">
        <x:v>AC-0116</x:v>
      </x:c>
      <x:c r="B123" s="60" t="str">
        <x:v>RC07</x:v>
      </x:c>
      <x:c r="C123" s="60" t="n">
        <x:v>8</x:v>
      </x:c>
      <x:c r="D123" s="60" t="str">
        <x:v>BASE</x:v>
      </x:c>
      <x:c r="E123" s="82" t="n">
        <x:v>15.811199999999989</x:v>
      </x:c>
      <x:c r="F123" s="82" t="n">
        <x:v>171.7</x:v>
      </x:c>
      <x:c r="G123" s="83" t="n">
        <x:f>E123*F123</x:f>
        <x:v>2714.783039999998</x:v>
      </x:c>
      <x:c r="H123" s="60" t="str">
        <x:v>Accrual</x:v>
      </x:c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</x:row>
    <x:row r="124" ht="23" customHeight="1">
      <x:c r="A124" s="58" t="str">
        <x:v>AC-0117</x:v>
      </x:c>
      <x:c r="B124" s="58" t="str">
        <x:v>RC07</x:v>
      </x:c>
      <x:c r="C124" s="58" t="n">
        <x:v>9</x:v>
      </x:c>
      <x:c r="D124" s="58" t="str">
        <x:v>BASE</x:v>
      </x:c>
      <x:c r="E124" s="79" t="n">
        <x:v>15.811199999999992</x:v>
      </x:c>
      <x:c r="F124" s="79" t="n">
        <x:v>171.7</x:v>
      </x:c>
      <x:c r="G124" s="80" t="n">
        <x:f>E124*F124</x:f>
        <x:v>2714.7830399999984</x:v>
      </x:c>
      <x:c r="H124" s="58" t="str">
        <x:v>Accrual</x:v>
      </x:c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</x:row>
    <x:row r="125" ht="23" customHeight="1">
      <x:c r="A125" s="60" t="str">
        <x:v>AC-0118</x:v>
      </x:c>
      <x:c r="B125" s="60" t="str">
        <x:v>RC07</x:v>
      </x:c>
      <x:c r="C125" s="60" t="n">
        <x:v>10</x:v>
      </x:c>
      <x:c r="D125" s="60" t="str">
        <x:v>BASE</x:v>
      </x:c>
      <x:c r="E125" s="82" t="n">
        <x:v>15.811199999999992</x:v>
      </x:c>
      <x:c r="F125" s="82" t="n">
        <x:v>171.7</x:v>
      </x:c>
      <x:c r="G125" s="83" t="n">
        <x:f>E125*F125</x:f>
        <x:v>2714.7830399999984</x:v>
      </x:c>
      <x:c r="H125" s="60" t="str">
        <x:v>Accrual</x:v>
      </x:c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</x:row>
    <x:row r="126" ht="23" customHeight="1">
      <x:c r="A126" s="58" t="str">
        <x:v>AC-0119</x:v>
      </x:c>
      <x:c r="B126" s="58" t="str">
        <x:v>RC07</x:v>
      </x:c>
      <x:c r="C126" s="58" t="n">
        <x:v>11</x:v>
      </x:c>
      <x:c r="D126" s="58" t="str">
        <x:v>BASE</x:v>
      </x:c>
      <x:c r="E126" s="79" t="n">
        <x:v>15.811199999999985</x:v>
      </x:c>
      <x:c r="F126" s="79" t="n">
        <x:v>171.7</x:v>
      </x:c>
      <x:c r="G126" s="80" t="n">
        <x:f>E126*F126</x:f>
        <x:v>2714.783039999997</x:v>
      </x:c>
      <x:c r="H126" s="58" t="str">
        <x:v>Accrual</x:v>
      </x:c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</x:row>
    <x:row r="127" ht="23" customHeight="1">
      <x:c r="A127" s="60" t="str">
        <x:v>AC-0120</x:v>
      </x:c>
      <x:c r="B127" s="60" t="str">
        <x:v>RC07</x:v>
      </x:c>
      <x:c r="C127" s="60" t="n">
        <x:v>12</x:v>
      </x:c>
      <x:c r="D127" s="60" t="str">
        <x:v>BASE</x:v>
      </x:c>
      <x:c r="E127" s="82" t="n">
        <x:v>15.811199999999985</x:v>
      </x:c>
      <x:c r="F127" s="82" t="n">
        <x:v>171.7</x:v>
      </x:c>
      <x:c r="G127" s="83" t="n">
        <x:f>E127*F127</x:f>
        <x:v>2714.783039999997</x:v>
      </x:c>
      <x:c r="H127" s="60" t="str">
        <x:v>Accrual</x:v>
      </x:c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</x:row>
    <x:row r="128" ht="23" customHeight="1">
      <x:c r="A128" s="58" t="str">
        <x:v>AC-0121</x:v>
      </x:c>
      <x:c r="B128" s="58" t="str">
        <x:v>RC08</x:v>
      </x:c>
      <x:c r="C128" s="58" t="n">
        <x:v>1</x:v>
      </x:c>
      <x:c r="D128" s="58" t="str">
        <x:v>BASE</x:v>
      </x:c>
      <x:c r="E128" s="79" t="n">
        <x:v>0</x:v>
      </x:c>
      <x:c r="F128" s="79" t="n">
        <x:v>160.42499999999998</x:v>
      </x:c>
      <x:c r="G128" s="80" t="n">
        <x:f>E128*F128</x:f>
        <x:v>0</x:v>
      </x:c>
      <x:c r="H128" s="58" t="str">
        <x:v>Invoice</x:v>
      </x:c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</x:row>
    <x:row r="129" ht="23" customHeight="1">
      <x:c r="A129" s="60" t="str">
        <x:v>AC-0122</x:v>
      </x:c>
      <x:c r="B129" s="60" t="str">
        <x:v>RC08</x:v>
      </x:c>
      <x:c r="C129" s="60" t="n">
        <x:v>2</x:v>
      </x:c>
      <x:c r="D129" s="60" t="str">
        <x:v>BASE</x:v>
      </x:c>
      <x:c r="E129" s="82" t="n">
        <x:v>0</x:v>
      </x:c>
      <x:c r="F129" s="82" t="n">
        <x:v>160.42499999999998</x:v>
      </x:c>
      <x:c r="G129" s="83" t="n">
        <x:f>E129*F129</x:f>
        <x:v>0</x:v>
      </x:c>
      <x:c r="H129" s="60" t="str">
        <x:v>Invoice</x:v>
      </x:c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</x:row>
    <x:row r="130" ht="23" customHeight="1">
      <x:c r="A130" s="58" t="str">
        <x:v>AC-0123</x:v>
      </x:c>
      <x:c r="B130" s="58" t="str">
        <x:v>RC08</x:v>
      </x:c>
      <x:c r="C130" s="58" t="n">
        <x:v>3</x:v>
      </x:c>
      <x:c r="D130" s="58" t="str">
        <x:v>BASE</x:v>
      </x:c>
      <x:c r="E130" s="79" t="n">
        <x:v>0</x:v>
      </x:c>
      <x:c r="F130" s="79" t="n">
        <x:v>160.42499999999998</x:v>
      </x:c>
      <x:c r="G130" s="80" t="n">
        <x:f>E130*F130</x:f>
        <x:v>0</x:v>
      </x:c>
      <x:c r="H130" s="58" t="str">
        <x:v>Invoice</x:v>
      </x:c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</x:row>
    <x:row r="131" ht="23" customHeight="1">
      <x:c r="A131" s="60" t="str">
        <x:v>AC-0124</x:v>
      </x:c>
      <x:c r="B131" s="60" t="str">
        <x:v>RC08</x:v>
      </x:c>
      <x:c r="C131" s="60" t="n">
        <x:v>4</x:v>
      </x:c>
      <x:c r="D131" s="60" t="str">
        <x:v>BASE</x:v>
      </x:c>
      <x:c r="E131" s="82" t="n">
        <x:v>125.68499999999999</x:v>
      </x:c>
      <x:c r="F131" s="82" t="n">
        <x:v>160.42499999999998</x:v>
      </x:c>
      <x:c r="G131" s="83" t="n">
        <x:f>E131*F131</x:f>
        <x:v>20163.016124999995</x:v>
      </x:c>
      <x:c r="H131" s="60" t="str">
        <x:v>Invoice</x:v>
      </x:c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</x:row>
    <x:row r="132" ht="23" customHeight="1">
      <x:c r="A132" s="58" t="str">
        <x:v>AC-0125</x:v>
      </x:c>
      <x:c r="B132" s="58" t="str">
        <x:v>RC08</x:v>
      </x:c>
      <x:c r="C132" s="58" t="n">
        <x:v>5</x:v>
      </x:c>
      <x:c r="D132" s="58" t="str">
        <x:v>BASE</x:v>
      </x:c>
      <x:c r="E132" s="79" t="n">
        <x:v>125.68499999999999</x:v>
      </x:c>
      <x:c r="F132" s="79" t="n">
        <x:v>160.42499999999998</x:v>
      </x:c>
      <x:c r="G132" s="80" t="n">
        <x:f>E132*F132</x:f>
        <x:v>20163.016124999995</x:v>
      </x:c>
      <x:c r="H132" s="58" t="str">
        <x:v>Invoice</x:v>
      </x:c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</x:row>
    <x:row r="133" ht="23" customHeight="1">
      <x:c r="A133" s="60" t="str">
        <x:v>AC-0126</x:v>
      </x:c>
      <x:c r="B133" s="60" t="str">
        <x:v>RC08</x:v>
      </x:c>
      <x:c r="C133" s="60" t="n">
        <x:v>6</x:v>
      </x:c>
      <x:c r="D133" s="60" t="str">
        <x:v>BASE</x:v>
      </x:c>
      <x:c r="E133" s="82" t="n">
        <x:v>125.68499999999997</x:v>
      </x:c>
      <x:c r="F133" s="82" t="n">
        <x:v>160.42499999999998</x:v>
      </x:c>
      <x:c r="G133" s="83" t="n">
        <x:f>E133*F133</x:f>
        <x:v>20163.016124999995</x:v>
      </x:c>
      <x:c r="H133" s="60" t="str">
        <x:v>Invoice</x:v>
      </x:c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</x:row>
    <x:row r="134" ht="23" customHeight="1">
      <x:c r="A134" s="58" t="str">
        <x:v>AC-0127</x:v>
      </x:c>
      <x:c r="B134" s="58" t="str">
        <x:v>RC08</x:v>
      </x:c>
      <x:c r="C134" s="58" t="n">
        <x:v>7</x:v>
      </x:c>
      <x:c r="D134" s="58" t="str">
        <x:v>BASE</x:v>
      </x:c>
      <x:c r="E134" s="79" t="n">
        <x:v>125.685</x:v>
      </x:c>
      <x:c r="F134" s="79" t="n">
        <x:v>160.42499999999998</x:v>
      </x:c>
      <x:c r="G134" s="80" t="n">
        <x:f>E134*F134</x:f>
        <x:v>20163.016125</x:v>
      </x:c>
      <x:c r="H134" s="58" t="str">
        <x:v>Invoice</x:v>
      </x:c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</x:row>
    <x:row r="135" ht="23" customHeight="1">
      <x:c r="A135" s="60" t="str">
        <x:v>AC-0128</x:v>
      </x:c>
      <x:c r="B135" s="60" t="str">
        <x:v>RC08</x:v>
      </x:c>
      <x:c r="C135" s="60" t="n">
        <x:v>8</x:v>
      </x:c>
      <x:c r="D135" s="60" t="str">
        <x:v>BASE</x:v>
      </x:c>
      <x:c r="E135" s="82" t="n">
        <x:v>0</x:v>
      </x:c>
      <x:c r="F135" s="82" t="n">
        <x:v>160.42499999999998</x:v>
      </x:c>
      <x:c r="G135" s="83" t="n">
        <x:f>E135*F135</x:f>
        <x:v>0</x:v>
      </x:c>
      <x:c r="H135" s="60" t="str">
        <x:v>Invoice</x:v>
      </x:c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</x:row>
    <x:row r="136" ht="23" customHeight="1">
      <x:c r="A136" s="58" t="str">
        <x:v>AC-0129</x:v>
      </x:c>
      <x:c r="B136" s="58" t="str">
        <x:v>RC08</x:v>
      </x:c>
      <x:c r="C136" s="58" t="n">
        <x:v>9</x:v>
      </x:c>
      <x:c r="D136" s="58" t="str">
        <x:v>BASE</x:v>
      </x:c>
      <x:c r="E136" s="79" t="n">
        <x:v>0</x:v>
      </x:c>
      <x:c r="F136" s="79" t="n">
        <x:v>160.42499999999998</x:v>
      </x:c>
      <x:c r="G136" s="80" t="n">
        <x:f>E136*F136</x:f>
        <x:v>0</x:v>
      </x:c>
      <x:c r="H136" s="58" t="str">
        <x:v>Invoice</x:v>
      </x:c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</x:row>
    <x:row r="137" ht="23" customHeight="1">
      <x:c r="A137" s="60" t="str">
        <x:v>AC-0130</x:v>
      </x:c>
      <x:c r="B137" s="60" t="str">
        <x:v>RC08</x:v>
      </x:c>
      <x:c r="C137" s="60" t="n">
        <x:v>10</x:v>
      </x:c>
      <x:c r="D137" s="60" t="str">
        <x:v>BASE</x:v>
      </x:c>
      <x:c r="E137" s="82" t="n">
        <x:v>0</x:v>
      </x:c>
      <x:c r="F137" s="82" t="n">
        <x:v>160.42499999999998</x:v>
      </x:c>
      <x:c r="G137" s="83" t="n">
        <x:f>E137*F137</x:f>
        <x:v>0</x:v>
      </x:c>
      <x:c r="H137" s="60" t="str">
        <x:v>Invoice</x:v>
      </x:c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</x:row>
    <x:row r="138" ht="23" customHeight="1">
      <x:c r="A138" s="58" t="str">
        <x:v>AC-0131</x:v>
      </x:c>
      <x:c r="B138" s="58" t="str">
        <x:v>RC08</x:v>
      </x:c>
      <x:c r="C138" s="58" t="n">
        <x:v>11</x:v>
      </x:c>
      <x:c r="D138" s="58" t="str">
        <x:v>BASE</x:v>
      </x:c>
      <x:c r="E138" s="79" t="n">
        <x:v>0</x:v>
      </x:c>
      <x:c r="F138" s="79" t="n">
        <x:v>160.42499999999998</x:v>
      </x:c>
      <x:c r="G138" s="80" t="n">
        <x:f>E138*F138</x:f>
        <x:v>0</x:v>
      </x:c>
      <x:c r="H138" s="58" t="str">
        <x:v>Invoice</x:v>
      </x:c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</x:row>
    <x:row r="139" ht="23" customHeight="1">
      <x:c r="A139" s="60" t="str">
        <x:v>AC-0132</x:v>
      </x:c>
      <x:c r="B139" s="60" t="str">
        <x:v>RC08</x:v>
      </x:c>
      <x:c r="C139" s="60" t="n">
        <x:v>12</x:v>
      </x:c>
      <x:c r="D139" s="60" t="str">
        <x:v>BASE</x:v>
      </x:c>
      <x:c r="E139" s="82" t="n">
        <x:v>0</x:v>
      </x:c>
      <x:c r="F139" s="82" t="n">
        <x:v>160.42499999999998</x:v>
      </x:c>
      <x:c r="G139" s="83" t="n">
        <x:f>E139*F139</x:f>
        <x:v>0</x:v>
      </x:c>
      <x:c r="H139" s="60" t="str">
        <x:v>Invoice</x:v>
      </x:c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</x:row>
    <x:row r="140" ht="23" customHeight="1">
      <x:c r="A140" s="58" t="str">
        <x:v>AC-0133</x:v>
      </x:c>
      <x:c r="B140" s="58" t="str">
        <x:v>RC09</x:v>
      </x:c>
      <x:c r="C140" s="58" t="n">
        <x:v>1</x:v>
      </x:c>
      <x:c r="D140" s="58" t="str">
        <x:v>BASE</x:v>
      </x:c>
      <x:c r="E140" s="79" t="n">
        <x:v>0</x:v>
      </x:c>
      <x:c r="F140" s="79" t="n">
        <x:v>151.58</x:v>
      </x:c>
      <x:c r="G140" s="80" t="n">
        <x:f>E140*F140</x:f>
        <x:v>0</x:v>
      </x:c>
      <x:c r="H140" s="58" t="str">
        <x:v>Invoice</x:v>
      </x:c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</x:row>
    <x:row r="141" ht="23" customHeight="1">
      <x:c r="A141" s="60" t="str">
        <x:v>AC-0134</x:v>
      </x:c>
      <x:c r="B141" s="60" t="str">
        <x:v>RC09</x:v>
      </x:c>
      <x:c r="C141" s="60" t="n">
        <x:v>2</x:v>
      </x:c>
      <x:c r="D141" s="60" t="str">
        <x:v>BASE</x:v>
      </x:c>
      <x:c r="E141" s="82" t="n">
        <x:v>0</x:v>
      </x:c>
      <x:c r="F141" s="82" t="n">
        <x:v>151.58</x:v>
      </x:c>
      <x:c r="G141" s="83" t="n">
        <x:f>E141*F141</x:f>
        <x:v>0</x:v>
      </x:c>
      <x:c r="H141" s="60" t="str">
        <x:v>Invoice</x:v>
      </x:c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</x:row>
    <x:row r="142" ht="23" customHeight="1">
      <x:c r="A142" s="58" t="str">
        <x:v>AC-0135</x:v>
      </x:c>
      <x:c r="B142" s="58" t="str">
        <x:v>RC09</x:v>
      </x:c>
      <x:c r="C142" s="58" t="n">
        <x:v>3</x:v>
      </x:c>
      <x:c r="D142" s="58" t="str">
        <x:v>BASE</x:v>
      </x:c>
      <x:c r="E142" s="79" t="n">
        <x:v>0</x:v>
      </x:c>
      <x:c r="F142" s="79" t="n">
        <x:v>151.58</x:v>
      </x:c>
      <x:c r="G142" s="80" t="n">
        <x:f>E142*F142</x:f>
        <x:v>0</x:v>
      </x:c>
      <x:c r="H142" s="58" t="str">
        <x:v>Invoice</x:v>
      </x:c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</x:row>
    <x:row r="143" ht="23" customHeight="1">
      <x:c r="A143" s="60" t="str">
        <x:v>AC-0136</x:v>
      </x:c>
      <x:c r="B143" s="60" t="str">
        <x:v>RC09</x:v>
      </x:c>
      <x:c r="C143" s="60" t="n">
        <x:v>4</x:v>
      </x:c>
      <x:c r="D143" s="60" t="str">
        <x:v>BASE</x:v>
      </x:c>
      <x:c r="E143" s="82" t="n">
        <x:v>0</x:v>
      </x:c>
      <x:c r="F143" s="82" t="n">
        <x:v>151.58</x:v>
      </x:c>
      <x:c r="G143" s="83" t="n">
        <x:f>E143*F143</x:f>
        <x:v>0</x:v>
      </x:c>
      <x:c r="H143" s="60" t="str">
        <x:v>Invoice</x:v>
      </x:c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</x:row>
    <x:row r="144" ht="23" customHeight="1">
      <x:c r="A144" s="58" t="str">
        <x:v>AC-0137</x:v>
      </x:c>
      <x:c r="B144" s="58" t="str">
        <x:v>RC09</x:v>
      </x:c>
      <x:c r="C144" s="58" t="n">
        <x:v>5</x:v>
      </x:c>
      <x:c r="D144" s="58" t="str">
        <x:v>BASE</x:v>
      </x:c>
      <x:c r="E144" s="79" t="n">
        <x:v>630</x:v>
      </x:c>
      <x:c r="F144" s="79" t="n">
        <x:v>151.58</x:v>
      </x:c>
      <x:c r="G144" s="80" t="n">
        <x:f>E144*F144</x:f>
        <x:v>95495.40000000001</x:v>
      </x:c>
      <x:c r="H144" s="58" t="str">
        <x:v>Invoice</x:v>
      </x:c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</x:row>
    <x:row r="145" ht="23" customHeight="1">
      <x:c r="A145" s="60" t="str">
        <x:v>AC-0138</x:v>
      </x:c>
      <x:c r="B145" s="60" t="str">
        <x:v>RC09</x:v>
      </x:c>
      <x:c r="C145" s="60" t="n">
        <x:v>6</x:v>
      </x:c>
      <x:c r="D145" s="60" t="str">
        <x:v>BASE</x:v>
      </x:c>
      <x:c r="E145" s="82" t="n">
        <x:v>630</x:v>
      </x:c>
      <x:c r="F145" s="82" t="n">
        <x:v>151.58</x:v>
      </x:c>
      <x:c r="G145" s="83" t="n">
        <x:f>E145*F145</x:f>
        <x:v>95495.40000000001</x:v>
      </x:c>
      <x:c r="H145" s="60" t="str">
        <x:v>Invoice</x:v>
      </x:c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</x:row>
    <x:row r="146" ht="23" customHeight="1">
      <x:c r="A146" s="58" t="str">
        <x:v>AC-0139</x:v>
      </x:c>
      <x:c r="B146" s="58" t="str">
        <x:v>RC09</x:v>
      </x:c>
      <x:c r="C146" s="58" t="n">
        <x:v>7</x:v>
      </x:c>
      <x:c r="D146" s="58" t="str">
        <x:v>BASE</x:v>
      </x:c>
      <x:c r="E146" s="79" t="n">
        <x:v>630</x:v>
      </x:c>
      <x:c r="F146" s="79" t="n">
        <x:v>151.58</x:v>
      </x:c>
      <x:c r="G146" s="80" t="n">
        <x:f>E146*F146</x:f>
        <x:v>95495.40000000001</x:v>
      </x:c>
      <x:c r="H146" s="58" t="str">
        <x:v>Invoice</x:v>
      </x:c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</x:row>
    <x:row r="147" ht="23" customHeight="1">
      <x:c r="A147" s="60" t="str">
        <x:v>AC-0140</x:v>
      </x:c>
      <x:c r="B147" s="60" t="str">
        <x:v>RC09</x:v>
      </x:c>
      <x:c r="C147" s="60" t="n">
        <x:v>8</x:v>
      </x:c>
      <x:c r="D147" s="60" t="str">
        <x:v>BASE</x:v>
      </x:c>
      <x:c r="E147" s="82" t="n">
        <x:v>630</x:v>
      </x:c>
      <x:c r="F147" s="82" t="n">
        <x:v>151.58</x:v>
      </x:c>
      <x:c r="G147" s="83" t="n">
        <x:f>E147*F147</x:f>
        <x:v>95495.40000000001</x:v>
      </x:c>
      <x:c r="H147" s="60" t="str">
        <x:v>Invoice</x:v>
      </x:c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</x:row>
    <x:row r="148" ht="23" customHeight="1">
      <x:c r="A148" s="58" t="str">
        <x:v>AC-0141</x:v>
      </x:c>
      <x:c r="B148" s="58" t="str">
        <x:v>RC09</x:v>
      </x:c>
      <x:c r="C148" s="58" t="n">
        <x:v>9</x:v>
      </x:c>
      <x:c r="D148" s="58" t="str">
        <x:v>BASE</x:v>
      </x:c>
      <x:c r="E148" s="79" t="n">
        <x:v>0</x:v>
      </x:c>
      <x:c r="F148" s="79" t="n">
        <x:v>151.58</x:v>
      </x:c>
      <x:c r="G148" s="80" t="n">
        <x:f>E148*F148</x:f>
        <x:v>0</x:v>
      </x:c>
      <x:c r="H148" s="58" t="str">
        <x:v>Invoice</x:v>
      </x:c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</x:row>
    <x:row r="149" ht="23" customHeight="1">
      <x:c r="A149" s="60" t="str">
        <x:v>AC-0142</x:v>
      </x:c>
      <x:c r="B149" s="60" t="str">
        <x:v>RC09</x:v>
      </x:c>
      <x:c r="C149" s="60" t="n">
        <x:v>10</x:v>
      </x:c>
      <x:c r="D149" s="60" t="str">
        <x:v>BASE</x:v>
      </x:c>
      <x:c r="E149" s="82" t="n">
        <x:v>0</x:v>
      </x:c>
      <x:c r="F149" s="82" t="n">
        <x:v>151.58</x:v>
      </x:c>
      <x:c r="G149" s="83" t="n">
        <x:f>E149*F149</x:f>
        <x:v>0</x:v>
      </x:c>
      <x:c r="H149" s="60" t="str">
        <x:v>Invoice</x:v>
      </x:c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</x:row>
    <x:row r="150" ht="23" customHeight="1">
      <x:c r="A150" s="58" t="str">
        <x:v>AC-0143</x:v>
      </x:c>
      <x:c r="B150" s="58" t="str">
        <x:v>RC09</x:v>
      </x:c>
      <x:c r="C150" s="58" t="n">
        <x:v>11</x:v>
      </x:c>
      <x:c r="D150" s="58" t="str">
        <x:v>BASE</x:v>
      </x:c>
      <x:c r="E150" s="79" t="n">
        <x:v>0</x:v>
      </x:c>
      <x:c r="F150" s="79" t="n">
        <x:v>151.58</x:v>
      </x:c>
      <x:c r="G150" s="80" t="n">
        <x:f>E150*F150</x:f>
        <x:v>0</x:v>
      </x:c>
      <x:c r="H150" s="58" t="str">
        <x:v>Invoice</x:v>
      </x:c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</x:row>
    <x:row r="151" ht="23" customHeight="1">
      <x:c r="A151" s="60" t="str">
        <x:v>AC-0144</x:v>
      </x:c>
      <x:c r="B151" s="60" t="str">
        <x:v>RC09</x:v>
      </x:c>
      <x:c r="C151" s="60" t="n">
        <x:v>12</x:v>
      </x:c>
      <x:c r="D151" s="60" t="str">
        <x:v>BASE</x:v>
      </x:c>
      <x:c r="E151" s="82" t="n">
        <x:v>0</x:v>
      </x:c>
      <x:c r="F151" s="82" t="n">
        <x:v>151.58</x:v>
      </x:c>
      <x:c r="G151" s="83" t="n">
        <x:f>E151*F151</x:f>
        <x:v>0</x:v>
      </x:c>
      <x:c r="H151" s="60" t="str">
        <x:v>Invoice</x:v>
      </x:c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</x:row>
    <x:row r="152" ht="23" customHeight="1">
      <x:c r="A152" s="58" t="str">
        <x:v>AC-0145</x:v>
      </x:c>
      <x:c r="B152" s="58" t="str">
        <x:v>RB01</x:v>
      </x:c>
      <x:c r="C152" s="58" t="n">
        <x:v>1</x:v>
      </x:c>
      <x:c r="D152" s="58" t="str">
        <x:v>BASE</x:v>
      </x:c>
      <x:c r="E152" s="79" t="n">
        <x:v>0</x:v>
      </x:c>
      <x:c r="F152" s="79" t="n">
        <x:v>942.865</x:v>
      </x:c>
      <x:c r="G152" s="80" t="n">
        <x:f>E152*F152</x:f>
        <x:v>0</x:v>
      </x:c>
      <x:c r="H152" s="58" t="str">
        <x:v>Accrual</x:v>
      </x:c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</x:row>
    <x:row r="153" ht="23" customHeight="1">
      <x:c r="A153" s="60" t="str">
        <x:v>AC-0146</x:v>
      </x:c>
      <x:c r="B153" s="60" t="str">
        <x:v>RB01</x:v>
      </x:c>
      <x:c r="C153" s="60" t="n">
        <x:v>2</x:v>
      </x:c>
      <x:c r="D153" s="60" t="str">
        <x:v>BASE</x:v>
      </x:c>
      <x:c r="E153" s="82" t="n">
        <x:v>0</x:v>
      </x:c>
      <x:c r="F153" s="82" t="n">
        <x:v>942.865</x:v>
      </x:c>
      <x:c r="G153" s="83" t="n">
        <x:f>E153*F153</x:f>
        <x:v>0</x:v>
      </x:c>
      <x:c r="H153" s="60" t="str">
        <x:v>Accrual</x:v>
      </x:c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</x:row>
    <x:row r="154" ht="23" customHeight="1">
      <x:c r="A154" s="58" t="str">
        <x:v>AC-0147</x:v>
      </x:c>
      <x:c r="B154" s="58" t="str">
        <x:v>RB01</x:v>
      </x:c>
      <x:c r="C154" s="58" t="n">
        <x:v>3</x:v>
      </x:c>
      <x:c r="D154" s="58" t="str">
        <x:v>BASE</x:v>
      </x:c>
      <x:c r="E154" s="79" t="n">
        <x:v>289.42035988522554</x:v>
      </x:c>
      <x:c r="F154" s="79" t="n">
        <x:v>942.865</x:v>
      </x:c>
      <x:c r="G154" s="80" t="n">
        <x:f>E154*F154</x:f>
        <x:v>272884.3276231832</x:v>
      </x:c>
      <x:c r="H154" s="58" t="str">
        <x:v>Accrual</x:v>
      </x:c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</x:row>
    <x:row r="155" ht="23" customHeight="1">
      <x:c r="A155" s="60" t="str">
        <x:v>AC-0148</x:v>
      </x:c>
      <x:c r="B155" s="60" t="str">
        <x:v>RB01</x:v>
      </x:c>
      <x:c r="C155" s="60" t="n">
        <x:v>4</x:v>
      </x:c>
      <x:c r="D155" s="60" t="str">
        <x:v>BASE</x:v>
      </x:c>
      <x:c r="E155" s="82" t="n">
        <x:v>289.42035988522554</x:v>
      </x:c>
      <x:c r="F155" s="82" t="n">
        <x:v>942.865</x:v>
      </x:c>
      <x:c r="G155" s="83" t="n">
        <x:f>E155*F155</x:f>
        <x:v>272884.3276231832</x:v>
      </x:c>
      <x:c r="H155" s="60" t="str">
        <x:v>Accrual</x:v>
      </x:c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</x:row>
    <x:row r="156" ht="23" customHeight="1">
      <x:c r="A156" s="58" t="str">
        <x:v>AC-0149</x:v>
      </x:c>
      <x:c r="B156" s="58" t="str">
        <x:v>RB01</x:v>
      </x:c>
      <x:c r="C156" s="58" t="n">
        <x:v>5</x:v>
      </x:c>
      <x:c r="D156" s="58" t="str">
        <x:v>BASE</x:v>
      </x:c>
      <x:c r="E156" s="79" t="n">
        <x:v>289.4203598852256</x:v>
      </x:c>
      <x:c r="F156" s="79" t="n">
        <x:v>942.865</x:v>
      </x:c>
      <x:c r="G156" s="80" t="n">
        <x:f>E156*F156</x:f>
        <x:v>272884.32762318326</x:v>
      </x:c>
      <x:c r="H156" s="58" t="str">
        <x:v>Accrual</x:v>
      </x:c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</x:row>
    <x:row r="157" ht="23" customHeight="1">
      <x:c r="A157" s="60" t="str">
        <x:v>AC-0150</x:v>
      </x:c>
      <x:c r="B157" s="60" t="str">
        <x:v>RB01</x:v>
      </x:c>
      <x:c r="C157" s="60" t="n">
        <x:v>6</x:v>
      </x:c>
      <x:c r="D157" s="60" t="str">
        <x:v>BASE</x:v>
      </x:c>
      <x:c r="E157" s="82" t="n">
        <x:v>289.4203598852255</x:v>
      </x:c>
      <x:c r="F157" s="82" t="n">
        <x:v>942.865</x:v>
      </x:c>
      <x:c r="G157" s="83" t="n">
        <x:f>E157*F157</x:f>
        <x:v>272884.32762318314</x:v>
      </x:c>
      <x:c r="H157" s="60" t="str">
        <x:v>Accrual</x:v>
      </x:c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</x:row>
    <x:row r="158" ht="23" customHeight="1">
      <x:c r="A158" s="58" t="str">
        <x:v>AC-0151</x:v>
      </x:c>
      <x:c r="B158" s="58" t="str">
        <x:v>RB01</x:v>
      </x:c>
      <x:c r="C158" s="58" t="n">
        <x:v>7</x:v>
      </x:c>
      <x:c r="D158" s="58" t="str">
        <x:v>BASE</x:v>
      </x:c>
      <x:c r="E158" s="79" t="n">
        <x:v>289.4203598852255</x:v>
      </x:c>
      <x:c r="F158" s="79" t="n">
        <x:v>942.865</x:v>
      </x:c>
      <x:c r="G158" s="80" t="n">
        <x:f>E158*F158</x:f>
        <x:v>272884.32762318314</x:v>
      </x:c>
      <x:c r="H158" s="58" t="str">
        <x:v>Accrual</x:v>
      </x:c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</x:row>
    <x:row r="159" ht="23" customHeight="1">
      <x:c r="A159" s="60" t="str">
        <x:v>AC-0152</x:v>
      </x:c>
      <x:c r="B159" s="60" t="str">
        <x:v>RB01</x:v>
      </x:c>
      <x:c r="C159" s="60" t="n">
        <x:v>8</x:v>
      </x:c>
      <x:c r="D159" s="60" t="str">
        <x:v>BASE</x:v>
      </x:c>
      <x:c r="E159" s="82" t="n">
        <x:v>289.4203598852257</x:v>
      </x:c>
      <x:c r="F159" s="82" t="n">
        <x:v>942.865</x:v>
      </x:c>
      <x:c r="G159" s="83" t="n">
        <x:f>E159*F159</x:f>
        <x:v>272884.3276231833</x:v>
      </x:c>
      <x:c r="H159" s="60" t="str">
        <x:v>Accrual</x:v>
      </x:c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</x:row>
    <x:row r="160" ht="23" customHeight="1">
      <x:c r="A160" s="58" t="str">
        <x:v>AC-0153</x:v>
      </x:c>
      <x:c r="B160" s="58" t="str">
        <x:v>RB01</x:v>
      </x:c>
      <x:c r="C160" s="58" t="n">
        <x:v>9</x:v>
      </x:c>
      <x:c r="D160" s="58" t="str">
        <x:v>BASE</x:v>
      </x:c>
      <x:c r="E160" s="79" t="n">
        <x:v>289.4203598852255</x:v>
      </x:c>
      <x:c r="F160" s="79" t="n">
        <x:v>942.865</x:v>
      </x:c>
      <x:c r="G160" s="80" t="n">
        <x:f>E160*F160</x:f>
        <x:v>272884.32762318314</x:v>
      </x:c>
      <x:c r="H160" s="58" t="str">
        <x:v>Accrual</x:v>
      </x:c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</x:row>
    <x:row r="161" ht="23" customHeight="1">
      <x:c r="A161" s="60" t="str">
        <x:v>AC-0154</x:v>
      </x:c>
      <x:c r="B161" s="60" t="str">
        <x:v>RB01</x:v>
      </x:c>
      <x:c r="C161" s="60" t="n">
        <x:v>10</x:v>
      </x:c>
      <x:c r="D161" s="60" t="str">
        <x:v>BASE</x:v>
      </x:c>
      <x:c r="E161" s="82" t="n">
        <x:v>289.4203598852255</x:v>
      </x:c>
      <x:c r="F161" s="82" t="n">
        <x:v>942.865</x:v>
      </x:c>
      <x:c r="G161" s="83" t="n">
        <x:f>E161*F161</x:f>
        <x:v>272884.32762318314</x:v>
      </x:c>
      <x:c r="H161" s="60" t="str">
        <x:v>Accrual</x:v>
      </x:c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</x:row>
    <x:row r="162" ht="23" customHeight="1">
      <x:c r="A162" s="58" t="str">
        <x:v>AC-0155</x:v>
      </x:c>
      <x:c r="B162" s="58" t="str">
        <x:v>RB01</x:v>
      </x:c>
      <x:c r="C162" s="58" t="n">
        <x:v>11</x:v>
      </x:c>
      <x:c r="D162" s="58" t="str">
        <x:v>BASE</x:v>
      </x:c>
      <x:c r="E162" s="79" t="n">
        <x:v>289.4203598852255</x:v>
      </x:c>
      <x:c r="F162" s="79" t="n">
        <x:v>942.865</x:v>
      </x:c>
      <x:c r="G162" s="80" t="n">
        <x:f>E162*F162</x:f>
        <x:v>272884.32762318314</x:v>
      </x:c>
      <x:c r="H162" s="58" t="str">
        <x:v>Accrual</x:v>
      </x:c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</x:row>
    <x:row r="163" ht="23" customHeight="1">
      <x:c r="A163" s="60" t="str">
        <x:v>AC-0156</x:v>
      </x:c>
      <x:c r="B163" s="60" t="str">
        <x:v>RB01</x:v>
      </x:c>
      <x:c r="C163" s="60" t="n">
        <x:v>12</x:v>
      </x:c>
      <x:c r="D163" s="60" t="str">
        <x:v>BASE</x:v>
      </x:c>
      <x:c r="E163" s="82" t="n">
        <x:v>289.4203598852255</x:v>
      </x:c>
      <x:c r="F163" s="82" t="n">
        <x:v>942.865</x:v>
      </x:c>
      <x:c r="G163" s="83" t="n">
        <x:f>E163*F163</x:f>
        <x:v>272884.32762318314</x:v>
      </x:c>
      <x:c r="H163" s="60" t="str">
        <x:v>Accrual</x:v>
      </x:c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</x:row>
    <x:row r="164" ht="23" customHeight="1">
      <x:c r="A164" s="58" t="str">
        <x:v>AC-0157</x:v>
      </x:c>
      <x:c r="B164" s="58" t="str">
        <x:v>FW01</x:v>
      </x:c>
      <x:c r="C164" s="58" t="n">
        <x:v>1</x:v>
      </x:c>
      <x:c r="D164" s="58" t="str">
        <x:v>BASE</x:v>
      </x:c>
      <x:c r="E164" s="79" t="n">
        <x:v>0</x:v>
      </x:c>
      <x:c r="F164" s="79" t="n">
        <x:v>24.419999999999998</x:v>
      </x:c>
      <x:c r="G164" s="80" t="n">
        <x:f>E164*F164</x:f>
        <x:v>0</x:v>
      </x:c>
      <x:c r="H164" s="58" t="str">
        <x:v>Invoice</x:v>
      </x:c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</x:row>
    <x:row r="165" ht="23" customHeight="1">
      <x:c r="A165" s="60" t="str">
        <x:v>AC-0158</x:v>
      </x:c>
      <x:c r="B165" s="60" t="str">
        <x:v>FW01</x:v>
      </x:c>
      <x:c r="C165" s="60" t="n">
        <x:v>2</x:v>
      </x:c>
      <x:c r="D165" s="60" t="str">
        <x:v>BASE</x:v>
      </x:c>
      <x:c r="E165" s="82" t="n">
        <x:v>0</x:v>
      </x:c>
      <x:c r="F165" s="82" t="n">
        <x:v>24.419999999999998</x:v>
      </x:c>
      <x:c r="G165" s="83" t="n">
        <x:f>E165*F165</x:f>
        <x:v>0</x:v>
      </x:c>
      <x:c r="H165" s="60" t="str">
        <x:v>Invoice</x:v>
      </x:c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</x:row>
    <x:row r="166" ht="23" customHeight="1">
      <x:c r="A166" s="58" t="str">
        <x:v>AC-0159</x:v>
      </x:c>
      <x:c r="B166" s="58" t="str">
        <x:v>FW01</x:v>
      </x:c>
      <x:c r="C166" s="58" t="n">
        <x:v>3</x:v>
      </x:c>
      <x:c r="D166" s="58" t="str">
        <x:v>BASE</x:v>
      </x:c>
      <x:c r="E166" s="79" t="n">
        <x:v>0</x:v>
      </x:c>
      <x:c r="F166" s="79" t="n">
        <x:v>24.419999999999998</x:v>
      </x:c>
      <x:c r="G166" s="80" t="n">
        <x:f>E166*F166</x:f>
        <x:v>0</x:v>
      </x:c>
      <x:c r="H166" s="58" t="str">
        <x:v>Invoice</x:v>
      </x:c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</x:row>
    <x:row r="167" ht="23" customHeight="1">
      <x:c r="A167" s="60" t="str">
        <x:v>AC-0160</x:v>
      </x:c>
      <x:c r="B167" s="60" t="str">
        <x:v>FW01</x:v>
      </x:c>
      <x:c r="C167" s="60" t="n">
        <x:v>4</x:v>
      </x:c>
      <x:c r="D167" s="60" t="str">
        <x:v>BASE</x:v>
      </x:c>
      <x:c r="E167" s="82" t="n">
        <x:v>0</x:v>
      </x:c>
      <x:c r="F167" s="82" t="n">
        <x:v>24.419999999999998</x:v>
      </x:c>
      <x:c r="G167" s="83" t="n">
        <x:f>E167*F167</x:f>
        <x:v>0</x:v>
      </x:c>
      <x:c r="H167" s="60" t="str">
        <x:v>Invoice</x:v>
      </x:c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</x:row>
    <x:row r="168" ht="23" customHeight="1">
      <x:c r="A168" s="58" t="str">
        <x:v>AC-0161</x:v>
      </x:c>
      <x:c r="B168" s="58" t="str">
        <x:v>FW01</x:v>
      </x:c>
      <x:c r="C168" s="58" t="n">
        <x:v>5</x:v>
      </x:c>
      <x:c r="D168" s="58" t="str">
        <x:v>BASE</x:v>
      </x:c>
      <x:c r="E168" s="79" t="n">
        <x:v>0</x:v>
      </x:c>
      <x:c r="F168" s="79" t="n">
        <x:v>24.419999999999998</x:v>
      </x:c>
      <x:c r="G168" s="80" t="n">
        <x:f>E168*F168</x:f>
        <x:v>0</x:v>
      </x:c>
      <x:c r="H168" s="58" t="str">
        <x:v>Invoice</x:v>
      </x:c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</x:row>
    <x:row r="169" ht="23" customHeight="1">
      <x:c r="A169" s="60" t="str">
        <x:v>AC-0162</x:v>
      </x:c>
      <x:c r="B169" s="60" t="str">
        <x:v>FW01</x:v>
      </x:c>
      <x:c r="C169" s="60" t="n">
        <x:v>6</x:v>
      </x:c>
      <x:c r="D169" s="60" t="str">
        <x:v>BASE</x:v>
      </x:c>
      <x:c r="E169" s="82" t="n">
        <x:v>3998.475000000006</x:v>
      </x:c>
      <x:c r="F169" s="82" t="n">
        <x:v>24.419999999999998</x:v>
      </x:c>
      <x:c r="G169" s="83" t="n">
        <x:f>E169*F169</x:f>
        <x:v>97642.75950000013</x:v>
      </x:c>
      <x:c r="H169" s="60" t="str">
        <x:v>Invoice</x:v>
      </x:c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</x:row>
    <x:row r="170" ht="23" customHeight="1">
      <x:c r="A170" s="58" t="str">
        <x:v>AC-0163</x:v>
      </x:c>
      <x:c r="B170" s="58" t="str">
        <x:v>FW01</x:v>
      </x:c>
      <x:c r="C170" s="58" t="n">
        <x:v>7</x:v>
      </x:c>
      <x:c r="D170" s="58" t="str">
        <x:v>BASE</x:v>
      </x:c>
      <x:c r="E170" s="79" t="n">
        <x:v>3998.475000000006</x:v>
      </x:c>
      <x:c r="F170" s="79" t="n">
        <x:v>24.419999999999998</x:v>
      </x:c>
      <x:c r="G170" s="80" t="n">
        <x:f>E170*F170</x:f>
        <x:v>97642.75950000013</x:v>
      </x:c>
      <x:c r="H170" s="58" t="str">
        <x:v>Invoice</x:v>
      </x:c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</x:row>
    <x:row r="171" ht="23" customHeight="1">
      <x:c r="A171" s="60" t="str">
        <x:v>AC-0164</x:v>
      </x:c>
      <x:c r="B171" s="60" t="str">
        <x:v>FW01</x:v>
      </x:c>
      <x:c r="C171" s="60" t="n">
        <x:v>8</x:v>
      </x:c>
      <x:c r="D171" s="60" t="str">
        <x:v>BASE</x:v>
      </x:c>
      <x:c r="E171" s="82" t="n">
        <x:v>3998.475000000006</x:v>
      </x:c>
      <x:c r="F171" s="82" t="n">
        <x:v>24.419999999999998</x:v>
      </x:c>
      <x:c r="G171" s="83" t="n">
        <x:f>E171*F171</x:f>
        <x:v>97642.75950000013</x:v>
      </x:c>
      <x:c r="H171" s="60" t="str">
        <x:v>Invoice</x:v>
      </x:c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</x:row>
    <x:row r="172" ht="23" customHeight="1">
      <x:c r="A172" s="58" t="str">
        <x:v>AC-0165</x:v>
      </x:c>
      <x:c r="B172" s="58" t="str">
        <x:v>FW01</x:v>
      </x:c>
      <x:c r="C172" s="58" t="n">
        <x:v>9</x:v>
      </x:c>
      <x:c r="D172" s="58" t="str">
        <x:v>BASE</x:v>
      </x:c>
      <x:c r="E172" s="79" t="n">
        <x:v>3998.475000000006</x:v>
      </x:c>
      <x:c r="F172" s="79" t="n">
        <x:v>24.419999999999998</x:v>
      </x:c>
      <x:c r="G172" s="80" t="n">
        <x:f>E172*F172</x:f>
        <x:v>97642.75950000013</x:v>
      </x:c>
      <x:c r="H172" s="58" t="str">
        <x:v>Invoice</x:v>
      </x:c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</x:row>
    <x:row r="173" ht="23" customHeight="1">
      <x:c r="A173" s="60" t="str">
        <x:v>AC-0166</x:v>
      </x:c>
      <x:c r="B173" s="60" t="str">
        <x:v>FW01</x:v>
      </x:c>
      <x:c r="C173" s="60" t="n">
        <x:v>10</x:v>
      </x:c>
      <x:c r="D173" s="60" t="str">
        <x:v>BASE</x:v>
      </x:c>
      <x:c r="E173" s="82" t="n">
        <x:v>3998.475000000006</x:v>
      </x:c>
      <x:c r="F173" s="82" t="n">
        <x:v>24.419999999999998</x:v>
      </x:c>
      <x:c r="G173" s="83" t="n">
        <x:f>E173*F173</x:f>
        <x:v>97642.75950000013</x:v>
      </x:c>
      <x:c r="H173" s="60" t="str">
        <x:v>Invoice</x:v>
      </x:c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</x:row>
    <x:row r="174" ht="23" customHeight="1">
      <x:c r="A174" s="58" t="str">
        <x:v>AC-0167</x:v>
      </x:c>
      <x:c r="B174" s="58" t="str">
        <x:v>FW01</x:v>
      </x:c>
      <x:c r="C174" s="58" t="n">
        <x:v>11</x:v>
      </x:c>
      <x:c r="D174" s="58" t="str">
        <x:v>BASE</x:v>
      </x:c>
      <x:c r="E174" s="79" t="n">
        <x:v>3998.475000000006</x:v>
      </x:c>
      <x:c r="F174" s="79" t="n">
        <x:v>24.419999999999998</x:v>
      </x:c>
      <x:c r="G174" s="80" t="n">
        <x:f>E174*F174</x:f>
        <x:v>97642.75950000013</x:v>
      </x:c>
      <x:c r="H174" s="58" t="str">
        <x:v>Invoice</x:v>
      </x:c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</x:row>
    <x:row r="175" ht="23" customHeight="1">
      <x:c r="A175" s="60" t="str">
        <x:v>AC-0168</x:v>
      </x:c>
      <x:c r="B175" s="60" t="str">
        <x:v>FW01</x:v>
      </x:c>
      <x:c r="C175" s="60" t="n">
        <x:v>12</x:v>
      </x:c>
      <x:c r="D175" s="60" t="str">
        <x:v>BASE</x:v>
      </x:c>
      <x:c r="E175" s="82" t="n">
        <x:v>3998.475000000006</x:v>
      </x:c>
      <x:c r="F175" s="82" t="n">
        <x:v>24.419999999999998</x:v>
      </x:c>
      <x:c r="G175" s="83" t="n">
        <x:f>E175*F175</x:f>
        <x:v>97642.75950000013</x:v>
      </x:c>
      <x:c r="H175" s="60" t="str">
        <x:v>Invoice</x:v>
      </x:c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</x:row>
    <x:row r="176" ht="23" customHeight="1">
      <x:c r="A176" s="58" t="str">
        <x:v>AC-0169</x:v>
      </x:c>
      <x:c r="B176" s="58" t="str">
        <x:v>FW02</x:v>
      </x:c>
      <x:c r="C176" s="58" t="n">
        <x:v>1</x:v>
      </x:c>
      <x:c r="D176" s="58" t="str">
        <x:v>BASE</x:v>
      </x:c>
      <x:c r="E176" s="79" t="n">
        <x:v>0</x:v>
      </x:c>
      <x:c r="F176" s="79" t="n">
        <x:v>24.96</x:v>
      </x:c>
      <x:c r="G176" s="80" t="n">
        <x:f>E176*F176</x:f>
        <x:v>0</x:v>
      </x:c>
      <x:c r="H176" s="58" t="str">
        <x:v>Invoice</x:v>
      </x:c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</x:row>
    <x:row r="177" ht="23" customHeight="1">
      <x:c r="A177" s="60" t="str">
        <x:v>AC-0170</x:v>
      </x:c>
      <x:c r="B177" s="60" t="str">
        <x:v>FW02</x:v>
      </x:c>
      <x:c r="C177" s="60" t="n">
        <x:v>2</x:v>
      </x:c>
      <x:c r="D177" s="60" t="str">
        <x:v>BASE</x:v>
      </x:c>
      <x:c r="E177" s="82" t="n">
        <x:v>0</x:v>
      </x:c>
      <x:c r="F177" s="82" t="n">
        <x:v>24.96</x:v>
      </x:c>
      <x:c r="G177" s="83" t="n">
        <x:f>E177*F177</x:f>
        <x:v>0</x:v>
      </x:c>
      <x:c r="H177" s="60" t="str">
        <x:v>Invoice</x:v>
      </x:c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</x:row>
    <x:row r="178" ht="23" customHeight="1">
      <x:c r="A178" s="58" t="str">
        <x:v>AC-0171</x:v>
      </x:c>
      <x:c r="B178" s="58" t="str">
        <x:v>FW02</x:v>
      </x:c>
      <x:c r="C178" s="58" t="n">
        <x:v>3</x:v>
      </x:c>
      <x:c r="D178" s="58" t="str">
        <x:v>BASE</x:v>
      </x:c>
      <x:c r="E178" s="79" t="n">
        <x:v>0</x:v>
      </x:c>
      <x:c r="F178" s="79" t="n">
        <x:v>24.96</x:v>
      </x:c>
      <x:c r="G178" s="80" t="n">
        <x:f>E178*F178</x:f>
        <x:v>0</x:v>
      </x:c>
      <x:c r="H178" s="58" t="str">
        <x:v>Invoice</x:v>
      </x:c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</x:row>
    <x:row r="179" ht="23" customHeight="1">
      <x:c r="A179" s="60" t="str">
        <x:v>AC-0172</x:v>
      </x:c>
      <x:c r="B179" s="60" t="str">
        <x:v>FW02</x:v>
      </x:c>
      <x:c r="C179" s="60" t="n">
        <x:v>4</x:v>
      </x:c>
      <x:c r="D179" s="60" t="str">
        <x:v>BASE</x:v>
      </x:c>
      <x:c r="E179" s="82" t="n">
        <x:v>0</x:v>
      </x:c>
      <x:c r="F179" s="82" t="n">
        <x:v>24.96</x:v>
      </x:c>
      <x:c r="G179" s="83" t="n">
        <x:f>E179*F179</x:f>
        <x:v>0</x:v>
      </x:c>
      <x:c r="H179" s="60" t="str">
        <x:v>Invoice</x:v>
      </x:c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</x:row>
    <x:row r="180" ht="23" customHeight="1">
      <x:c r="A180" s="58" t="str">
        <x:v>AC-0173</x:v>
      </x:c>
      <x:c r="B180" s="58" t="str">
        <x:v>FW02</x:v>
      </x:c>
      <x:c r="C180" s="58" t="n">
        <x:v>5</x:v>
      </x:c>
      <x:c r="D180" s="58" t="str">
        <x:v>BASE</x:v>
      </x:c>
      <x:c r="E180" s="79" t="n">
        <x:v>0</x:v>
      </x:c>
      <x:c r="F180" s="79" t="n">
        <x:v>24.96</x:v>
      </x:c>
      <x:c r="G180" s="80" t="n">
        <x:f>E180*F180</x:f>
        <x:v>0</x:v>
      </x:c>
      <x:c r="H180" s="58" t="str">
        <x:v>Invoice</x:v>
      </x:c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</x:row>
    <x:row r="181" ht="23" customHeight="1">
      <x:c r="A181" s="60" t="str">
        <x:v>AC-0174</x:v>
      </x:c>
      <x:c r="B181" s="60" t="str">
        <x:v>FW02</x:v>
      </x:c>
      <x:c r="C181" s="60" t="n">
        <x:v>6</x:v>
      </x:c>
      <x:c r="D181" s="60" t="str">
        <x:v>BASE</x:v>
      </x:c>
      <x:c r="E181" s="82" t="n">
        <x:v>1801.1493499999972</x:v>
      </x:c>
      <x:c r="F181" s="82" t="n">
        <x:v>24.96</x:v>
      </x:c>
      <x:c r="G181" s="83" t="n">
        <x:f>E181*F181</x:f>
        <x:v>44956.68777599993</x:v>
      </x:c>
      <x:c r="H181" s="60" t="str">
        <x:v>Invoice</x:v>
      </x:c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</x:row>
    <x:row r="182" ht="23" customHeight="1">
      <x:c r="A182" s="58" t="str">
        <x:v>AC-0175</x:v>
      </x:c>
      <x:c r="B182" s="58" t="str">
        <x:v>FW02</x:v>
      </x:c>
      <x:c r="C182" s="58" t="n">
        <x:v>7</x:v>
      </x:c>
      <x:c r="D182" s="58" t="str">
        <x:v>BASE</x:v>
      </x:c>
      <x:c r="E182" s="79" t="n">
        <x:v>1801.1493499999972</x:v>
      </x:c>
      <x:c r="F182" s="79" t="n">
        <x:v>24.96</x:v>
      </x:c>
      <x:c r="G182" s="80" t="n">
        <x:f>E182*F182</x:f>
        <x:v>44956.68777599993</x:v>
      </x:c>
      <x:c r="H182" s="58" t="str">
        <x:v>Invoice</x:v>
      </x:c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</x:row>
    <x:row r="183" ht="23" customHeight="1">
      <x:c r="A183" s="60" t="str">
        <x:v>AC-0176</x:v>
      </x:c>
      <x:c r="B183" s="60" t="str">
        <x:v>FW02</x:v>
      </x:c>
      <x:c r="C183" s="60" t="n">
        <x:v>8</x:v>
      </x:c>
      <x:c r="D183" s="60" t="str">
        <x:v>BASE</x:v>
      </x:c>
      <x:c r="E183" s="82" t="n">
        <x:v>1801.1493499999974</x:v>
      </x:c>
      <x:c r="F183" s="82" t="n">
        <x:v>24.96</x:v>
      </x:c>
      <x:c r="G183" s="83" t="n">
        <x:f>E183*F183</x:f>
        <x:v>44956.68777599993</x:v>
      </x:c>
      <x:c r="H183" s="60" t="str">
        <x:v>Invoice</x:v>
      </x:c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</x:row>
    <x:row r="184" ht="23" customHeight="1">
      <x:c r="A184" s="58" t="str">
        <x:v>AC-0177</x:v>
      </x:c>
      <x:c r="B184" s="58" t="str">
        <x:v>FW02</x:v>
      </x:c>
      <x:c r="C184" s="58" t="n">
        <x:v>9</x:v>
      </x:c>
      <x:c r="D184" s="58" t="str">
        <x:v>BASE</x:v>
      </x:c>
      <x:c r="E184" s="79" t="n">
        <x:v>1801.149349999997</x:v>
      </x:c>
      <x:c r="F184" s="79" t="n">
        <x:v>24.96</x:v>
      </x:c>
      <x:c r="G184" s="80" t="n">
        <x:f>E184*F184</x:f>
        <x:v>44956.687775999926</x:v>
      </x:c>
      <x:c r="H184" s="58" t="str">
        <x:v>Invoice</x:v>
      </x:c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</x:row>
    <x:row r="185" ht="23" customHeight="1">
      <x:c r="A185" s="60" t="str">
        <x:v>AC-0178</x:v>
      </x:c>
      <x:c r="B185" s="60" t="str">
        <x:v>FW02</x:v>
      </x:c>
      <x:c r="C185" s="60" t="n">
        <x:v>10</x:v>
      </x:c>
      <x:c r="D185" s="60" t="str">
        <x:v>BASE</x:v>
      </x:c>
      <x:c r="E185" s="82" t="n">
        <x:v>1801.1493499999988</x:v>
      </x:c>
      <x:c r="F185" s="82" t="n">
        <x:v>24.96</x:v>
      </x:c>
      <x:c r="G185" s="83" t="n">
        <x:f>E185*F185</x:f>
        <x:v>44956.68777599997</x:v>
      </x:c>
      <x:c r="H185" s="60" t="str">
        <x:v>Invoice</x:v>
      </x:c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</x:row>
    <x:row r="186" ht="23" customHeight="1">
      <x:c r="A186" s="58" t="str">
        <x:v>AC-0179</x:v>
      </x:c>
      <x:c r="B186" s="58" t="str">
        <x:v>FW02</x:v>
      </x:c>
      <x:c r="C186" s="58" t="n">
        <x:v>11</x:v>
      </x:c>
      <x:c r="D186" s="58" t="str">
        <x:v>BASE</x:v>
      </x:c>
      <x:c r="E186" s="79" t="n">
        <x:v>1801.149349999996</x:v>
      </x:c>
      <x:c r="F186" s="79" t="n">
        <x:v>24.96</x:v>
      </x:c>
      <x:c r="G186" s="80" t="n">
        <x:f>E186*F186</x:f>
        <x:v>44956.687775999904</x:v>
      </x:c>
      <x:c r="H186" s="58" t="str">
        <x:v>Invoice</x:v>
      </x:c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</x:row>
    <x:row r="187" ht="23" customHeight="1">
      <x:c r="A187" s="60" t="str">
        <x:v>AC-0180</x:v>
      </x:c>
      <x:c r="B187" s="60" t="str">
        <x:v>FW02</x:v>
      </x:c>
      <x:c r="C187" s="60" t="n">
        <x:v>12</x:v>
      </x:c>
      <x:c r="D187" s="60" t="str">
        <x:v>BASE</x:v>
      </x:c>
      <x:c r="E187" s="82" t="n">
        <x:v>1801.1493499999979</x:v>
      </x:c>
      <x:c r="F187" s="82" t="n">
        <x:v>24.96</x:v>
      </x:c>
      <x:c r="G187" s="83" t="n">
        <x:f>E187*F187</x:f>
        <x:v>44956.68777599995</x:v>
      </x:c>
      <x:c r="H187" s="60" t="str">
        <x:v>Invoice</x:v>
      </x:c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</x:row>
    <x:row r="188" ht="23" customHeight="1">
      <x:c r="A188" s="58" t="str">
        <x:v>AC-0181</x:v>
      </x:c>
      <x:c r="B188" s="58" t="str">
        <x:v>FW03</x:v>
      </x:c>
      <x:c r="C188" s="58" t="n">
        <x:v>1</x:v>
      </x:c>
      <x:c r="D188" s="58" t="str">
        <x:v>BASE</x:v>
      </x:c>
      <x:c r="E188" s="79" t="n">
        <x:v>0</x:v>
      </x:c>
      <x:c r="F188" s="79" t="n">
        <x:v>26.595</x:v>
      </x:c>
      <x:c r="G188" s="80" t="n">
        <x:f>E188*F188</x:f>
        <x:v>0</x:v>
      </x:c>
      <x:c r="H188" s="58" t="str">
        <x:v>Accrual</x:v>
      </x:c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</x:row>
    <x:row r="189" ht="23" customHeight="1">
      <x:c r="A189" s="60" t="str">
        <x:v>AC-0182</x:v>
      </x:c>
      <x:c r="B189" s="60" t="str">
        <x:v>FW03</x:v>
      </x:c>
      <x:c r="C189" s="60" t="n">
        <x:v>2</x:v>
      </x:c>
      <x:c r="D189" s="60" t="str">
        <x:v>BASE</x:v>
      </x:c>
      <x:c r="E189" s="82" t="n">
        <x:v>0</x:v>
      </x:c>
      <x:c r="F189" s="82" t="n">
        <x:v>26.595</x:v>
      </x:c>
      <x:c r="G189" s="83" t="n">
        <x:f>E189*F189</x:f>
        <x:v>0</x:v>
      </x:c>
      <x:c r="H189" s="60" t="str">
        <x:v>Accrual</x:v>
      </x:c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</x:row>
    <x:row r="190" ht="23" customHeight="1">
      <x:c r="A190" s="58" t="str">
        <x:v>AC-0183</x:v>
      </x:c>
      <x:c r="B190" s="58" t="str">
        <x:v>FW03</x:v>
      </x:c>
      <x:c r="C190" s="58" t="n">
        <x:v>3</x:v>
      </x:c>
      <x:c r="D190" s="58" t="str">
        <x:v>BASE</x:v>
      </x:c>
      <x:c r="E190" s="79" t="n">
        <x:v>0</x:v>
      </x:c>
      <x:c r="F190" s="79" t="n">
        <x:v>26.595</x:v>
      </x:c>
      <x:c r="G190" s="80" t="n">
        <x:f>E190*F190</x:f>
        <x:v>0</x:v>
      </x:c>
      <x:c r="H190" s="58" t="str">
        <x:v>Accrual</x:v>
      </x:c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</x:row>
    <x:row r="191" ht="23" customHeight="1">
      <x:c r="A191" s="60" t="str">
        <x:v>AC-0184</x:v>
      </x:c>
      <x:c r="B191" s="60" t="str">
        <x:v>FW03</x:v>
      </x:c>
      <x:c r="C191" s="60" t="n">
        <x:v>4</x:v>
      </x:c>
      <x:c r="D191" s="60" t="str">
        <x:v>BASE</x:v>
      </x:c>
      <x:c r="E191" s="82" t="n">
        <x:v>0</x:v>
      </x:c>
      <x:c r="F191" s="82" t="n">
        <x:v>26.595</x:v>
      </x:c>
      <x:c r="G191" s="83" t="n">
        <x:f>E191*F191</x:f>
        <x:v>0</x:v>
      </x:c>
      <x:c r="H191" s="60" t="str">
        <x:v>Accrual</x:v>
      </x:c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</x:row>
    <x:row r="192" ht="23" customHeight="1">
      <x:c r="A192" s="58" t="str">
        <x:v>AC-0185</x:v>
      </x:c>
      <x:c r="B192" s="58" t="str">
        <x:v>FW03</x:v>
      </x:c>
      <x:c r="C192" s="58" t="n">
        <x:v>5</x:v>
      </x:c>
      <x:c r="D192" s="58" t="str">
        <x:v>BASE</x:v>
      </x:c>
      <x:c r="E192" s="79" t="n">
        <x:v>0</x:v>
      </x:c>
      <x:c r="F192" s="79" t="n">
        <x:v>26.595</x:v>
      </x:c>
      <x:c r="G192" s="80" t="n">
        <x:f>E192*F192</x:f>
        <x:v>0</x:v>
      </x:c>
      <x:c r="H192" s="58" t="str">
        <x:v>Accrual</x:v>
      </x:c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</x:row>
    <x:row r="193" ht="23" customHeight="1">
      <x:c r="A193" s="60" t="str">
        <x:v>AC-0186</x:v>
      </x:c>
      <x:c r="B193" s="60" t="str">
        <x:v>FW03</x:v>
      </x:c>
      <x:c r="C193" s="60" t="n">
        <x:v>6</x:v>
      </x:c>
      <x:c r="D193" s="60" t="str">
        <x:v>BASE</x:v>
      </x:c>
      <x:c r="E193" s="82" t="n">
        <x:v>1162.1999999999985</x:v>
      </x:c>
      <x:c r="F193" s="82" t="n">
        <x:v>26.595</x:v>
      </x:c>
      <x:c r="G193" s="83" t="n">
        <x:f>E193*F193</x:f>
        <x:v>30908.70899999996</x:v>
      </x:c>
      <x:c r="H193" s="60" t="str">
        <x:v>Accrual</x:v>
      </x:c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</x:row>
    <x:row r="194" ht="23" customHeight="1">
      <x:c r="A194" s="58" t="str">
        <x:v>AC-0187</x:v>
      </x:c>
      <x:c r="B194" s="58" t="str">
        <x:v>FW03</x:v>
      </x:c>
      <x:c r="C194" s="58" t="n">
        <x:v>7</x:v>
      </x:c>
      <x:c r="D194" s="58" t="str">
        <x:v>BASE</x:v>
      </x:c>
      <x:c r="E194" s="79" t="n">
        <x:v>1162.1999999999985</x:v>
      </x:c>
      <x:c r="F194" s="79" t="n">
        <x:v>26.595</x:v>
      </x:c>
      <x:c r="G194" s="80" t="n">
        <x:f>E194*F194</x:f>
        <x:v>30908.70899999996</x:v>
      </x:c>
      <x:c r="H194" s="58" t="str">
        <x:v>Accrual</x:v>
      </x:c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</x:row>
    <x:row r="195" ht="23" customHeight="1">
      <x:c r="A195" s="60" t="str">
        <x:v>AC-0188</x:v>
      </x:c>
      <x:c r="B195" s="60" t="str">
        <x:v>FW03</x:v>
      </x:c>
      <x:c r="C195" s="60" t="n">
        <x:v>8</x:v>
      </x:c>
      <x:c r="D195" s="60" t="str">
        <x:v>BASE</x:v>
      </x:c>
      <x:c r="E195" s="82" t="n">
        <x:v>1162.1999999999985</x:v>
      </x:c>
      <x:c r="F195" s="82" t="n">
        <x:v>26.595</x:v>
      </x:c>
      <x:c r="G195" s="83" t="n">
        <x:f>E195*F195</x:f>
        <x:v>30908.70899999996</x:v>
      </x:c>
      <x:c r="H195" s="60" t="str">
        <x:v>Accrual</x:v>
      </x:c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</x:row>
    <x:row r="196" ht="23" customHeight="1">
      <x:c r="A196" s="58" t="str">
        <x:v>AC-0189</x:v>
      </x:c>
      <x:c r="B196" s="58" t="str">
        <x:v>FW03</x:v>
      </x:c>
      <x:c r="C196" s="58" t="n">
        <x:v>9</x:v>
      </x:c>
      <x:c r="D196" s="58" t="str">
        <x:v>BASE</x:v>
      </x:c>
      <x:c r="E196" s="79" t="n">
        <x:v>1162.1999999999985</x:v>
      </x:c>
      <x:c r="F196" s="79" t="n">
        <x:v>26.595</x:v>
      </x:c>
      <x:c r="G196" s="80" t="n">
        <x:f>E196*F196</x:f>
        <x:v>30908.70899999996</x:v>
      </x:c>
      <x:c r="H196" s="58" t="str">
        <x:v>Accrual</x:v>
      </x:c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</x:row>
    <x:row r="197" ht="23" customHeight="1">
      <x:c r="A197" s="60" t="str">
        <x:v>AC-0190</x:v>
      </x:c>
      <x:c r="B197" s="60" t="str">
        <x:v>FW03</x:v>
      </x:c>
      <x:c r="C197" s="60" t="n">
        <x:v>10</x:v>
      </x:c>
      <x:c r="D197" s="60" t="str">
        <x:v>BASE</x:v>
      </x:c>
      <x:c r="E197" s="82" t="n">
        <x:v>1162.199999999999</x:v>
      </x:c>
      <x:c r="F197" s="82" t="n">
        <x:v>26.595</x:v>
      </x:c>
      <x:c r="G197" s="83" t="n">
        <x:f>E197*F197</x:f>
        <x:v>30908.70899999997</x:v>
      </x:c>
      <x:c r="H197" s="60" t="str">
        <x:v>Accrual</x:v>
      </x:c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</x:row>
    <x:row r="198" ht="23" customHeight="1">
      <x:c r="A198" s="58" t="str">
        <x:v>AC-0191</x:v>
      </x:c>
      <x:c r="B198" s="58" t="str">
        <x:v>FW03</x:v>
      </x:c>
      <x:c r="C198" s="58" t="n">
        <x:v>11</x:v>
      </x:c>
      <x:c r="D198" s="58" t="str">
        <x:v>BASE</x:v>
      </x:c>
      <x:c r="E198" s="79" t="n">
        <x:v>1162.199999999998</x:v>
      </x:c>
      <x:c r="F198" s="79" t="n">
        <x:v>26.595</x:v>
      </x:c>
      <x:c r="G198" s="80" t="n">
        <x:f>E198*F198</x:f>
        <x:v>30908.708999999944</x:v>
      </x:c>
      <x:c r="H198" s="58" t="str">
        <x:v>Accrual</x:v>
      </x:c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</x:row>
    <x:row r="199" ht="23" customHeight="1">
      <x:c r="A199" s="60" t="str">
        <x:v>AC-0192</x:v>
      </x:c>
      <x:c r="B199" s="60" t="str">
        <x:v>FW03</x:v>
      </x:c>
      <x:c r="C199" s="60" t="n">
        <x:v>12</x:v>
      </x:c>
      <x:c r="D199" s="60" t="str">
        <x:v>BASE</x:v>
      </x:c>
      <x:c r="E199" s="82" t="n">
        <x:v>1162.199999999999</x:v>
      </x:c>
      <x:c r="F199" s="82" t="n">
        <x:v>26.595</x:v>
      </x:c>
      <x:c r="G199" s="83" t="n">
        <x:f>E199*F199</x:f>
        <x:v>30908.70899999997</x:v>
      </x:c>
      <x:c r="H199" s="60" t="str">
        <x:v>Accrual</x:v>
      </x:c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</x:row>
    <x:row r="200" ht="23" customHeight="1">
      <x:c r="A200" s="58" t="str">
        <x:v>AC-0193</x:v>
      </x:c>
      <x:c r="B200" s="58" t="str">
        <x:v>FW04</x:v>
      </x:c>
      <x:c r="C200" s="58" t="n">
        <x:v>1</x:v>
      </x:c>
      <x:c r="D200" s="58" t="str">
        <x:v>BASE</x:v>
      </x:c>
      <x:c r="E200" s="79" t="n">
        <x:v>0</x:v>
      </x:c>
      <x:c r="F200" s="79" t="n">
        <x:v>25.249999999999996</x:v>
      </x:c>
      <x:c r="G200" s="80" t="n">
        <x:f>E200*F200</x:f>
        <x:v>0</x:v>
      </x:c>
      <x:c r="H200" s="58" t="str">
        <x:v>Invoice</x:v>
      </x:c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</x:row>
    <x:row r="201" ht="23" customHeight="1">
      <x:c r="A201" s="60" t="str">
        <x:v>AC-0194</x:v>
      </x:c>
      <x:c r="B201" s="60" t="str">
        <x:v>FW04</x:v>
      </x:c>
      <x:c r="C201" s="60" t="n">
        <x:v>2</x:v>
      </x:c>
      <x:c r="D201" s="60" t="str">
        <x:v>BASE</x:v>
      </x:c>
      <x:c r="E201" s="82" t="n">
        <x:v>0</x:v>
      </x:c>
      <x:c r="F201" s="82" t="n">
        <x:v>25.249999999999996</x:v>
      </x:c>
      <x:c r="G201" s="83" t="n">
        <x:f>E201*F201</x:f>
        <x:v>0</x:v>
      </x:c>
      <x:c r="H201" s="60" t="str">
        <x:v>Invoice</x:v>
      </x:c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</x:row>
    <x:row r="202" ht="23" customHeight="1">
      <x:c r="A202" s="58" t="str">
        <x:v>AC-0195</x:v>
      </x:c>
      <x:c r="B202" s="58" t="str">
        <x:v>FW04</x:v>
      </x:c>
      <x:c r="C202" s="58" t="n">
        <x:v>3</x:v>
      </x:c>
      <x:c r="D202" s="58" t="str">
        <x:v>BASE</x:v>
      </x:c>
      <x:c r="E202" s="79" t="n">
        <x:v>0</x:v>
      </x:c>
      <x:c r="F202" s="79" t="n">
        <x:v>25.249999999999996</x:v>
      </x:c>
      <x:c r="G202" s="80" t="n">
        <x:f>E202*F202</x:f>
        <x:v>0</x:v>
      </x:c>
      <x:c r="H202" s="58" t="str">
        <x:v>Invoice</x:v>
      </x:c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</x:row>
    <x:row r="203" ht="23" customHeight="1">
      <x:c r="A203" s="60" t="str">
        <x:v>AC-0196</x:v>
      </x:c>
      <x:c r="B203" s="60" t="str">
        <x:v>FW04</x:v>
      </x:c>
      <x:c r="C203" s="60" t="n">
        <x:v>4</x:v>
      </x:c>
      <x:c r="D203" s="60" t="str">
        <x:v>BASE</x:v>
      </x:c>
      <x:c r="E203" s="82" t="n">
        <x:v>0</x:v>
      </x:c>
      <x:c r="F203" s="82" t="n">
        <x:v>25.249999999999996</x:v>
      </x:c>
      <x:c r="G203" s="83" t="n">
        <x:f>E203*F203</x:f>
        <x:v>0</x:v>
      </x:c>
      <x:c r="H203" s="60" t="str">
        <x:v>Invoice</x:v>
      </x:c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</x:row>
    <x:row r="204" ht="23" customHeight="1">
      <x:c r="A204" s="58" t="str">
        <x:v>AC-0197</x:v>
      </x:c>
      <x:c r="B204" s="58" t="str">
        <x:v>FW04</x:v>
      </x:c>
      <x:c r="C204" s="58" t="n">
        <x:v>5</x:v>
      </x:c>
      <x:c r="D204" s="58" t="str">
        <x:v>BASE</x:v>
      </x:c>
      <x:c r="E204" s="79" t="n">
        <x:v>929.7600000000014</x:v>
      </x:c>
      <x:c r="F204" s="79" t="n">
        <x:v>25.249999999999996</x:v>
      </x:c>
      <x:c r="G204" s="80" t="n">
        <x:f>E204*F204</x:f>
        <x:v>23476.44000000003</x:v>
      </x:c>
      <x:c r="H204" s="58" t="str">
        <x:v>Invoice</x:v>
      </x:c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</x:row>
    <x:row r="205" ht="23" customHeight="1">
      <x:c r="A205" s="60" t="str">
        <x:v>AC-0198</x:v>
      </x:c>
      <x:c r="B205" s="60" t="str">
        <x:v>FW04</x:v>
      </x:c>
      <x:c r="C205" s="60" t="n">
        <x:v>6</x:v>
      </x:c>
      <x:c r="D205" s="60" t="str">
        <x:v>BASE</x:v>
      </x:c>
      <x:c r="E205" s="82" t="n">
        <x:v>929.7600000000014</x:v>
      </x:c>
      <x:c r="F205" s="82" t="n">
        <x:v>25.249999999999996</x:v>
      </x:c>
      <x:c r="G205" s="83" t="n">
        <x:f>E205*F205</x:f>
        <x:v>23476.44000000003</x:v>
      </x:c>
      <x:c r="H205" s="60" t="str">
        <x:v>Invoice</x:v>
      </x:c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</x:row>
    <x:row r="206" ht="23" customHeight="1">
      <x:c r="A206" s="58" t="str">
        <x:v>AC-0199</x:v>
      </x:c>
      <x:c r="B206" s="58" t="str">
        <x:v>FW04</x:v>
      </x:c>
      <x:c r="C206" s="58" t="n">
        <x:v>7</x:v>
      </x:c>
      <x:c r="D206" s="58" t="str">
        <x:v>BASE</x:v>
      </x:c>
      <x:c r="E206" s="79" t="n">
        <x:v>929.7600000000016</x:v>
      </x:c>
      <x:c r="F206" s="79" t="n">
        <x:v>25.249999999999996</x:v>
      </x:c>
      <x:c r="G206" s="80" t="n">
        <x:f>E206*F206</x:f>
        <x:v>23476.440000000035</x:v>
      </x:c>
      <x:c r="H206" s="58" t="str">
        <x:v>Invoice</x:v>
      </x:c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</x:row>
    <x:row r="207" ht="23" customHeight="1">
      <x:c r="A207" s="60" t="str">
        <x:v>AC-0200</x:v>
      </x:c>
      <x:c r="B207" s="60" t="str">
        <x:v>FW04</x:v>
      </x:c>
      <x:c r="C207" s="60" t="n">
        <x:v>8</x:v>
      </x:c>
      <x:c r="D207" s="60" t="str">
        <x:v>BASE</x:v>
      </x:c>
      <x:c r="E207" s="82" t="n">
        <x:v>929.7600000000011</x:v>
      </x:c>
      <x:c r="F207" s="82" t="n">
        <x:v>25.249999999999996</x:v>
      </x:c>
      <x:c r="G207" s="83" t="n">
        <x:f>E207*F207</x:f>
        <x:v>23476.440000000024</x:v>
      </x:c>
      <x:c r="H207" s="60" t="str">
        <x:v>Invoice</x:v>
      </x:c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</x:row>
    <x:row r="208" ht="23" customHeight="1">
      <x:c r="A208" s="58" t="str">
        <x:v>AC-0201</x:v>
      </x:c>
      <x:c r="B208" s="58" t="str">
        <x:v>FW04</x:v>
      </x:c>
      <x:c r="C208" s="58" t="n">
        <x:v>9</x:v>
      </x:c>
      <x:c r="D208" s="58" t="str">
        <x:v>BASE</x:v>
      </x:c>
      <x:c r="E208" s="79" t="n">
        <x:v>929.760000000002</x:v>
      </x:c>
      <x:c r="F208" s="79" t="n">
        <x:v>25.249999999999996</x:v>
      </x:c>
      <x:c r="G208" s="80" t="n">
        <x:f>E208*F208</x:f>
        <x:v>23476.44000000005</x:v>
      </x:c>
      <x:c r="H208" s="58" t="str">
        <x:v>Invoice</x:v>
      </x:c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</x:row>
    <x:row r="209" ht="23" customHeight="1">
      <x:c r="A209" s="60" t="str">
        <x:v>AC-0202</x:v>
      </x:c>
      <x:c r="B209" s="60" t="str">
        <x:v>FW04</x:v>
      </x:c>
      <x:c r="C209" s="60" t="n">
        <x:v>10</x:v>
      </x:c>
      <x:c r="D209" s="60" t="str">
        <x:v>BASE</x:v>
      </x:c>
      <x:c r="E209" s="82" t="n">
        <x:v>929.7600000000011</x:v>
      </x:c>
      <x:c r="F209" s="82" t="n">
        <x:v>25.249999999999996</x:v>
      </x:c>
      <x:c r="G209" s="83" t="n">
        <x:f>E209*F209</x:f>
        <x:v>23476.440000000024</x:v>
      </x:c>
      <x:c r="H209" s="60" t="str">
        <x:v>Invoice</x:v>
      </x:c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</x:row>
    <x:row r="210" ht="23" customHeight="1">
      <x:c r="A210" s="58" t="str">
        <x:v>AC-0203</x:v>
      </x:c>
      <x:c r="B210" s="58" t="str">
        <x:v>FW04</x:v>
      </x:c>
      <x:c r="C210" s="58" t="n">
        <x:v>11</x:v>
      </x:c>
      <x:c r="D210" s="58" t="str">
        <x:v>BASE</x:v>
      </x:c>
      <x:c r="E210" s="79" t="n">
        <x:v>929.760000000002</x:v>
      </x:c>
      <x:c r="F210" s="79" t="n">
        <x:v>25.249999999999996</x:v>
      </x:c>
      <x:c r="G210" s="80" t="n">
        <x:f>E210*F210</x:f>
        <x:v>23476.44000000005</x:v>
      </x:c>
      <x:c r="H210" s="58" t="str">
        <x:v>Invoice</x:v>
      </x:c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</x:row>
    <x:row r="211" ht="23" customHeight="1">
      <x:c r="A211" s="60" t="str">
        <x:v>AC-0204</x:v>
      </x:c>
      <x:c r="B211" s="60" t="str">
        <x:v>FW04</x:v>
      </x:c>
      <x:c r="C211" s="60" t="n">
        <x:v>12</x:v>
      </x:c>
      <x:c r="D211" s="60" t="str">
        <x:v>BASE</x:v>
      </x:c>
      <x:c r="E211" s="82" t="n">
        <x:v>929.7600000000002</x:v>
      </x:c>
      <x:c r="F211" s="82" t="n">
        <x:v>25.249999999999996</x:v>
      </x:c>
      <x:c r="G211" s="83" t="n">
        <x:f>E211*F211</x:f>
        <x:v>23476.440000000002</x:v>
      </x:c>
      <x:c r="H211" s="60" t="str">
        <x:v>Invoice</x:v>
      </x:c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</x:row>
    <x:row r="212" ht="23" customHeight="1">
      <x:c r="A212" s="58" t="str">
        <x:v>AC-0205</x:v>
      </x:c>
      <x:c r="B212" s="58" t="str">
        <x:v>FW05</x:v>
      </x:c>
      <x:c r="C212" s="58" t="n">
        <x:v>1</x:v>
      </x:c>
      <x:c r="D212" s="58" t="str">
        <x:v>BASE</x:v>
      </x:c>
      <x:c r="E212" s="79" t="n">
        <x:v>0</x:v>
      </x:c>
      <x:c r="F212" s="79" t="n">
        <x:v>23.805</x:v>
      </x:c>
      <x:c r="G212" s="80" t="n">
        <x:f>E212*F212</x:f>
        <x:v>0</x:v>
      </x:c>
      <x:c r="H212" s="58" t="str">
        <x:v>Invoice</x:v>
      </x:c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</x:row>
    <x:row r="213" ht="23" customHeight="1">
      <x:c r="A213" s="60" t="str">
        <x:v>AC-0206</x:v>
      </x:c>
      <x:c r="B213" s="60" t="str">
        <x:v>FW05</x:v>
      </x:c>
      <x:c r="C213" s="60" t="n">
        <x:v>2</x:v>
      </x:c>
      <x:c r="D213" s="60" t="str">
        <x:v>BASE</x:v>
      </x:c>
      <x:c r="E213" s="82" t="n">
        <x:v>0</x:v>
      </x:c>
      <x:c r="F213" s="82" t="n">
        <x:v>23.805</x:v>
      </x:c>
      <x:c r="G213" s="83" t="n">
        <x:f>E213*F213</x:f>
        <x:v>0</x:v>
      </x:c>
      <x:c r="H213" s="60" t="str">
        <x:v>Invoice</x:v>
      </x:c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</x:row>
    <x:row r="214" ht="23" customHeight="1">
      <x:c r="A214" s="58" t="str">
        <x:v>AC-0207</x:v>
      </x:c>
      <x:c r="B214" s="58" t="str">
        <x:v>FW05</x:v>
      </x:c>
      <x:c r="C214" s="58" t="n">
        <x:v>3</x:v>
      </x:c>
      <x:c r="D214" s="58" t="str">
        <x:v>BASE</x:v>
      </x:c>
      <x:c r="E214" s="79" t="n">
        <x:v>837.9</x:v>
      </x:c>
      <x:c r="F214" s="79" t="n">
        <x:v>23.805</x:v>
      </x:c>
      <x:c r="G214" s="80" t="n">
        <x:f>E214*F214</x:f>
        <x:v>19946.2095</x:v>
      </x:c>
      <x:c r="H214" s="58" t="str">
        <x:v>Invoice</x:v>
      </x:c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</x:row>
    <x:row r="215" ht="23" customHeight="1">
      <x:c r="A215" s="60" t="str">
        <x:v>AC-0208</x:v>
      </x:c>
      <x:c r="B215" s="60" t="str">
        <x:v>FW05</x:v>
      </x:c>
      <x:c r="C215" s="60" t="n">
        <x:v>4</x:v>
      </x:c>
      <x:c r="D215" s="60" t="str">
        <x:v>BASE</x:v>
      </x:c>
      <x:c r="E215" s="82" t="n">
        <x:v>837.9</x:v>
      </x:c>
      <x:c r="F215" s="82" t="n">
        <x:v>23.805</x:v>
      </x:c>
      <x:c r="G215" s="83" t="n">
        <x:f>E215*F215</x:f>
        <x:v>19946.2095</x:v>
      </x:c>
      <x:c r="H215" s="60" t="str">
        <x:v>Invoice</x:v>
      </x:c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</x:row>
    <x:row r="216" ht="23" customHeight="1">
      <x:c r="A216" s="58" t="str">
        <x:v>AC-0209</x:v>
      </x:c>
      <x:c r="B216" s="58" t="str">
        <x:v>FW05</x:v>
      </x:c>
      <x:c r="C216" s="58" t="n">
        <x:v>5</x:v>
      </x:c>
      <x:c r="D216" s="58" t="str">
        <x:v>BASE</x:v>
      </x:c>
      <x:c r="E216" s="79" t="n">
        <x:v>837.8999999999999</x:v>
      </x:c>
      <x:c r="F216" s="79" t="n">
        <x:v>23.805</x:v>
      </x:c>
      <x:c r="G216" s="80" t="n">
        <x:f>E216*F216</x:f>
        <x:v>19946.209499999997</x:v>
      </x:c>
      <x:c r="H216" s="58" t="str">
        <x:v>Invoice</x:v>
      </x:c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</x:row>
    <x:row r="217" ht="23" customHeight="1">
      <x:c r="A217" s="60" t="str">
        <x:v>AC-0210</x:v>
      </x:c>
      <x:c r="B217" s="60" t="str">
        <x:v>FW05</x:v>
      </x:c>
      <x:c r="C217" s="60" t="n">
        <x:v>6</x:v>
      </x:c>
      <x:c r="D217" s="60" t="str">
        <x:v>BASE</x:v>
      </x:c>
      <x:c r="E217" s="82" t="n">
        <x:v>837.9000000000001</x:v>
      </x:c>
      <x:c r="F217" s="82" t="n">
        <x:v>23.805</x:v>
      </x:c>
      <x:c r="G217" s="83" t="n">
        <x:f>E217*F217</x:f>
        <x:v>19946.2095</x:v>
      </x:c>
      <x:c r="H217" s="60" t="str">
        <x:v>Invoice</x:v>
      </x:c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</x:row>
    <x:row r="218" ht="23" customHeight="1">
      <x:c r="A218" s="58" t="str">
        <x:v>AC-0211</x:v>
      </x:c>
      <x:c r="B218" s="58" t="str">
        <x:v>FW05</x:v>
      </x:c>
      <x:c r="C218" s="58" t="n">
        <x:v>7</x:v>
      </x:c>
      <x:c r="D218" s="58" t="str">
        <x:v>BASE</x:v>
      </x:c>
      <x:c r="E218" s="79" t="n">
        <x:v>0</x:v>
      </x:c>
      <x:c r="F218" s="79" t="n">
        <x:v>23.805</x:v>
      </x:c>
      <x:c r="G218" s="80" t="n">
        <x:f>E218*F218</x:f>
        <x:v>0</x:v>
      </x:c>
      <x:c r="H218" s="58" t="str">
        <x:v>Invoice</x:v>
      </x:c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</x:row>
    <x:row r="219" ht="23" customHeight="1">
      <x:c r="A219" s="60" t="str">
        <x:v>AC-0212</x:v>
      </x:c>
      <x:c r="B219" s="60" t="str">
        <x:v>FW05</x:v>
      </x:c>
      <x:c r="C219" s="60" t="n">
        <x:v>8</x:v>
      </x:c>
      <x:c r="D219" s="60" t="str">
        <x:v>BASE</x:v>
      </x:c>
      <x:c r="E219" s="82" t="n">
        <x:v>0</x:v>
      </x:c>
      <x:c r="F219" s="82" t="n">
        <x:v>23.805</x:v>
      </x:c>
      <x:c r="G219" s="83" t="n">
        <x:f>E219*F219</x:f>
        <x:v>0</x:v>
      </x:c>
      <x:c r="H219" s="60" t="str">
        <x:v>Invoice</x:v>
      </x:c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</x:row>
    <x:row r="220" ht="23" customHeight="1">
      <x:c r="A220" s="58" t="str">
        <x:v>AC-0213</x:v>
      </x:c>
      <x:c r="B220" s="58" t="str">
        <x:v>FW05</x:v>
      </x:c>
      <x:c r="C220" s="58" t="n">
        <x:v>9</x:v>
      </x:c>
      <x:c r="D220" s="58" t="str">
        <x:v>BASE</x:v>
      </x:c>
      <x:c r="E220" s="79" t="n">
        <x:v>0</x:v>
      </x:c>
      <x:c r="F220" s="79" t="n">
        <x:v>23.805</x:v>
      </x:c>
      <x:c r="G220" s="80" t="n">
        <x:f>E220*F220</x:f>
        <x:v>0</x:v>
      </x:c>
      <x:c r="H220" s="58" t="str">
        <x:v>Invoice</x:v>
      </x:c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</x:row>
    <x:row r="221" ht="23" customHeight="1">
      <x:c r="A221" s="60" t="str">
        <x:v>AC-0214</x:v>
      </x:c>
      <x:c r="B221" s="60" t="str">
        <x:v>FW05</x:v>
      </x:c>
      <x:c r="C221" s="60" t="n">
        <x:v>10</x:v>
      </x:c>
      <x:c r="D221" s="60" t="str">
        <x:v>BASE</x:v>
      </x:c>
      <x:c r="E221" s="82" t="n">
        <x:v>0</x:v>
      </x:c>
      <x:c r="F221" s="82" t="n">
        <x:v>23.805</x:v>
      </x:c>
      <x:c r="G221" s="83" t="n">
        <x:f>E221*F221</x:f>
        <x:v>0</x:v>
      </x:c>
      <x:c r="H221" s="60" t="str">
        <x:v>Invoice</x:v>
      </x:c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</x:row>
    <x:row r="222" ht="23" customHeight="1">
      <x:c r="A222" s="58" t="str">
        <x:v>AC-0215</x:v>
      </x:c>
      <x:c r="B222" s="58" t="str">
        <x:v>FW05</x:v>
      </x:c>
      <x:c r="C222" s="58" t="n">
        <x:v>11</x:v>
      </x:c>
      <x:c r="D222" s="58" t="str">
        <x:v>BASE</x:v>
      </x:c>
      <x:c r="E222" s="79" t="n">
        <x:v>0</x:v>
      </x:c>
      <x:c r="F222" s="79" t="n">
        <x:v>23.805</x:v>
      </x:c>
      <x:c r="G222" s="80" t="n">
        <x:f>E222*F222</x:f>
        <x:v>0</x:v>
      </x:c>
      <x:c r="H222" s="58" t="str">
        <x:v>Invoice</x:v>
      </x:c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</x:row>
    <x:row r="223" ht="23" customHeight="1">
      <x:c r="A223" s="60" t="str">
        <x:v>AC-0216</x:v>
      </x:c>
      <x:c r="B223" s="60" t="str">
        <x:v>FW05</x:v>
      </x:c>
      <x:c r="C223" s="60" t="n">
        <x:v>12</x:v>
      </x:c>
      <x:c r="D223" s="60" t="str">
        <x:v>BASE</x:v>
      </x:c>
      <x:c r="E223" s="82" t="n">
        <x:v>0</x:v>
      </x:c>
      <x:c r="F223" s="82" t="n">
        <x:v>23.805</x:v>
      </x:c>
      <x:c r="G223" s="83" t="n">
        <x:f>E223*F223</x:f>
        <x:v>0</x:v>
      </x:c>
      <x:c r="H223" s="60" t="str">
        <x:v>Invoice</x:v>
      </x:c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</x:row>
    <x:row r="224" ht="23" customHeight="1">
      <x:c r="A224" s="58" t="str">
        <x:v>AC-0217</x:v>
      </x:c>
      <x:c r="B224" s="58" t="str">
        <x:v>FW06</x:v>
      </x:c>
      <x:c r="C224" s="58" t="n">
        <x:v>1</x:v>
      </x:c>
      <x:c r="D224" s="58" t="str">
        <x:v>BASE</x:v>
      </x:c>
      <x:c r="E224" s="79" t="n">
        <x:v>0</x:v>
      </x:c>
      <x:c r="F224" s="79" t="n">
        <x:v>23.32</x:v>
      </x:c>
      <x:c r="G224" s="80" t="n">
        <x:f>E224*F224</x:f>
        <x:v>0</x:v>
      </x:c>
      <x:c r="H224" s="58" t="str">
        <x:v>Accrual</x:v>
      </x:c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</x:row>
    <x:row r="225" ht="23" customHeight="1">
      <x:c r="A225" s="60" t="str">
        <x:v>AC-0218</x:v>
      </x:c>
      <x:c r="B225" s="60" t="str">
        <x:v>FW06</x:v>
      </x:c>
      <x:c r="C225" s="60" t="n">
        <x:v>2</x:v>
      </x:c>
      <x:c r="D225" s="60" t="str">
        <x:v>BASE</x:v>
      </x:c>
      <x:c r="E225" s="82" t="n">
        <x:v>0</x:v>
      </x:c>
      <x:c r="F225" s="82" t="n">
        <x:v>23.32</x:v>
      </x:c>
      <x:c r="G225" s="83" t="n">
        <x:f>E225*F225</x:f>
        <x:v>0</x:v>
      </x:c>
      <x:c r="H225" s="60" t="str">
        <x:v>Accrual</x:v>
      </x:c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</x:row>
    <x:row r="226" ht="23" customHeight="1">
      <x:c r="A226" s="58" t="str">
        <x:v>AC-0219</x:v>
      </x:c>
      <x:c r="B226" s="58" t="str">
        <x:v>FW06</x:v>
      </x:c>
      <x:c r="C226" s="58" t="n">
        <x:v>3</x:v>
      </x:c>
      <x:c r="D226" s="58" t="str">
        <x:v>BASE</x:v>
      </x:c>
      <x:c r="E226" s="79" t="n">
        <x:v>0</x:v>
      </x:c>
      <x:c r="F226" s="79" t="n">
        <x:v>23.32</x:v>
      </x:c>
      <x:c r="G226" s="80" t="n">
        <x:f>E226*F226</x:f>
        <x:v>0</x:v>
      </x:c>
      <x:c r="H226" s="58" t="str">
        <x:v>Accrual</x:v>
      </x:c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</x:row>
    <x:row r="227" ht="23" customHeight="1">
      <x:c r="A227" s="60" t="str">
        <x:v>AC-0220</x:v>
      </x:c>
      <x:c r="B227" s="60" t="str">
        <x:v>FW06</x:v>
      </x:c>
      <x:c r="C227" s="60" t="n">
        <x:v>4</x:v>
      </x:c>
      <x:c r="D227" s="60" t="str">
        <x:v>BASE</x:v>
      </x:c>
      <x:c r="E227" s="82" t="n">
        <x:v>0</x:v>
      </x:c>
      <x:c r="F227" s="82" t="n">
        <x:v>23.32</x:v>
      </x:c>
      <x:c r="G227" s="83" t="n">
        <x:f>E227*F227</x:f>
        <x:v>0</x:v>
      </x:c>
      <x:c r="H227" s="60" t="str">
        <x:v>Accrual</x:v>
      </x:c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</x:row>
    <x:row r="228" ht="23" customHeight="1">
      <x:c r="A228" s="58" t="str">
        <x:v>AC-0221</x:v>
      </x:c>
      <x:c r="B228" s="58" t="str">
        <x:v>FW06</x:v>
      </x:c>
      <x:c r="C228" s="58" t="n">
        <x:v>5</x:v>
      </x:c>
      <x:c r="D228" s="58" t="str">
        <x:v>BASE</x:v>
      </x:c>
      <x:c r="E228" s="79" t="n">
        <x:v>2520</x:v>
      </x:c>
      <x:c r="F228" s="79" t="n">
        <x:v>23.32</x:v>
      </x:c>
      <x:c r="G228" s="80" t="n">
        <x:f>E228*F228</x:f>
        <x:v>58766.4</x:v>
      </x:c>
      <x:c r="H228" s="58" t="str">
        <x:v>Accrual</x:v>
      </x:c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</x:row>
    <x:row r="229" ht="23" customHeight="1">
      <x:c r="A229" s="60" t="str">
        <x:v>AC-0222</x:v>
      </x:c>
      <x:c r="B229" s="60" t="str">
        <x:v>FW06</x:v>
      </x:c>
      <x:c r="C229" s="60" t="n">
        <x:v>6</x:v>
      </x:c>
      <x:c r="D229" s="60" t="str">
        <x:v>BASE</x:v>
      </x:c>
      <x:c r="E229" s="82" t="n">
        <x:v>2520</x:v>
      </x:c>
      <x:c r="F229" s="82" t="n">
        <x:v>23.32</x:v>
      </x:c>
      <x:c r="G229" s="83" t="n">
        <x:f>E229*F229</x:f>
        <x:v>58766.4</x:v>
      </x:c>
      <x:c r="H229" s="60" t="str">
        <x:v>Accrual</x:v>
      </x:c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</x:row>
    <x:row r="230" ht="23" customHeight="1">
      <x:c r="A230" s="58" t="str">
        <x:v>AC-0223</x:v>
      </x:c>
      <x:c r="B230" s="58" t="str">
        <x:v>FW06</x:v>
      </x:c>
      <x:c r="C230" s="58" t="n">
        <x:v>7</x:v>
      </x:c>
      <x:c r="D230" s="58" t="str">
        <x:v>BASE</x:v>
      </x:c>
      <x:c r="E230" s="79" t="n">
        <x:v>2520</x:v>
      </x:c>
      <x:c r="F230" s="79" t="n">
        <x:v>23.32</x:v>
      </x:c>
      <x:c r="G230" s="80" t="n">
        <x:f>E230*F230</x:f>
        <x:v>58766.4</x:v>
      </x:c>
      <x:c r="H230" s="58" t="str">
        <x:v>Accrual</x:v>
      </x:c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</x:row>
    <x:row r="231" ht="23" customHeight="1">
      <x:c r="A231" s="60" t="str">
        <x:v>AC-0224</x:v>
      </x:c>
      <x:c r="B231" s="60" t="str">
        <x:v>FW06</x:v>
      </x:c>
      <x:c r="C231" s="60" t="n">
        <x:v>8</x:v>
      </x:c>
      <x:c r="D231" s="60" t="str">
        <x:v>BASE</x:v>
      </x:c>
      <x:c r="E231" s="82" t="n">
        <x:v>2520</x:v>
      </x:c>
      <x:c r="F231" s="82" t="n">
        <x:v>23.32</x:v>
      </x:c>
      <x:c r="G231" s="83" t="n">
        <x:f>E231*F231</x:f>
        <x:v>58766.4</x:v>
      </x:c>
      <x:c r="H231" s="60" t="str">
        <x:v>Accrual</x:v>
      </x:c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</x:row>
    <x:row r="232" ht="23" customHeight="1">
      <x:c r="A232" s="58" t="str">
        <x:v>AC-0225</x:v>
      </x:c>
      <x:c r="B232" s="58" t="str">
        <x:v>FW06</x:v>
      </x:c>
      <x:c r="C232" s="58" t="n">
        <x:v>9</x:v>
      </x:c>
      <x:c r="D232" s="58" t="str">
        <x:v>BASE</x:v>
      </x:c>
      <x:c r="E232" s="79" t="n">
        <x:v>0</x:v>
      </x:c>
      <x:c r="F232" s="79" t="n">
        <x:v>23.32</x:v>
      </x:c>
      <x:c r="G232" s="80" t="n">
        <x:f>E232*F232</x:f>
        <x:v>0</x:v>
      </x:c>
      <x:c r="H232" s="58" t="str">
        <x:v>Accrual</x:v>
      </x:c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</x:row>
    <x:row r="233" ht="23" customHeight="1">
      <x:c r="A233" s="60" t="str">
        <x:v>AC-0226</x:v>
      </x:c>
      <x:c r="B233" s="60" t="str">
        <x:v>FW06</x:v>
      </x:c>
      <x:c r="C233" s="60" t="n">
        <x:v>10</x:v>
      </x:c>
      <x:c r="D233" s="60" t="str">
        <x:v>BASE</x:v>
      </x:c>
      <x:c r="E233" s="82" t="n">
        <x:v>0</x:v>
      </x:c>
      <x:c r="F233" s="82" t="n">
        <x:v>23.32</x:v>
      </x:c>
      <x:c r="G233" s="83" t="n">
        <x:f>E233*F233</x:f>
        <x:v>0</x:v>
      </x:c>
      <x:c r="H233" s="60" t="str">
        <x:v>Accrual</x:v>
      </x:c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</x:row>
    <x:row r="234" ht="23" customHeight="1">
      <x:c r="A234" s="58" t="str">
        <x:v>AC-0227</x:v>
      </x:c>
      <x:c r="B234" s="58" t="str">
        <x:v>FW06</x:v>
      </x:c>
      <x:c r="C234" s="58" t="n">
        <x:v>11</x:v>
      </x:c>
      <x:c r="D234" s="58" t="str">
        <x:v>BASE</x:v>
      </x:c>
      <x:c r="E234" s="79" t="n">
        <x:v>0</x:v>
      </x:c>
      <x:c r="F234" s="79" t="n">
        <x:v>23.32</x:v>
      </x:c>
      <x:c r="G234" s="80" t="n">
        <x:f>E234*F234</x:f>
        <x:v>0</x:v>
      </x:c>
      <x:c r="H234" s="58" t="str">
        <x:v>Accrual</x:v>
      </x:c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</x:row>
    <x:row r="235" ht="23" customHeight="1">
      <x:c r="A235" s="60" t="str">
        <x:v>AC-0228</x:v>
      </x:c>
      <x:c r="B235" s="60" t="str">
        <x:v>FW06</x:v>
      </x:c>
      <x:c r="C235" s="60" t="n">
        <x:v>12</x:v>
      </x:c>
      <x:c r="D235" s="60" t="str">
        <x:v>BASE</x:v>
      </x:c>
      <x:c r="E235" s="82" t="n">
        <x:v>0</x:v>
      </x:c>
      <x:c r="F235" s="82" t="n">
        <x:v>23.32</x:v>
      </x:c>
      <x:c r="G235" s="83" t="n">
        <x:f>E235*F235</x:f>
        <x:v>0</x:v>
      </x:c>
      <x:c r="H235" s="60" t="str">
        <x:v>Accrual</x:v>
      </x:c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</x:row>
    <x:row r="236" ht="23" customHeight="1">
      <x:c r="A236" s="58" t="str">
        <x:v>AC-0229</x:v>
      </x:c>
      <x:c r="B236" s="58" t="str">
        <x:v>EN01</x:v>
      </x:c>
      <x:c r="C236" s="58" t="n">
        <x:v>1</x:v>
      </x:c>
      <x:c r="D236" s="58" t="str">
        <x:v>BASE</x:v>
      </x:c>
      <x:c r="E236" s="79" t="n">
        <x:v>0</x:v>
      </x:c>
      <x:c r="F236" s="79" t="n">
        <x:v>19.53</x:v>
      </x:c>
      <x:c r="G236" s="80" t="n">
        <x:f>E236*F236</x:f>
        <x:v>0</x:v>
      </x:c>
      <x:c r="H236" s="58" t="str">
        <x:v>Invoice</x:v>
      </x:c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</x:row>
    <x:row r="237" ht="23" customHeight="1">
      <x:c r="A237" s="60" t="str">
        <x:v>AC-0230</x:v>
      </x:c>
      <x:c r="B237" s="60" t="str">
        <x:v>EN01</x:v>
      </x:c>
      <x:c r="C237" s="60" t="n">
        <x:v>2</x:v>
      </x:c>
      <x:c r="D237" s="60" t="str">
        <x:v>BASE</x:v>
      </x:c>
      <x:c r="E237" s="82" t="n">
        <x:v>3216</x:v>
      </x:c>
      <x:c r="F237" s="82" t="n">
        <x:v>19.53</x:v>
      </x:c>
      <x:c r="G237" s="83" t="n">
        <x:f>E237*F237</x:f>
        <x:v>62808.48</x:v>
      </x:c>
      <x:c r="H237" s="60" t="str">
        <x:v>Invoice</x:v>
      </x:c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</x:row>
    <x:row r="238" ht="23" customHeight="1">
      <x:c r="A238" s="58" t="str">
        <x:v>AC-0231</x:v>
      </x:c>
      <x:c r="B238" s="58" t="str">
        <x:v>EN01</x:v>
      </x:c>
      <x:c r="C238" s="58" t="n">
        <x:v>3</x:v>
      </x:c>
      <x:c r="D238" s="58" t="str">
        <x:v>BASE</x:v>
      </x:c>
      <x:c r="E238" s="79" t="n">
        <x:v>3216</x:v>
      </x:c>
      <x:c r="F238" s="79" t="n">
        <x:v>19.53</x:v>
      </x:c>
      <x:c r="G238" s="80" t="n">
        <x:f>E238*F238</x:f>
        <x:v>62808.48</x:v>
      </x:c>
      <x:c r="H238" s="58" t="str">
        <x:v>Invoice</x:v>
      </x:c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</x:row>
    <x:row r="239" ht="23" customHeight="1">
      <x:c r="A239" s="60" t="str">
        <x:v>AC-0232</x:v>
      </x:c>
      <x:c r="B239" s="60" t="str">
        <x:v>EN01</x:v>
      </x:c>
      <x:c r="C239" s="60" t="n">
        <x:v>4</x:v>
      </x:c>
      <x:c r="D239" s="60" t="str">
        <x:v>BASE</x:v>
      </x:c>
      <x:c r="E239" s="82" t="n">
        <x:v>3216</x:v>
      </x:c>
      <x:c r="F239" s="82" t="n">
        <x:v>19.53</x:v>
      </x:c>
      <x:c r="G239" s="83" t="n">
        <x:f>E239*F239</x:f>
        <x:v>62808.48</x:v>
      </x:c>
      <x:c r="H239" s="60" t="str">
        <x:v>Invoice</x:v>
      </x:c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</x:row>
    <x:row r="240" ht="23" customHeight="1">
      <x:c r="A240" s="58" t="str">
        <x:v>AC-0233</x:v>
      </x:c>
      <x:c r="B240" s="58" t="str">
        <x:v>EN01</x:v>
      </x:c>
      <x:c r="C240" s="58" t="n">
        <x:v>5</x:v>
      </x:c>
      <x:c r="D240" s="58" t="str">
        <x:v>BASE</x:v>
      </x:c>
      <x:c r="E240" s="79" t="n">
        <x:v>3216</x:v>
      </x:c>
      <x:c r="F240" s="79" t="n">
        <x:v>19.53</x:v>
      </x:c>
      <x:c r="G240" s="80" t="n">
        <x:f>E240*F240</x:f>
        <x:v>62808.48</x:v>
      </x:c>
      <x:c r="H240" s="58" t="str">
        <x:v>Invoice</x:v>
      </x:c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</x:row>
    <x:row r="241" ht="23" customHeight="1">
      <x:c r="A241" s="60" t="str">
        <x:v>AC-0234</x:v>
      </x:c>
      <x:c r="B241" s="60" t="str">
        <x:v>EN01</x:v>
      </x:c>
      <x:c r="C241" s="60" t="n">
        <x:v>6</x:v>
      </x:c>
      <x:c r="D241" s="60" t="str">
        <x:v>BASE</x:v>
      </x:c>
      <x:c r="E241" s="82" t="n">
        <x:v>3216</x:v>
      </x:c>
      <x:c r="F241" s="82" t="n">
        <x:v>19.53</x:v>
      </x:c>
      <x:c r="G241" s="83" t="n">
        <x:f>E241*F241</x:f>
        <x:v>62808.48</x:v>
      </x:c>
      <x:c r="H241" s="60" t="str">
        <x:v>Invoice</x:v>
      </x:c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</x:row>
    <x:row r="242" ht="23" customHeight="1">
      <x:c r="A242" s="58" t="str">
        <x:v>AC-0235</x:v>
      </x:c>
      <x:c r="B242" s="58" t="str">
        <x:v>EN01</x:v>
      </x:c>
      <x:c r="C242" s="58" t="n">
        <x:v>7</x:v>
      </x:c>
      <x:c r="D242" s="58" t="str">
        <x:v>BASE</x:v>
      </x:c>
      <x:c r="E242" s="79" t="n">
        <x:v>0</x:v>
      </x:c>
      <x:c r="F242" s="79" t="n">
        <x:v>19.53</x:v>
      </x:c>
      <x:c r="G242" s="80" t="n">
        <x:f>E242*F242</x:f>
        <x:v>0</x:v>
      </x:c>
      <x:c r="H242" s="58" t="str">
        <x:v>Invoice</x:v>
      </x:c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</x:row>
    <x:row r="243" ht="23" customHeight="1">
      <x:c r="A243" s="60" t="str">
        <x:v>AC-0236</x:v>
      </x:c>
      <x:c r="B243" s="60" t="str">
        <x:v>EN01</x:v>
      </x:c>
      <x:c r="C243" s="60" t="n">
        <x:v>8</x:v>
      </x:c>
      <x:c r="D243" s="60" t="str">
        <x:v>BASE</x:v>
      </x:c>
      <x:c r="E243" s="82" t="n">
        <x:v>0</x:v>
      </x:c>
      <x:c r="F243" s="82" t="n">
        <x:v>19.53</x:v>
      </x:c>
      <x:c r="G243" s="83" t="n">
        <x:f>E243*F243</x:f>
        <x:v>0</x:v>
      </x:c>
      <x:c r="H243" s="60" t="str">
        <x:v>Invoice</x:v>
      </x:c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</x:row>
    <x:row r="244" ht="23" customHeight="1">
      <x:c r="A244" s="58" t="str">
        <x:v>AC-0237</x:v>
      </x:c>
      <x:c r="B244" s="58" t="str">
        <x:v>EN01</x:v>
      </x:c>
      <x:c r="C244" s="58" t="n">
        <x:v>9</x:v>
      </x:c>
      <x:c r="D244" s="58" t="str">
        <x:v>BASE</x:v>
      </x:c>
      <x:c r="E244" s="79" t="n">
        <x:v>0</x:v>
      </x:c>
      <x:c r="F244" s="79" t="n">
        <x:v>19.53</x:v>
      </x:c>
      <x:c r="G244" s="80" t="n">
        <x:f>E244*F244</x:f>
        <x:v>0</x:v>
      </x:c>
      <x:c r="H244" s="58" t="str">
        <x:v>Invoice</x:v>
      </x:c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</x:row>
    <x:row r="245" ht="23" customHeight="1">
      <x:c r="A245" s="60" t="str">
        <x:v>AC-0238</x:v>
      </x:c>
      <x:c r="B245" s="60" t="str">
        <x:v>EN01</x:v>
      </x:c>
      <x:c r="C245" s="60" t="n">
        <x:v>10</x:v>
      </x:c>
      <x:c r="D245" s="60" t="str">
        <x:v>BASE</x:v>
      </x:c>
      <x:c r="E245" s="82" t="n">
        <x:v>0</x:v>
      </x:c>
      <x:c r="F245" s="82" t="n">
        <x:v>19.53</x:v>
      </x:c>
      <x:c r="G245" s="83" t="n">
        <x:f>E245*F245</x:f>
        <x:v>0</x:v>
      </x:c>
      <x:c r="H245" s="60" t="str">
        <x:v>Invoice</x:v>
      </x:c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</x:row>
    <x:row r="246" ht="23" customHeight="1">
      <x:c r="A246" s="58" t="str">
        <x:v>AC-0239</x:v>
      </x:c>
      <x:c r="B246" s="58" t="str">
        <x:v>EN01</x:v>
      </x:c>
      <x:c r="C246" s="58" t="n">
        <x:v>11</x:v>
      </x:c>
      <x:c r="D246" s="58" t="str">
        <x:v>BASE</x:v>
      </x:c>
      <x:c r="E246" s="79" t="n">
        <x:v>0</x:v>
      </x:c>
      <x:c r="F246" s="79" t="n">
        <x:v>19.53</x:v>
      </x:c>
      <x:c r="G246" s="80" t="n">
        <x:f>E246*F246</x:f>
        <x:v>0</x:v>
      </x:c>
      <x:c r="H246" s="58" t="str">
        <x:v>Invoice</x:v>
      </x:c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</x:row>
    <x:row r="247" ht="23" customHeight="1">
      <x:c r="A247" s="60" t="str">
        <x:v>AC-0240</x:v>
      </x:c>
      <x:c r="B247" s="60" t="str">
        <x:v>EN01</x:v>
      </x:c>
      <x:c r="C247" s="60" t="n">
        <x:v>12</x:v>
      </x:c>
      <x:c r="D247" s="60" t="str">
        <x:v>BASE</x:v>
      </x:c>
      <x:c r="E247" s="82" t="n">
        <x:v>0</x:v>
      </x:c>
      <x:c r="F247" s="82" t="n">
        <x:v>19.53</x:v>
      </x:c>
      <x:c r="G247" s="83" t="n">
        <x:f>E247*F247</x:f>
        <x:v>0</x:v>
      </x:c>
      <x:c r="H247" s="60" t="str">
        <x:v>Invoice</x:v>
      </x:c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</x:row>
    <x:row r="248" ht="23" customHeight="1">
      <x:c r="A248" s="58" t="str">
        <x:v>AC-0241</x:v>
      </x:c>
      <x:c r="B248" s="58" t="str">
        <x:v>EN02</x:v>
      </x:c>
      <x:c r="C248" s="58" t="n">
        <x:v>1</x:v>
      </x:c>
      <x:c r="D248" s="58" t="str">
        <x:v>BASE</x:v>
      </x:c>
      <x:c r="E248" s="79" t="n">
        <x:v>0</x:v>
      </x:c>
      <x:c r="F248" s="79" t="n">
        <x:v>22.199999999999996</x:v>
      </x:c>
      <x:c r="G248" s="80" t="n">
        <x:f>E248*F248</x:f>
        <x:v>0</x:v>
      </x:c>
      <x:c r="H248" s="58" t="str">
        <x:v>Invoice</x:v>
      </x:c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</x:row>
    <x:row r="249" ht="23" customHeight="1">
      <x:c r="A249" s="60" t="str">
        <x:v>AC-0242</x:v>
      </x:c>
      <x:c r="B249" s="60" t="str">
        <x:v>EN02</x:v>
      </x:c>
      <x:c r="C249" s="60" t="n">
        <x:v>2</x:v>
      </x:c>
      <x:c r="D249" s="60" t="str">
        <x:v>BASE</x:v>
      </x:c>
      <x:c r="E249" s="82" t="n">
        <x:v>0</x:v>
      </x:c>
      <x:c r="F249" s="82" t="n">
        <x:v>22.199999999999996</x:v>
      </x:c>
      <x:c r="G249" s="83" t="n">
        <x:f>E249*F249</x:f>
        <x:v>0</x:v>
      </x:c>
      <x:c r="H249" s="60" t="str">
        <x:v>Invoice</x:v>
      </x:c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</x:row>
    <x:row r="250" ht="23" customHeight="1">
      <x:c r="A250" s="58" t="str">
        <x:v>AC-0243</x:v>
      </x:c>
      <x:c r="B250" s="58" t="str">
        <x:v>EN02</x:v>
      </x:c>
      <x:c r="C250" s="58" t="n">
        <x:v>3</x:v>
      </x:c>
      <x:c r="D250" s="58" t="str">
        <x:v>BASE</x:v>
      </x:c>
      <x:c r="E250" s="79" t="n">
        <x:v>0</x:v>
      </x:c>
      <x:c r="F250" s="79" t="n">
        <x:v>22.199999999999996</x:v>
      </x:c>
      <x:c r="G250" s="80" t="n">
        <x:f>E250*F250</x:f>
        <x:v>0</x:v>
      </x:c>
      <x:c r="H250" s="58" t="str">
        <x:v>Invoice</x:v>
      </x:c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</x:row>
    <x:row r="251" ht="23" customHeight="1">
      <x:c r="A251" s="60" t="str">
        <x:v>AC-0244</x:v>
      </x:c>
      <x:c r="B251" s="60" t="str">
        <x:v>EN02</x:v>
      </x:c>
      <x:c r="C251" s="60" t="n">
        <x:v>4</x:v>
      </x:c>
      <x:c r="D251" s="60" t="str">
        <x:v>BASE</x:v>
      </x:c>
      <x:c r="E251" s="82" t="n">
        <x:v>0</x:v>
      </x:c>
      <x:c r="F251" s="82" t="n">
        <x:v>22.199999999999996</x:v>
      </x:c>
      <x:c r="G251" s="83" t="n">
        <x:f>E251*F251</x:f>
        <x:v>0</x:v>
      </x:c>
      <x:c r="H251" s="60" t="str">
        <x:v>Invoice</x:v>
      </x:c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</x:row>
    <x:row r="252" ht="23" customHeight="1">
      <x:c r="A252" s="58" t="str">
        <x:v>AC-0245</x:v>
      </x:c>
      <x:c r="B252" s="58" t="str">
        <x:v>EN02</x:v>
      </x:c>
      <x:c r="C252" s="58" t="n">
        <x:v>5</x:v>
      </x:c>
      <x:c r="D252" s="58" t="str">
        <x:v>BASE</x:v>
      </x:c>
      <x:c r="E252" s="79" t="n">
        <x:v>0</x:v>
      </x:c>
      <x:c r="F252" s="79" t="n">
        <x:v>22.199999999999996</x:v>
      </x:c>
      <x:c r="G252" s="80" t="n">
        <x:f>E252*F252</x:f>
        <x:v>0</x:v>
      </x:c>
      <x:c r="H252" s="58" t="str">
        <x:v>Invoice</x:v>
      </x:c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</x:row>
    <x:row r="253" ht="23" customHeight="1">
      <x:c r="A253" s="60" t="str">
        <x:v>AC-0246</x:v>
      </x:c>
      <x:c r="B253" s="60" t="str">
        <x:v>EN02</x:v>
      </x:c>
      <x:c r="C253" s="60" t="n">
        <x:v>6</x:v>
      </x:c>
      <x:c r="D253" s="60" t="str">
        <x:v>BASE</x:v>
      </x:c>
      <x:c r="E253" s="82" t="n">
        <x:v>0</x:v>
      </x:c>
      <x:c r="F253" s="82" t="n">
        <x:v>22.199999999999996</x:v>
      </x:c>
      <x:c r="G253" s="83" t="n">
        <x:f>E253*F253</x:f>
        <x:v>0</x:v>
      </x:c>
      <x:c r="H253" s="60" t="str">
        <x:v>Invoice</x:v>
      </x:c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</x:row>
    <x:row r="254" ht="23" customHeight="1">
      <x:c r="A254" s="58" t="str">
        <x:v>AC-0247</x:v>
      </x:c>
      <x:c r="B254" s="58" t="str">
        <x:v>EN02</x:v>
      </x:c>
      <x:c r="C254" s="58" t="n">
        <x:v>7</x:v>
      </x:c>
      <x:c r="D254" s="58" t="str">
        <x:v>BASE</x:v>
      </x:c>
      <x:c r="E254" s="79" t="n">
        <x:v>0</x:v>
      </x:c>
      <x:c r="F254" s="79" t="n">
        <x:v>22.199999999999996</x:v>
      </x:c>
      <x:c r="G254" s="80" t="n">
        <x:f>E254*F254</x:f>
        <x:v>0</x:v>
      </x:c>
      <x:c r="H254" s="58" t="str">
        <x:v>Invoice</x:v>
      </x:c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</x:row>
    <x:row r="255" ht="23" customHeight="1">
      <x:c r="A255" s="60" t="str">
        <x:v>AC-0248</x:v>
      </x:c>
      <x:c r="B255" s="60" t="str">
        <x:v>EN02</x:v>
      </x:c>
      <x:c r="C255" s="60" t="n">
        <x:v>8</x:v>
      </x:c>
      <x:c r="D255" s="60" t="str">
        <x:v>BASE</x:v>
      </x:c>
      <x:c r="E255" s="82" t="n">
        <x:v>0</x:v>
      </x:c>
      <x:c r="F255" s="82" t="n">
        <x:v>22.199999999999996</x:v>
      </x:c>
      <x:c r="G255" s="83" t="n">
        <x:f>E255*F255</x:f>
        <x:v>0</x:v>
      </x:c>
      <x:c r="H255" s="60" t="str">
        <x:v>Invoice</x:v>
      </x:c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</x:row>
    <x:row r="256" ht="23" customHeight="1">
      <x:c r="A256" s="58" t="str">
        <x:v>AC-0249</x:v>
      </x:c>
      <x:c r="B256" s="58" t="str">
        <x:v>EN02</x:v>
      </x:c>
      <x:c r="C256" s="58" t="n">
        <x:v>9</x:v>
      </x:c>
      <x:c r="D256" s="58" t="str">
        <x:v>BASE</x:v>
      </x:c>
      <x:c r="E256" s="79" t="n">
        <x:v>0</x:v>
      </x:c>
      <x:c r="F256" s="79" t="n">
        <x:v>22.199999999999996</x:v>
      </x:c>
      <x:c r="G256" s="80" t="n">
        <x:f>E256*F256</x:f>
        <x:v>0</x:v>
      </x:c>
      <x:c r="H256" s="58" t="str">
        <x:v>Invoice</x:v>
      </x:c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</x:row>
    <x:row r="257" ht="23" customHeight="1">
      <x:c r="A257" s="60" t="str">
        <x:v>AC-0250</x:v>
      </x:c>
      <x:c r="B257" s="60" t="str">
        <x:v>EN02</x:v>
      </x:c>
      <x:c r="C257" s="60" t="n">
        <x:v>10</x:v>
      </x:c>
      <x:c r="D257" s="60" t="str">
        <x:v>BASE</x:v>
      </x:c>
      <x:c r="E257" s="82" t="n">
        <x:v>0</x:v>
      </x:c>
      <x:c r="F257" s="82" t="n">
        <x:v>22.199999999999996</x:v>
      </x:c>
      <x:c r="G257" s="83" t="n">
        <x:f>E257*F257</x:f>
        <x:v>0</x:v>
      </x:c>
      <x:c r="H257" s="60" t="str">
        <x:v>Invoice</x:v>
      </x:c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</x:row>
    <x:row r="258" ht="23" customHeight="1">
      <x:c r="A258" s="58" t="str">
        <x:v>AC-0251</x:v>
      </x:c>
      <x:c r="B258" s="58" t="str">
        <x:v>EN02</x:v>
      </x:c>
      <x:c r="C258" s="58" t="n">
        <x:v>11</x:v>
      </x:c>
      <x:c r="D258" s="58" t="str">
        <x:v>BASE</x:v>
      </x:c>
      <x:c r="E258" s="79" t="n">
        <x:v>0</x:v>
      </x:c>
      <x:c r="F258" s="79" t="n">
        <x:v>22.199999999999996</x:v>
      </x:c>
      <x:c r="G258" s="80" t="n">
        <x:f>E258*F258</x:f>
        <x:v>0</x:v>
      </x:c>
      <x:c r="H258" s="58" t="str">
        <x:v>Invoice</x:v>
      </x:c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</x:row>
    <x:row r="259" ht="23" customHeight="1">
      <x:c r="A259" s="60" t="str">
        <x:v>AC-0252</x:v>
      </x:c>
      <x:c r="B259" s="60" t="str">
        <x:v>EN02</x:v>
      </x:c>
      <x:c r="C259" s="60" t="n">
        <x:v>12</x:v>
      </x:c>
      <x:c r="D259" s="60" t="str">
        <x:v>BASE</x:v>
      </x:c>
      <x:c r="E259" s="82" t="n">
        <x:v>0</x:v>
      </x:c>
      <x:c r="F259" s="82" t="n">
        <x:v>22.199999999999996</x:v>
      </x:c>
      <x:c r="G259" s="83" t="n">
        <x:f>E259*F259</x:f>
        <x:v>0</x:v>
      </x:c>
      <x:c r="H259" s="60" t="str">
        <x:v>Invoice</x:v>
      </x:c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</x:row>
    <x:row r="260" ht="23" customHeight="1">
      <x:c r="A260" s="58" t="str">
        <x:v>AC-0253</x:v>
      </x:c>
      <x:c r="B260" s="58" t="str">
        <x:v>EN03</x:v>
      </x:c>
      <x:c r="C260" s="58" t="n">
        <x:v>1</x:v>
      </x:c>
      <x:c r="D260" s="58" t="str">
        <x:v>BASE</x:v>
      </x:c>
      <x:c r="E260" s="79" t="n">
        <x:v>0</x:v>
      </x:c>
      <x:c r="F260" s="79" t="n">
        <x:v>80.64</x:v>
      </x:c>
      <x:c r="G260" s="80" t="n">
        <x:f>E260*F260</x:f>
        <x:v>0</x:v>
      </x:c>
      <x:c r="H260" s="58" t="str">
        <x:v>Accrual</x:v>
      </x:c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</x:row>
    <x:row r="261" ht="23" customHeight="1">
      <x:c r="A261" s="60" t="str">
        <x:v>AC-0254</x:v>
      </x:c>
      <x:c r="B261" s="60" t="str">
        <x:v>EN03</x:v>
      </x:c>
      <x:c r="C261" s="60" t="n">
        <x:v>2</x:v>
      </x:c>
      <x:c r="D261" s="60" t="str">
        <x:v>BASE</x:v>
      </x:c>
      <x:c r="E261" s="82" t="n">
        <x:v>0</x:v>
      </x:c>
      <x:c r="F261" s="82" t="n">
        <x:v>80.64</x:v>
      </x:c>
      <x:c r="G261" s="83" t="n">
        <x:f>E261*F261</x:f>
        <x:v>0</x:v>
      </x:c>
      <x:c r="H261" s="60" t="str">
        <x:v>Accrual</x:v>
      </x:c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</x:row>
    <x:row r="262" ht="23" customHeight="1">
      <x:c r="A262" s="58" t="str">
        <x:v>AC-0255</x:v>
      </x:c>
      <x:c r="B262" s="58" t="str">
        <x:v>EN03</x:v>
      </x:c>
      <x:c r="C262" s="58" t="n">
        <x:v>3</x:v>
      </x:c>
      <x:c r="D262" s="58" t="str">
        <x:v>BASE</x:v>
      </x:c>
      <x:c r="E262" s="79" t="n">
        <x:v>0</x:v>
      </x:c>
      <x:c r="F262" s="79" t="n">
        <x:v>80.64</x:v>
      </x:c>
      <x:c r="G262" s="80" t="n">
        <x:f>E262*F262</x:f>
        <x:v>0</x:v>
      </x:c>
      <x:c r="H262" s="58" t="str">
        <x:v>Accrual</x:v>
      </x:c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</x:row>
    <x:row r="263" ht="23" customHeight="1">
      <x:c r="A263" s="60" t="str">
        <x:v>AC-0256</x:v>
      </x:c>
      <x:c r="B263" s="60" t="str">
        <x:v>EN03</x:v>
      </x:c>
      <x:c r="C263" s="60" t="n">
        <x:v>4</x:v>
      </x:c>
      <x:c r="D263" s="60" t="str">
        <x:v>BASE</x:v>
      </x:c>
      <x:c r="E263" s="82" t="n">
        <x:v>0</x:v>
      </x:c>
      <x:c r="F263" s="82" t="n">
        <x:v>80.64</x:v>
      </x:c>
      <x:c r="G263" s="83" t="n">
        <x:f>E263*F263</x:f>
        <x:v>0</x:v>
      </x:c>
      <x:c r="H263" s="60" t="str">
        <x:v>Accrual</x:v>
      </x:c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</x:row>
    <x:row r="264" ht="23" customHeight="1">
      <x:c r="A264" s="58" t="str">
        <x:v>AC-0257</x:v>
      </x:c>
      <x:c r="B264" s="58" t="str">
        <x:v>EN03</x:v>
      </x:c>
      <x:c r="C264" s="58" t="n">
        <x:v>5</x:v>
      </x:c>
      <x:c r="D264" s="58" t="str">
        <x:v>BASE</x:v>
      </x:c>
      <x:c r="E264" s="79" t="n">
        <x:v>0</x:v>
      </x:c>
      <x:c r="F264" s="79" t="n">
        <x:v>80.64</x:v>
      </x:c>
      <x:c r="G264" s="80" t="n">
        <x:f>E264*F264</x:f>
        <x:v>0</x:v>
      </x:c>
      <x:c r="H264" s="58" t="str">
        <x:v>Accrual</x:v>
      </x:c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</x:row>
    <x:row r="265" ht="23" customHeight="1">
      <x:c r="A265" s="60" t="str">
        <x:v>AC-0258</x:v>
      </x:c>
      <x:c r="B265" s="60" t="str">
        <x:v>EN03</x:v>
      </x:c>
      <x:c r="C265" s="60" t="n">
        <x:v>6</x:v>
      </x:c>
      <x:c r="D265" s="60" t="str">
        <x:v>BASE</x:v>
      </x:c>
      <x:c r="E265" s="82" t="n">
        <x:v>0</x:v>
      </x:c>
      <x:c r="F265" s="82" t="n">
        <x:v>80.64</x:v>
      </x:c>
      <x:c r="G265" s="83" t="n">
        <x:f>E265*F265</x:f>
        <x:v>0</x:v>
      </x:c>
      <x:c r="H265" s="60" t="str">
        <x:v>Accrual</x:v>
      </x:c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</x:row>
    <x:row r="266" ht="23" customHeight="1">
      <x:c r="A266" s="58" t="str">
        <x:v>AC-0259</x:v>
      </x:c>
      <x:c r="B266" s="58" t="str">
        <x:v>EN03</x:v>
      </x:c>
      <x:c r="C266" s="58" t="n">
        <x:v>7</x:v>
      </x:c>
      <x:c r="D266" s="58" t="str">
        <x:v>BASE</x:v>
      </x:c>
      <x:c r="E266" s="79" t="n">
        <x:v>0</x:v>
      </x:c>
      <x:c r="F266" s="79" t="n">
        <x:v>80.64</x:v>
      </x:c>
      <x:c r="G266" s="80" t="n">
        <x:f>E266*F266</x:f>
        <x:v>0</x:v>
      </x:c>
      <x:c r="H266" s="58" t="str">
        <x:v>Accrual</x:v>
      </x:c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</x:row>
    <x:row r="267" ht="23" customHeight="1">
      <x:c r="A267" s="60" t="str">
        <x:v>AC-0260</x:v>
      </x:c>
      <x:c r="B267" s="60" t="str">
        <x:v>EN03</x:v>
      </x:c>
      <x:c r="C267" s="60" t="n">
        <x:v>8</x:v>
      </x:c>
      <x:c r="D267" s="60" t="str">
        <x:v>BASE</x:v>
      </x:c>
      <x:c r="E267" s="82" t="n">
        <x:v>0</x:v>
      </x:c>
      <x:c r="F267" s="82" t="n">
        <x:v>80.64</x:v>
      </x:c>
      <x:c r="G267" s="83" t="n">
        <x:f>E267*F267</x:f>
        <x:v>0</x:v>
      </x:c>
      <x:c r="H267" s="60" t="str">
        <x:v>Accrual</x:v>
      </x:c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</x:row>
    <x:row r="268" ht="23" customHeight="1">
      <x:c r="A268" s="58" t="str">
        <x:v>AC-0261</x:v>
      </x:c>
      <x:c r="B268" s="58" t="str">
        <x:v>EN03</x:v>
      </x:c>
      <x:c r="C268" s="58" t="n">
        <x:v>9</x:v>
      </x:c>
      <x:c r="D268" s="58" t="str">
        <x:v>BASE</x:v>
      </x:c>
      <x:c r="E268" s="79" t="n">
        <x:v>0</x:v>
      </x:c>
      <x:c r="F268" s="79" t="n">
        <x:v>80.64</x:v>
      </x:c>
      <x:c r="G268" s="80" t="n">
        <x:f>E268*F268</x:f>
        <x:v>0</x:v>
      </x:c>
      <x:c r="H268" s="58" t="str">
        <x:v>Accrual</x:v>
      </x:c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</x:row>
    <x:row r="269" ht="23" customHeight="1">
      <x:c r="A269" s="60" t="str">
        <x:v>AC-0262</x:v>
      </x:c>
      <x:c r="B269" s="60" t="str">
        <x:v>EN03</x:v>
      </x:c>
      <x:c r="C269" s="60" t="n">
        <x:v>10</x:v>
      </x:c>
      <x:c r="D269" s="60" t="str">
        <x:v>BASE</x:v>
      </x:c>
      <x:c r="E269" s="82" t="n">
        <x:v>0</x:v>
      </x:c>
      <x:c r="F269" s="82" t="n">
        <x:v>80.64</x:v>
      </x:c>
      <x:c r="G269" s="83" t="n">
        <x:f>E269*F269</x:f>
        <x:v>0</x:v>
      </x:c>
      <x:c r="H269" s="60" t="str">
        <x:v>Accrual</x:v>
      </x:c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</x:row>
    <x:row r="270" ht="23" customHeight="1">
      <x:c r="A270" s="58" t="str">
        <x:v>AC-0263</x:v>
      </x:c>
      <x:c r="B270" s="58" t="str">
        <x:v>EN03</x:v>
      </x:c>
      <x:c r="C270" s="58" t="n">
        <x:v>11</x:v>
      </x:c>
      <x:c r="D270" s="58" t="str">
        <x:v>BASE</x:v>
      </x:c>
      <x:c r="E270" s="79" t="n">
        <x:v>0</x:v>
      </x:c>
      <x:c r="F270" s="79" t="n">
        <x:v>80.64</x:v>
      </x:c>
      <x:c r="G270" s="80" t="n">
        <x:f>E270*F270</x:f>
        <x:v>0</x:v>
      </x:c>
      <x:c r="H270" s="58" t="str">
        <x:v>Accrual</x:v>
      </x:c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</x:row>
    <x:row r="271" ht="23" customHeight="1">
      <x:c r="A271" s="60" t="str">
        <x:v>AC-0264</x:v>
      </x:c>
      <x:c r="B271" s="60" t="str">
        <x:v>EN03</x:v>
      </x:c>
      <x:c r="C271" s="60" t="n">
        <x:v>12</x:v>
      </x:c>
      <x:c r="D271" s="60" t="str">
        <x:v>BASE</x:v>
      </x:c>
      <x:c r="E271" s="82" t="n">
        <x:v>1711.511738181818</x:v>
      </x:c>
      <x:c r="F271" s="82" t="n">
        <x:v>80.64</x:v>
      </x:c>
      <x:c r="G271" s="83" t="n">
        <x:f>E271*F271</x:f>
        <x:v>138016.3065669818</x:v>
      </x:c>
      <x:c r="H271" s="60" t="str">
        <x:v>Accrual</x:v>
      </x:c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</x:row>
    <x:row r="272" ht="23" customHeight="1">
      <x:c r="A272" s="58" t="str">
        <x:v>AC-0265</x:v>
      </x:c>
      <x:c r="B272" s="58" t="str">
        <x:v>EN04</x:v>
      </x:c>
      <x:c r="C272" s="58" t="n">
        <x:v>1</x:v>
      </x:c>
      <x:c r="D272" s="58" t="str">
        <x:v>BASE</x:v>
      </x:c>
      <x:c r="E272" s="79" t="n">
        <x:v>0</x:v>
      </x:c>
      <x:c r="F272" s="79" t="n">
        <x:v>216.7</x:v>
      </x:c>
      <x:c r="G272" s="80" t="n">
        <x:f>E272*F272</x:f>
        <x:v>0</x:v>
      </x:c>
      <x:c r="H272" s="58" t="str">
        <x:v>Invoice</x:v>
      </x:c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</x:row>
    <x:row r="273" ht="23" customHeight="1">
      <x:c r="A273" s="60" t="str">
        <x:v>AC-0266</x:v>
      </x:c>
      <x:c r="B273" s="60" t="str">
        <x:v>EN04</x:v>
      </x:c>
      <x:c r="C273" s="60" t="n">
        <x:v>2</x:v>
      </x:c>
      <x:c r="D273" s="60" t="str">
        <x:v>BASE</x:v>
      </x:c>
      <x:c r="E273" s="82" t="n">
        <x:v>0</x:v>
      </x:c>
      <x:c r="F273" s="82" t="n">
        <x:v>216.7</x:v>
      </x:c>
      <x:c r="G273" s="83" t="n">
        <x:f>E273*F273</x:f>
        <x:v>0</x:v>
      </x:c>
      <x:c r="H273" s="60" t="str">
        <x:v>Invoice</x:v>
      </x:c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</x:row>
    <x:row r="274" ht="23" customHeight="1">
      <x:c r="A274" s="58" t="str">
        <x:v>AC-0267</x:v>
      </x:c>
      <x:c r="B274" s="58" t="str">
        <x:v>EN04</x:v>
      </x:c>
      <x:c r="C274" s="58" t="n">
        <x:v>3</x:v>
      </x:c>
      <x:c r="D274" s="58" t="str">
        <x:v>BASE</x:v>
      </x:c>
      <x:c r="E274" s="79" t="n">
        <x:v>0</x:v>
      </x:c>
      <x:c r="F274" s="79" t="n">
        <x:v>216.7</x:v>
      </x:c>
      <x:c r="G274" s="80" t="n">
        <x:f>E274*F274</x:f>
        <x:v>0</x:v>
      </x:c>
      <x:c r="H274" s="58" t="str">
        <x:v>Invoice</x:v>
      </x:c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</x:row>
    <x:row r="275" ht="23" customHeight="1">
      <x:c r="A275" s="60" t="str">
        <x:v>AC-0268</x:v>
      </x:c>
      <x:c r="B275" s="60" t="str">
        <x:v>EN04</x:v>
      </x:c>
      <x:c r="C275" s="60" t="n">
        <x:v>4</x:v>
      </x:c>
      <x:c r="D275" s="60" t="str">
        <x:v>BASE</x:v>
      </x:c>
      <x:c r="E275" s="82" t="n">
        <x:v>0</x:v>
      </x:c>
      <x:c r="F275" s="82" t="n">
        <x:v>216.7</x:v>
      </x:c>
      <x:c r="G275" s="83" t="n">
        <x:f>E275*F275</x:f>
        <x:v>0</x:v>
      </x:c>
      <x:c r="H275" s="60" t="str">
        <x:v>Invoice</x:v>
      </x:c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</x:row>
    <x:row r="276" ht="23" customHeight="1">
      <x:c r="A276" s="58" t="str">
        <x:v>AC-0269</x:v>
      </x:c>
      <x:c r="B276" s="58" t="str">
        <x:v>EN04</x:v>
      </x:c>
      <x:c r="C276" s="58" t="n">
        <x:v>5</x:v>
      </x:c>
      <x:c r="D276" s="58" t="str">
        <x:v>BASE</x:v>
      </x:c>
      <x:c r="E276" s="79" t="n">
        <x:v>0</x:v>
      </x:c>
      <x:c r="F276" s="79" t="n">
        <x:v>216.7</x:v>
      </x:c>
      <x:c r="G276" s="80" t="n">
        <x:f>E276*F276</x:f>
        <x:v>0</x:v>
      </x:c>
      <x:c r="H276" s="58" t="str">
        <x:v>Invoice</x:v>
      </x:c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</x:row>
    <x:row r="277" ht="23" customHeight="1">
      <x:c r="A277" s="60" t="str">
        <x:v>AC-0270</x:v>
      </x:c>
      <x:c r="B277" s="60" t="str">
        <x:v>EN04</x:v>
      </x:c>
      <x:c r="C277" s="60" t="n">
        <x:v>6</x:v>
      </x:c>
      <x:c r="D277" s="60" t="str">
        <x:v>BASE</x:v>
      </x:c>
      <x:c r="E277" s="82" t="n">
        <x:v>0</x:v>
      </x:c>
      <x:c r="F277" s="82" t="n">
        <x:v>216.7</x:v>
      </x:c>
      <x:c r="G277" s="83" t="n">
        <x:f>E277*F277</x:f>
        <x:v>0</x:v>
      </x:c>
      <x:c r="H277" s="60" t="str">
        <x:v>Invoice</x:v>
      </x:c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</x:row>
    <x:row r="278" ht="23" customHeight="1">
      <x:c r="A278" s="58" t="str">
        <x:v>AC-0271</x:v>
      </x:c>
      <x:c r="B278" s="58" t="str">
        <x:v>EN04</x:v>
      </x:c>
      <x:c r="C278" s="58" t="n">
        <x:v>7</x:v>
      </x:c>
      <x:c r="D278" s="58" t="str">
        <x:v>BASE</x:v>
      </x:c>
      <x:c r="E278" s="79" t="n">
        <x:v>0</x:v>
      </x:c>
      <x:c r="F278" s="79" t="n">
        <x:v>216.7</x:v>
      </x:c>
      <x:c r="G278" s="80" t="n">
        <x:f>E278*F278</x:f>
        <x:v>0</x:v>
      </x:c>
      <x:c r="H278" s="58" t="str">
        <x:v>Invoice</x:v>
      </x:c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</x:row>
    <x:row r="279" ht="23" customHeight="1">
      <x:c r="A279" s="60" t="str">
        <x:v>AC-0272</x:v>
      </x:c>
      <x:c r="B279" s="60" t="str">
        <x:v>EN04</x:v>
      </x:c>
      <x:c r="C279" s="60" t="n">
        <x:v>8</x:v>
      </x:c>
      <x:c r="D279" s="60" t="str">
        <x:v>BASE</x:v>
      </x:c>
      <x:c r="E279" s="82" t="n">
        <x:v>0</x:v>
      </x:c>
      <x:c r="F279" s="82" t="n">
        <x:v>216.7</x:v>
      </x:c>
      <x:c r="G279" s="83" t="n">
        <x:f>E279*F279</x:f>
        <x:v>0</x:v>
      </x:c>
      <x:c r="H279" s="60" t="str">
        <x:v>Invoice</x:v>
      </x:c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</x:row>
    <x:row r="280" ht="23" customHeight="1">
      <x:c r="A280" s="58" t="str">
        <x:v>AC-0273</x:v>
      </x:c>
      <x:c r="B280" s="58" t="str">
        <x:v>EN04</x:v>
      </x:c>
      <x:c r="C280" s="58" t="n">
        <x:v>9</x:v>
      </x:c>
      <x:c r="D280" s="58" t="str">
        <x:v>BASE</x:v>
      </x:c>
      <x:c r="E280" s="79" t="n">
        <x:v>0</x:v>
      </x:c>
      <x:c r="F280" s="79" t="n">
        <x:v>216.7</x:v>
      </x:c>
      <x:c r="G280" s="80" t="n">
        <x:f>E280*F280</x:f>
        <x:v>0</x:v>
      </x:c>
      <x:c r="H280" s="58" t="str">
        <x:v>Invoice</x:v>
      </x:c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</x:row>
    <x:row r="281" ht="23" customHeight="1">
      <x:c r="A281" s="60" t="str">
        <x:v>AC-0274</x:v>
      </x:c>
      <x:c r="B281" s="60" t="str">
        <x:v>EN04</x:v>
      </x:c>
      <x:c r="C281" s="60" t="n">
        <x:v>10</x:v>
      </x:c>
      <x:c r="D281" s="60" t="str">
        <x:v>BASE</x:v>
      </x:c>
      <x:c r="E281" s="82" t="n">
        <x:v>0</x:v>
      </x:c>
      <x:c r="F281" s="82" t="n">
        <x:v>216.7</x:v>
      </x:c>
      <x:c r="G281" s="83" t="n">
        <x:f>E281*F281</x:f>
        <x:v>0</x:v>
      </x:c>
      <x:c r="H281" s="60" t="str">
        <x:v>Invoice</x:v>
      </x:c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</x:row>
    <x:row r="282" ht="23" customHeight="1">
      <x:c r="A282" s="58" t="str">
        <x:v>AC-0275</x:v>
      </x:c>
      <x:c r="B282" s="58" t="str">
        <x:v>EN04</x:v>
      </x:c>
      <x:c r="C282" s="58" t="n">
        <x:v>11</x:v>
      </x:c>
      <x:c r="D282" s="58" t="str">
        <x:v>BASE</x:v>
      </x:c>
      <x:c r="E282" s="79" t="n">
        <x:v>0</x:v>
      </x:c>
      <x:c r="F282" s="79" t="n">
        <x:v>216.7</x:v>
      </x:c>
      <x:c r="G282" s="80" t="n">
        <x:f>E282*F282</x:f>
        <x:v>0</x:v>
      </x:c>
      <x:c r="H282" s="58" t="str">
        <x:v>Invoice</x:v>
      </x:c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</x:row>
    <x:row r="283" ht="23" customHeight="1">
      <x:c r="A283" s="60" t="str">
        <x:v>AC-0276</x:v>
      </x:c>
      <x:c r="B283" s="60" t="str">
        <x:v>EN04</x:v>
      </x:c>
      <x:c r="C283" s="60" t="n">
        <x:v>12</x:v>
      </x:c>
      <x:c r="D283" s="60" t="str">
        <x:v>BASE</x:v>
      </x:c>
      <x:c r="E283" s="82" t="n">
        <x:v>0</x:v>
      </x:c>
      <x:c r="F283" s="82" t="n">
        <x:v>216.7</x:v>
      </x:c>
      <x:c r="G283" s="83" t="n">
        <x:f>E283*F283</x:f>
        <x:v>0</x:v>
      </x:c>
      <x:c r="H283" s="60" t="str">
        <x:v>Invoice</x:v>
      </x:c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</x:row>
    <x:row r="284" ht="23" customHeight="1">
      <x:c r="A284" s="58" t="str">
        <x:v>AC-0277</x:v>
      </x:c>
      <x:c r="B284" s="58" t="str">
        <x:v>AR01</x:v>
      </x:c>
      <x:c r="C284" s="58" t="n">
        <x:v>1</x:v>
      </x:c>
      <x:c r="D284" s="58" t="str">
        <x:v>BASE</x:v>
      </x:c>
      <x:c r="E284" s="79" t="n">
        <x:v>0</x:v>
      </x:c>
      <x:c r="F284" s="79" t="n">
        <x:v>136.35</x:v>
      </x:c>
      <x:c r="G284" s="80" t="n">
        <x:f>E284*F284</x:f>
        <x:v>0</x:v>
      </x:c>
      <x:c r="H284" s="58" t="str">
        <x:v>Invoice</x:v>
      </x:c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</x:row>
    <x:row r="285" ht="23" customHeight="1">
      <x:c r="A285" s="60" t="str">
        <x:v>AC-0278</x:v>
      </x:c>
      <x:c r="B285" s="60" t="str">
        <x:v>AR01</x:v>
      </x:c>
      <x:c r="C285" s="60" t="n">
        <x:v>2</x:v>
      </x:c>
      <x:c r="D285" s="60" t="str">
        <x:v>BASE</x:v>
      </x:c>
      <x:c r="E285" s="82" t="n">
        <x:v>0</x:v>
      </x:c>
      <x:c r="F285" s="82" t="n">
        <x:v>136.35</x:v>
      </x:c>
      <x:c r="G285" s="83" t="n">
        <x:f>E285*F285</x:f>
        <x:v>0</x:v>
      </x:c>
      <x:c r="H285" s="60" t="str">
        <x:v>Invoice</x:v>
      </x:c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</x:row>
    <x:row r="286" ht="23" customHeight="1">
      <x:c r="A286" s="58" t="str">
        <x:v>AC-0279</x:v>
      </x:c>
      <x:c r="B286" s="58" t="str">
        <x:v>AR01</x:v>
      </x:c>
      <x:c r="C286" s="58" t="n">
        <x:v>3</x:v>
      </x:c>
      <x:c r="D286" s="58" t="str">
        <x:v>BASE</x:v>
      </x:c>
      <x:c r="E286" s="79" t="n">
        <x:v>0</x:v>
      </x:c>
      <x:c r="F286" s="79" t="n">
        <x:v>136.35</x:v>
      </x:c>
      <x:c r="G286" s="80" t="n">
        <x:f>E286*F286</x:f>
        <x:v>0</x:v>
      </x:c>
      <x:c r="H286" s="58" t="str">
        <x:v>Invoice</x:v>
      </x:c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</x:row>
    <x:row r="287" ht="23" customHeight="1">
      <x:c r="A287" s="60" t="str">
        <x:v>AC-0280</x:v>
      </x:c>
      <x:c r="B287" s="60" t="str">
        <x:v>AR01</x:v>
      </x:c>
      <x:c r="C287" s="60" t="n">
        <x:v>4</x:v>
      </x:c>
      <x:c r="D287" s="60" t="str">
        <x:v>BASE</x:v>
      </x:c>
      <x:c r="E287" s="82" t="n">
        <x:v>0</x:v>
      </x:c>
      <x:c r="F287" s="82" t="n">
        <x:v>136.35</x:v>
      </x:c>
      <x:c r="G287" s="83" t="n">
        <x:f>E287*F287</x:f>
        <x:v>0</x:v>
      </x:c>
      <x:c r="H287" s="60" t="str">
        <x:v>Invoice</x:v>
      </x:c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</x:row>
    <x:row r="288" ht="23" customHeight="1">
      <x:c r="A288" s="58" t="str">
        <x:v>AC-0281</x:v>
      </x:c>
      <x:c r="B288" s="58" t="str">
        <x:v>AR01</x:v>
      </x:c>
      <x:c r="C288" s="58" t="n">
        <x:v>5</x:v>
      </x:c>
      <x:c r="D288" s="58" t="str">
        <x:v>BASE</x:v>
      </x:c>
      <x:c r="E288" s="79" t="n">
        <x:v>0</x:v>
      </x:c>
      <x:c r="F288" s="79" t="n">
        <x:v>136.35</x:v>
      </x:c>
      <x:c r="G288" s="80" t="n">
        <x:f>E288*F288</x:f>
        <x:v>0</x:v>
      </x:c>
      <x:c r="H288" s="58" t="str">
        <x:v>Invoice</x:v>
      </x:c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</x:row>
    <x:row r="289" ht="23" customHeight="1">
      <x:c r="A289" s="60" t="str">
        <x:v>AC-0282</x:v>
      </x:c>
      <x:c r="B289" s="60" t="str">
        <x:v>AR01</x:v>
      </x:c>
      <x:c r="C289" s="60" t="n">
        <x:v>6</x:v>
      </x:c>
      <x:c r="D289" s="60" t="str">
        <x:v>BASE</x:v>
      </x:c>
      <x:c r="E289" s="82" t="n">
        <x:v>0</x:v>
      </x:c>
      <x:c r="F289" s="82" t="n">
        <x:v>136.35</x:v>
      </x:c>
      <x:c r="G289" s="83" t="n">
        <x:f>E289*F289</x:f>
        <x:v>0</x:v>
      </x:c>
      <x:c r="H289" s="60" t="str">
        <x:v>Invoice</x:v>
      </x:c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</x:row>
    <x:row r="290" ht="23" customHeight="1">
      <x:c r="A290" s="58" t="str">
        <x:v>AC-0283</x:v>
      </x:c>
      <x:c r="B290" s="58" t="str">
        <x:v>AR01</x:v>
      </x:c>
      <x:c r="C290" s="58" t="n">
        <x:v>7</x:v>
      </x:c>
      <x:c r="D290" s="58" t="str">
        <x:v>BASE</x:v>
      </x:c>
      <x:c r="E290" s="79" t="n">
        <x:v>0</x:v>
      </x:c>
      <x:c r="F290" s="79" t="n">
        <x:v>136.35</x:v>
      </x:c>
      <x:c r="G290" s="80" t="n">
        <x:f>E290*F290</x:f>
        <x:v>0</x:v>
      </x:c>
      <x:c r="H290" s="58" t="str">
        <x:v>Invoice</x:v>
      </x:c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</x:row>
    <x:row r="291" ht="23" customHeight="1">
      <x:c r="A291" s="60" t="str">
        <x:v>AC-0284</x:v>
      </x:c>
      <x:c r="B291" s="60" t="str">
        <x:v>AR01</x:v>
      </x:c>
      <x:c r="C291" s="60" t="n">
        <x:v>8</x:v>
      </x:c>
      <x:c r="D291" s="60" t="str">
        <x:v>BASE</x:v>
      </x:c>
      <x:c r="E291" s="82" t="n">
        <x:v>0</x:v>
      </x:c>
      <x:c r="F291" s="82" t="n">
        <x:v>136.35</x:v>
      </x:c>
      <x:c r="G291" s="83" t="n">
        <x:f>E291*F291</x:f>
        <x:v>0</x:v>
      </x:c>
      <x:c r="H291" s="60" t="str">
        <x:v>Invoice</x:v>
      </x:c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</x:row>
    <x:row r="292" ht="23" customHeight="1">
      <x:c r="A292" s="58" t="str">
        <x:v>AC-0285</x:v>
      </x:c>
      <x:c r="B292" s="58" t="str">
        <x:v>AR01</x:v>
      </x:c>
      <x:c r="C292" s="58" t="n">
        <x:v>9</x:v>
      </x:c>
      <x:c r="D292" s="58" t="str">
        <x:v>BASE</x:v>
      </x:c>
      <x:c r="E292" s="79" t="n">
        <x:v>587.613</x:v>
      </x:c>
      <x:c r="F292" s="79" t="n">
        <x:v>136.35</x:v>
      </x:c>
      <x:c r="G292" s="80" t="n">
        <x:f>E292*F292</x:f>
        <x:v>80121.03255</x:v>
      </x:c>
      <x:c r="H292" s="58" t="str">
        <x:v>Invoice</x:v>
      </x:c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</x:row>
    <x:row r="293" ht="23" customHeight="1">
      <x:c r="A293" s="60" t="str">
        <x:v>AC-0286</x:v>
      </x:c>
      <x:c r="B293" s="60" t="str">
        <x:v>AR01</x:v>
      </x:c>
      <x:c r="C293" s="60" t="n">
        <x:v>10</x:v>
      </x:c>
      <x:c r="D293" s="60" t="str">
        <x:v>BASE</x:v>
      </x:c>
      <x:c r="E293" s="82" t="n">
        <x:v>587.613</x:v>
      </x:c>
      <x:c r="F293" s="82" t="n">
        <x:v>136.35</x:v>
      </x:c>
      <x:c r="G293" s="83" t="n">
        <x:f>E293*F293</x:f>
        <x:v>80121.03255</x:v>
      </x:c>
      <x:c r="H293" s="60" t="str">
        <x:v>Invoice</x:v>
      </x:c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</x:row>
    <x:row r="294" ht="23" customHeight="1">
      <x:c r="A294" s="58" t="str">
        <x:v>AC-0287</x:v>
      </x:c>
      <x:c r="B294" s="58" t="str">
        <x:v>AR01</x:v>
      </x:c>
      <x:c r="C294" s="58" t="n">
        <x:v>11</x:v>
      </x:c>
      <x:c r="D294" s="58" t="str">
        <x:v>BASE</x:v>
      </x:c>
      <x:c r="E294" s="79" t="n">
        <x:v>587.613</x:v>
      </x:c>
      <x:c r="F294" s="79" t="n">
        <x:v>136.35</x:v>
      </x:c>
      <x:c r="G294" s="80" t="n">
        <x:f>E294*F294</x:f>
        <x:v>80121.03255</x:v>
      </x:c>
      <x:c r="H294" s="58" t="str">
        <x:v>Invoice</x:v>
      </x:c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</x:row>
    <x:row r="295" ht="23" customHeight="1">
      <x:c r="A295" s="60" t="str">
        <x:v>AC-0288</x:v>
      </x:c>
      <x:c r="B295" s="60" t="str">
        <x:v>AR01</x:v>
      </x:c>
      <x:c r="C295" s="60" t="n">
        <x:v>12</x:v>
      </x:c>
      <x:c r="D295" s="60" t="str">
        <x:v>BASE</x:v>
      </x:c>
      <x:c r="E295" s="82" t="n">
        <x:v>587.613</x:v>
      </x:c>
      <x:c r="F295" s="82" t="n">
        <x:v>136.35</x:v>
      </x:c>
      <x:c r="G295" s="83" t="n">
        <x:f>E295*F295</x:f>
        <x:v>80121.03255</x:v>
      </x:c>
      <x:c r="H295" s="60" t="str">
        <x:v>Invoice</x:v>
      </x:c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</x:row>
    <x:row r="296" ht="23" customHeight="1">
      <x:c r="A296" s="58" t="str">
        <x:v>AC-0289</x:v>
      </x:c>
      <x:c r="B296" s="58" t="str">
        <x:v>AR02</x:v>
      </x:c>
      <x:c r="C296" s="58" t="n">
        <x:v>1</x:v>
      </x:c>
      <x:c r="D296" s="58" t="str">
        <x:v>BASE</x:v>
      </x:c>
      <x:c r="E296" s="79" t="n">
        <x:v>0</x:v>
      </x:c>
      <x:c r="F296" s="79" t="n">
        <x:v>12.937499999999996</x:v>
      </x:c>
      <x:c r="G296" s="80" t="n">
        <x:f>E296*F296</x:f>
        <x:v>0</x:v>
      </x:c>
      <x:c r="H296" s="58" t="str">
        <x:v>Accrual</x:v>
      </x:c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</x:row>
    <x:row r="297" ht="23" customHeight="1">
      <x:c r="A297" s="60" t="str">
        <x:v>AC-0290</x:v>
      </x:c>
      <x:c r="B297" s="60" t="str">
        <x:v>AR02</x:v>
      </x:c>
      <x:c r="C297" s="60" t="n">
        <x:v>2</x:v>
      </x:c>
      <x:c r="D297" s="60" t="str">
        <x:v>BASE</x:v>
      </x:c>
      <x:c r="E297" s="82" t="n">
        <x:v>0</x:v>
      </x:c>
      <x:c r="F297" s="82" t="n">
        <x:v>12.937499999999996</x:v>
      </x:c>
      <x:c r="G297" s="83" t="n">
        <x:f>E297*F297</x:f>
        <x:v>0</x:v>
      </x:c>
      <x:c r="H297" s="60" t="str">
        <x:v>Accrual</x:v>
      </x:c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</x:row>
    <x:row r="298" ht="23" customHeight="1">
      <x:c r="A298" s="58" t="str">
        <x:v>AC-0291</x:v>
      </x:c>
      <x:c r="B298" s="58" t="str">
        <x:v>AR02</x:v>
      </x:c>
      <x:c r="C298" s="58" t="n">
        <x:v>3</x:v>
      </x:c>
      <x:c r="D298" s="58" t="str">
        <x:v>BASE</x:v>
      </x:c>
      <x:c r="E298" s="79" t="n">
        <x:v>0</x:v>
      </x:c>
      <x:c r="F298" s="79" t="n">
        <x:v>12.937499999999996</x:v>
      </x:c>
      <x:c r="G298" s="80" t="n">
        <x:f>E298*F298</x:f>
        <x:v>0</x:v>
      </x:c>
      <x:c r="H298" s="58" t="str">
        <x:v>Accrual</x:v>
      </x:c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</x:row>
    <x:row r="299" ht="23" customHeight="1">
      <x:c r="A299" s="60" t="str">
        <x:v>AC-0292</x:v>
      </x:c>
      <x:c r="B299" s="60" t="str">
        <x:v>AR02</x:v>
      </x:c>
      <x:c r="C299" s="60" t="n">
        <x:v>4</x:v>
      </x:c>
      <x:c r="D299" s="60" t="str">
        <x:v>BASE</x:v>
      </x:c>
      <x:c r="E299" s="82" t="n">
        <x:v>0</x:v>
      </x:c>
      <x:c r="F299" s="82" t="n">
        <x:v>12.937499999999996</x:v>
      </x:c>
      <x:c r="G299" s="83" t="n">
        <x:f>E299*F299</x:f>
        <x:v>0</x:v>
      </x:c>
      <x:c r="H299" s="60" t="str">
        <x:v>Accrual</x:v>
      </x:c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</x:row>
    <x:row r="300" ht="23" customHeight="1">
      <x:c r="A300" s="58" t="str">
        <x:v>AC-0293</x:v>
      </x:c>
      <x:c r="B300" s="58" t="str">
        <x:v>AR02</x:v>
      </x:c>
      <x:c r="C300" s="58" t="n">
        <x:v>5</x:v>
      </x:c>
      <x:c r="D300" s="58" t="str">
        <x:v>BASE</x:v>
      </x:c>
      <x:c r="E300" s="79" t="n">
        <x:v>0</x:v>
      </x:c>
      <x:c r="F300" s="79" t="n">
        <x:v>12.937499999999996</x:v>
      </x:c>
      <x:c r="G300" s="80" t="n">
        <x:f>E300*F300</x:f>
        <x:v>0</x:v>
      </x:c>
      <x:c r="H300" s="58" t="str">
        <x:v>Accrual</x:v>
      </x:c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</x:row>
    <x:row r="301" ht="23" customHeight="1">
      <x:c r="A301" s="60" t="str">
        <x:v>AC-0294</x:v>
      </x:c>
      <x:c r="B301" s="60" t="str">
        <x:v>AR02</x:v>
      </x:c>
      <x:c r="C301" s="60" t="n">
        <x:v>6</x:v>
      </x:c>
      <x:c r="D301" s="60" t="str">
        <x:v>BASE</x:v>
      </x:c>
      <x:c r="E301" s="82" t="n">
        <x:v>0</x:v>
      </x:c>
      <x:c r="F301" s="82" t="n">
        <x:v>12.937499999999996</x:v>
      </x:c>
      <x:c r="G301" s="83" t="n">
        <x:f>E301*F301</x:f>
        <x:v>0</x:v>
      </x:c>
      <x:c r="H301" s="60" t="str">
        <x:v>Accrual</x:v>
      </x:c>
      <x:c r="I301" s="54"/>
      <x:c r="J301" s="54"/>
      <x:c r="K301" s="54"/>
      <x:c r="L301" s="54"/>
      <x:c r="M301" s="54"/>
      <x:c r="N301" s="54"/>
      <x:c r="O301" s="54"/>
      <x:c r="P301" s="54"/>
      <x:c r="Q301" s="54"/>
      <x:c r="R301" s="54"/>
      <x:c r="S301" s="54"/>
    </x:row>
    <x:row r="302" ht="23" customHeight="1">
      <x:c r="A302" s="58" t="str">
        <x:v>AC-0295</x:v>
      </x:c>
      <x:c r="B302" s="58" t="str">
        <x:v>AR02</x:v>
      </x:c>
      <x:c r="C302" s="58" t="n">
        <x:v>7</x:v>
      </x:c>
      <x:c r="D302" s="58" t="str">
        <x:v>BASE</x:v>
      </x:c>
      <x:c r="E302" s="79" t="n">
        <x:v>0</x:v>
      </x:c>
      <x:c r="F302" s="79" t="n">
        <x:v>12.937499999999996</x:v>
      </x:c>
      <x:c r="G302" s="80" t="n">
        <x:f>E302*F302</x:f>
        <x:v>0</x:v>
      </x:c>
      <x:c r="H302" s="58" t="str">
        <x:v>Accrual</x:v>
      </x:c>
      <x:c r="I302" s="54"/>
      <x:c r="J302" s="54"/>
      <x:c r="K302" s="54"/>
      <x:c r="L302" s="54"/>
      <x:c r="M302" s="54"/>
      <x:c r="N302" s="54"/>
      <x:c r="O302" s="54"/>
      <x:c r="P302" s="54"/>
      <x:c r="Q302" s="54"/>
      <x:c r="R302" s="54"/>
      <x:c r="S302" s="54"/>
    </x:row>
    <x:row r="303" ht="23" customHeight="1">
      <x:c r="A303" s="60" t="str">
        <x:v>AC-0296</x:v>
      </x:c>
      <x:c r="B303" s="60" t="str">
        <x:v>AR02</x:v>
      </x:c>
      <x:c r="C303" s="60" t="n">
        <x:v>8</x:v>
      </x:c>
      <x:c r="D303" s="60" t="str">
        <x:v>BASE</x:v>
      </x:c>
      <x:c r="E303" s="82" t="n">
        <x:v>0</x:v>
      </x:c>
      <x:c r="F303" s="82" t="n">
        <x:v>12.937499999999996</x:v>
      </x:c>
      <x:c r="G303" s="83" t="n">
        <x:f>E303*F303</x:f>
        <x:v>0</x:v>
      </x:c>
      <x:c r="H303" s="60" t="str">
        <x:v>Accrual</x:v>
      </x:c>
      <x:c r="I303" s="54"/>
      <x:c r="J303" s="54"/>
      <x:c r="K303" s="54"/>
      <x:c r="L303" s="54"/>
      <x:c r="M303" s="54"/>
      <x:c r="N303" s="54"/>
      <x:c r="O303" s="54"/>
      <x:c r="P303" s="54"/>
      <x:c r="Q303" s="54"/>
      <x:c r="R303" s="54"/>
      <x:c r="S303" s="54"/>
    </x:row>
    <x:row r="304" ht="23" customHeight="1">
      <x:c r="A304" s="58" t="str">
        <x:v>AC-0297</x:v>
      </x:c>
      <x:c r="B304" s="58" t="str">
        <x:v>AR02</x:v>
      </x:c>
      <x:c r="C304" s="58" t="n">
        <x:v>9</x:v>
      </x:c>
      <x:c r="D304" s="58" t="str">
        <x:v>BASE</x:v>
      </x:c>
      <x:c r="E304" s="79" t="n">
        <x:v>0</x:v>
      </x:c>
      <x:c r="F304" s="79" t="n">
        <x:v>12.937499999999996</x:v>
      </x:c>
      <x:c r="G304" s="80" t="n">
        <x:f>E304*F304</x:f>
        <x:v>0</x:v>
      </x:c>
      <x:c r="H304" s="58" t="str">
        <x:v>Accrual</x:v>
      </x:c>
      <x:c r="I304" s="54"/>
      <x:c r="J304" s="54"/>
      <x:c r="K304" s="54"/>
      <x:c r="L304" s="54"/>
      <x:c r="M304" s="54"/>
      <x:c r="N304" s="54"/>
      <x:c r="O304" s="54"/>
      <x:c r="P304" s="54"/>
      <x:c r="Q304" s="54"/>
      <x:c r="R304" s="54"/>
      <x:c r="S304" s="54"/>
    </x:row>
    <x:row r="305" ht="23" customHeight="1">
      <x:c r="A305" s="60" t="str">
        <x:v>AC-0298</x:v>
      </x:c>
      <x:c r="B305" s="60" t="str">
        <x:v>AR02</x:v>
      </x:c>
      <x:c r="C305" s="60" t="n">
        <x:v>10</x:v>
      </x:c>
      <x:c r="D305" s="60" t="str">
        <x:v>BASE</x:v>
      </x:c>
      <x:c r="E305" s="82" t="n">
        <x:v>0</x:v>
      </x:c>
      <x:c r="F305" s="82" t="n">
        <x:v>12.937499999999996</x:v>
      </x:c>
      <x:c r="G305" s="83" t="n">
        <x:f>E305*F305</x:f>
        <x:v>0</x:v>
      </x:c>
      <x:c r="H305" s="60" t="str">
        <x:v>Accrual</x:v>
      </x:c>
      <x:c r="I305" s="54"/>
      <x:c r="J305" s="54"/>
      <x:c r="K305" s="54"/>
      <x:c r="L305" s="54"/>
      <x:c r="M305" s="54"/>
      <x:c r="N305" s="54"/>
      <x:c r="O305" s="54"/>
      <x:c r="P305" s="54"/>
      <x:c r="Q305" s="54"/>
      <x:c r="R305" s="54"/>
      <x:c r="S305" s="54"/>
    </x:row>
    <x:row r="306" ht="23" customHeight="1">
      <x:c r="A306" s="58" t="str">
        <x:v>AC-0299</x:v>
      </x:c>
      <x:c r="B306" s="58" t="str">
        <x:v>AR02</x:v>
      </x:c>
      <x:c r="C306" s="58" t="n">
        <x:v>11</x:v>
      </x:c>
      <x:c r="D306" s="58" t="str">
        <x:v>BASE</x:v>
      </x:c>
      <x:c r="E306" s="79" t="n">
        <x:v>0</x:v>
      </x:c>
      <x:c r="F306" s="79" t="n">
        <x:v>12.937499999999996</x:v>
      </x:c>
      <x:c r="G306" s="80" t="n">
        <x:f>E306*F306</x:f>
        <x:v>0</x:v>
      </x:c>
      <x:c r="H306" s="58" t="str">
        <x:v>Accrual</x:v>
      </x:c>
      <x:c r="I306" s="54"/>
      <x:c r="J306" s="54"/>
      <x:c r="K306" s="54"/>
      <x:c r="L306" s="54"/>
      <x:c r="M306" s="54"/>
      <x:c r="N306" s="54"/>
      <x:c r="O306" s="54"/>
      <x:c r="P306" s="54"/>
      <x:c r="Q306" s="54"/>
      <x:c r="R306" s="54"/>
      <x:c r="S306" s="54"/>
    </x:row>
    <x:row r="307" ht="23" customHeight="1">
      <x:c r="A307" s="60" t="str">
        <x:v>AC-0300</x:v>
      </x:c>
      <x:c r="B307" s="60" t="str">
        <x:v>AR02</x:v>
      </x:c>
      <x:c r="C307" s="60" t="n">
        <x:v>12</x:v>
      </x:c>
      <x:c r="D307" s="60" t="str">
        <x:v>BASE</x:v>
      </x:c>
      <x:c r="E307" s="82" t="n">
        <x:v>8547.098181818186</x:v>
      </x:c>
      <x:c r="F307" s="82" t="n">
        <x:v>12.937499999999996</x:v>
      </x:c>
      <x:c r="G307" s="83" t="n">
        <x:f>E307*F307</x:f>
        <x:v>110578.08272727275</x:v>
      </x:c>
      <x:c r="H307" s="60" t="str">
        <x:v>Accrual</x:v>
      </x:c>
      <x:c r="I307" s="54"/>
      <x:c r="J307" s="54"/>
      <x:c r="K307" s="54"/>
      <x:c r="L307" s="54"/>
      <x:c r="M307" s="54"/>
      <x:c r="N307" s="54"/>
      <x:c r="O307" s="54"/>
      <x:c r="P307" s="54"/>
      <x:c r="Q307" s="54"/>
      <x:c r="R307" s="54"/>
      <x:c r="S307" s="54"/>
    </x:row>
    <x:row r="308" ht="23" customHeight="1">
      <x:c r="A308" s="58" t="str">
        <x:v>AC-0301</x:v>
      </x:c>
      <x:c r="B308" s="58" t="str">
        <x:v>AR03</x:v>
      </x:c>
      <x:c r="C308" s="58" t="n">
        <x:v>1</x:v>
      </x:c>
      <x:c r="D308" s="58" t="str">
        <x:v>BASE</x:v>
      </x:c>
      <x:c r="E308" s="79" t="n">
        <x:v>0</x:v>
      </x:c>
      <x:c r="F308" s="79" t="n">
        <x:v>13.780000000000001</x:v>
      </x:c>
      <x:c r="G308" s="80" t="n">
        <x:f>E308*F308</x:f>
        <x:v>0</x:v>
      </x:c>
      <x:c r="H308" s="58" t="str">
        <x:v>Invoice</x:v>
      </x:c>
      <x:c r="I308" s="54"/>
      <x:c r="J308" s="54"/>
      <x:c r="K308" s="54"/>
      <x:c r="L308" s="54"/>
      <x:c r="M308" s="54"/>
      <x:c r="N308" s="54"/>
      <x:c r="O308" s="54"/>
      <x:c r="P308" s="54"/>
      <x:c r="Q308" s="54"/>
      <x:c r="R308" s="54"/>
      <x:c r="S308" s="54"/>
    </x:row>
    <x:row r="309" ht="23" customHeight="1">
      <x:c r="A309" s="60" t="str">
        <x:v>AC-0302</x:v>
      </x:c>
      <x:c r="B309" s="60" t="str">
        <x:v>AR03</x:v>
      </x:c>
      <x:c r="C309" s="60" t="n">
        <x:v>2</x:v>
      </x:c>
      <x:c r="D309" s="60" t="str">
        <x:v>BASE</x:v>
      </x:c>
      <x:c r="E309" s="82" t="n">
        <x:v>0</x:v>
      </x:c>
      <x:c r="F309" s="82" t="n">
        <x:v>13.780000000000001</x:v>
      </x:c>
      <x:c r="G309" s="83" t="n">
        <x:f>E309*F309</x:f>
        <x:v>0</x:v>
      </x:c>
      <x:c r="H309" s="60" t="str">
        <x:v>Invoice</x:v>
      </x:c>
      <x:c r="I309" s="54"/>
      <x:c r="J309" s="54"/>
      <x:c r="K309" s="54"/>
      <x:c r="L309" s="54"/>
      <x:c r="M309" s="54"/>
      <x:c r="N309" s="54"/>
      <x:c r="O309" s="54"/>
      <x:c r="P309" s="54"/>
      <x:c r="Q309" s="54"/>
      <x:c r="R309" s="54"/>
      <x:c r="S309" s="54"/>
    </x:row>
    <x:row r="310" ht="23" customHeight="1">
      <x:c r="A310" s="58" t="str">
        <x:v>AC-0303</x:v>
      </x:c>
      <x:c r="B310" s="58" t="str">
        <x:v>AR03</x:v>
      </x:c>
      <x:c r="C310" s="58" t="n">
        <x:v>3</x:v>
      </x:c>
      <x:c r="D310" s="58" t="str">
        <x:v>BASE</x:v>
      </x:c>
      <x:c r="E310" s="79" t="n">
        <x:v>0</x:v>
      </x:c>
      <x:c r="F310" s="79" t="n">
        <x:v>13.780000000000001</x:v>
      </x:c>
      <x:c r="G310" s="80" t="n">
        <x:f>E310*F310</x:f>
        <x:v>0</x:v>
      </x:c>
      <x:c r="H310" s="58" t="str">
        <x:v>Invoice</x:v>
      </x:c>
      <x:c r="I310" s="54"/>
      <x:c r="J310" s="54"/>
      <x:c r="K310" s="54"/>
      <x:c r="L310" s="54"/>
      <x:c r="M310" s="54"/>
      <x:c r="N310" s="54"/>
      <x:c r="O310" s="54"/>
      <x:c r="P310" s="54"/>
      <x:c r="Q310" s="54"/>
      <x:c r="R310" s="54"/>
      <x:c r="S310" s="54"/>
    </x:row>
    <x:row r="311" ht="23" customHeight="1">
      <x:c r="A311" s="60" t="str">
        <x:v>AC-0304</x:v>
      </x:c>
      <x:c r="B311" s="60" t="str">
        <x:v>AR03</x:v>
      </x:c>
      <x:c r="C311" s="60" t="n">
        <x:v>4</x:v>
      </x:c>
      <x:c r="D311" s="60" t="str">
        <x:v>BASE</x:v>
      </x:c>
      <x:c r="E311" s="82" t="n">
        <x:v>0</x:v>
      </x:c>
      <x:c r="F311" s="82" t="n">
        <x:v>13.780000000000001</x:v>
      </x:c>
      <x:c r="G311" s="83" t="n">
        <x:f>E311*F311</x:f>
        <x:v>0</x:v>
      </x:c>
      <x:c r="H311" s="60" t="str">
        <x:v>Invoice</x:v>
      </x:c>
      <x:c r="I311" s="54"/>
      <x:c r="J311" s="54"/>
      <x:c r="K311" s="54"/>
      <x:c r="L311" s="54"/>
      <x:c r="M311" s="54"/>
      <x:c r="N311" s="54"/>
      <x:c r="O311" s="54"/>
      <x:c r="P311" s="54"/>
      <x:c r="Q311" s="54"/>
      <x:c r="R311" s="54"/>
      <x:c r="S311" s="54"/>
    </x:row>
    <x:row r="312" ht="23" customHeight="1">
      <x:c r="A312" s="58" t="str">
        <x:v>AC-0305</x:v>
      </x:c>
      <x:c r="B312" s="58" t="str">
        <x:v>AR03</x:v>
      </x:c>
      <x:c r="C312" s="58" t="n">
        <x:v>5</x:v>
      </x:c>
      <x:c r="D312" s="58" t="str">
        <x:v>BASE</x:v>
      </x:c>
      <x:c r="E312" s="79" t="n">
        <x:v>0</x:v>
      </x:c>
      <x:c r="F312" s="79" t="n">
        <x:v>13.780000000000001</x:v>
      </x:c>
      <x:c r="G312" s="80" t="n">
        <x:f>E312*F312</x:f>
        <x:v>0</x:v>
      </x:c>
      <x:c r="H312" s="58" t="str">
        <x:v>Invoice</x:v>
      </x:c>
      <x:c r="I312" s="54"/>
      <x:c r="J312" s="54"/>
      <x:c r="K312" s="54"/>
      <x:c r="L312" s="54"/>
      <x:c r="M312" s="54"/>
      <x:c r="N312" s="54"/>
      <x:c r="O312" s="54"/>
      <x:c r="P312" s="54"/>
      <x:c r="Q312" s="54"/>
      <x:c r="R312" s="54"/>
      <x:c r="S312" s="54"/>
    </x:row>
    <x:row r="313" ht="23" customHeight="1">
      <x:c r="A313" s="60" t="str">
        <x:v>AC-0306</x:v>
      </x:c>
      <x:c r="B313" s="60" t="str">
        <x:v>AR03</x:v>
      </x:c>
      <x:c r="C313" s="60" t="n">
        <x:v>6</x:v>
      </x:c>
      <x:c r="D313" s="60" t="str">
        <x:v>BASE</x:v>
      </x:c>
      <x:c r="E313" s="82" t="n">
        <x:v>0</x:v>
      </x:c>
      <x:c r="F313" s="82" t="n">
        <x:v>13.780000000000001</x:v>
      </x:c>
      <x:c r="G313" s="83" t="n">
        <x:f>E313*F313</x:f>
        <x:v>0</x:v>
      </x:c>
      <x:c r="H313" s="60" t="str">
        <x:v>Invoice</x:v>
      </x:c>
      <x:c r="I313" s="54"/>
      <x:c r="J313" s="54"/>
      <x:c r="K313" s="54"/>
      <x:c r="L313" s="54"/>
      <x:c r="M313" s="54"/>
      <x:c r="N313" s="54"/>
      <x:c r="O313" s="54"/>
      <x:c r="P313" s="54"/>
      <x:c r="Q313" s="54"/>
      <x:c r="R313" s="54"/>
      <x:c r="S313" s="54"/>
    </x:row>
    <x:row r="314" ht="23" customHeight="1">
      <x:c r="A314" s="58" t="str">
        <x:v>AC-0307</x:v>
      </x:c>
      <x:c r="B314" s="58" t="str">
        <x:v>AR03</x:v>
      </x:c>
      <x:c r="C314" s="58" t="n">
        <x:v>7</x:v>
      </x:c>
      <x:c r="D314" s="58" t="str">
        <x:v>BASE</x:v>
      </x:c>
      <x:c r="E314" s="79" t="n">
        <x:v>0</x:v>
      </x:c>
      <x:c r="F314" s="79" t="n">
        <x:v>13.780000000000001</x:v>
      </x:c>
      <x:c r="G314" s="80" t="n">
        <x:f>E314*F314</x:f>
        <x:v>0</x:v>
      </x:c>
      <x:c r="H314" s="58" t="str">
        <x:v>Invoice</x:v>
      </x:c>
      <x:c r="I314" s="54"/>
      <x:c r="J314" s="54"/>
      <x:c r="K314" s="54"/>
      <x:c r="L314" s="54"/>
      <x:c r="M314" s="54"/>
      <x:c r="N314" s="54"/>
      <x:c r="O314" s="54"/>
      <x:c r="P314" s="54"/>
      <x:c r="Q314" s="54"/>
      <x:c r="R314" s="54"/>
      <x:c r="S314" s="54"/>
    </x:row>
    <x:row r="315" ht="23" customHeight="1">
      <x:c r="A315" s="60" t="str">
        <x:v>AC-0308</x:v>
      </x:c>
      <x:c r="B315" s="60" t="str">
        <x:v>AR03</x:v>
      </x:c>
      <x:c r="C315" s="60" t="n">
        <x:v>8</x:v>
      </x:c>
      <x:c r="D315" s="60" t="str">
        <x:v>BASE</x:v>
      </x:c>
      <x:c r="E315" s="82" t="n">
        <x:v>0</x:v>
      </x:c>
      <x:c r="F315" s="82" t="n">
        <x:v>13.780000000000001</x:v>
      </x:c>
      <x:c r="G315" s="83" t="n">
        <x:f>E315*F315</x:f>
        <x:v>0</x:v>
      </x:c>
      <x:c r="H315" s="60" t="str">
        <x:v>Invoice</x:v>
      </x:c>
      <x:c r="I315" s="54"/>
      <x:c r="J315" s="54"/>
      <x:c r="K315" s="54"/>
      <x:c r="L315" s="54"/>
      <x:c r="M315" s="54"/>
      <x:c r="N315" s="54"/>
      <x:c r="O315" s="54"/>
      <x:c r="P315" s="54"/>
      <x:c r="Q315" s="54"/>
      <x:c r="R315" s="54"/>
      <x:c r="S315" s="54"/>
    </x:row>
    <x:row r="316" ht="23" customHeight="1">
      <x:c r="A316" s="58" t="str">
        <x:v>AC-0309</x:v>
      </x:c>
      <x:c r="B316" s="58" t="str">
        <x:v>AR03</x:v>
      </x:c>
      <x:c r="C316" s="58" t="n">
        <x:v>9</x:v>
      </x:c>
      <x:c r="D316" s="58" t="str">
        <x:v>BASE</x:v>
      </x:c>
      <x:c r="E316" s="79" t="n">
        <x:v>0</x:v>
      </x:c>
      <x:c r="F316" s="79" t="n">
        <x:v>13.780000000000001</x:v>
      </x:c>
      <x:c r="G316" s="80" t="n">
        <x:f>E316*F316</x:f>
        <x:v>0</x:v>
      </x:c>
      <x:c r="H316" s="58" t="str">
        <x:v>Invoice</x:v>
      </x:c>
      <x:c r="I316" s="54"/>
      <x:c r="J316" s="54"/>
      <x:c r="K316" s="54"/>
      <x:c r="L316" s="54"/>
      <x:c r="M316" s="54"/>
      <x:c r="N316" s="54"/>
      <x:c r="O316" s="54"/>
      <x:c r="P316" s="54"/>
      <x:c r="Q316" s="54"/>
      <x:c r="R316" s="54"/>
      <x:c r="S316" s="54"/>
    </x:row>
    <x:row r="317" ht="23" customHeight="1">
      <x:c r="A317" s="60" t="str">
        <x:v>AC-0310</x:v>
      </x:c>
      <x:c r="B317" s="60" t="str">
        <x:v>AR03</x:v>
      </x:c>
      <x:c r="C317" s="60" t="n">
        <x:v>10</x:v>
      </x:c>
      <x:c r="D317" s="60" t="str">
        <x:v>BASE</x:v>
      </x:c>
      <x:c r="E317" s="82" t="n">
        <x:v>0</x:v>
      </x:c>
      <x:c r="F317" s="82" t="n">
        <x:v>13.780000000000001</x:v>
      </x:c>
      <x:c r="G317" s="83" t="n">
        <x:f>E317*F317</x:f>
        <x:v>0</x:v>
      </x:c>
      <x:c r="H317" s="60" t="str">
        <x:v>Invoice</x:v>
      </x:c>
      <x:c r="I317" s="54"/>
      <x:c r="J317" s="54"/>
      <x:c r="K317" s="54"/>
      <x:c r="L317" s="54"/>
      <x:c r="M317" s="54"/>
      <x:c r="N317" s="54"/>
      <x:c r="O317" s="54"/>
      <x:c r="P317" s="54"/>
      <x:c r="Q317" s="54"/>
      <x:c r="R317" s="54"/>
      <x:c r="S317" s="54"/>
    </x:row>
    <x:row r="318" ht="23" customHeight="1">
      <x:c r="A318" s="58" t="str">
        <x:v>AC-0311</x:v>
      </x:c>
      <x:c r="B318" s="58" t="str">
        <x:v>AR03</x:v>
      </x:c>
      <x:c r="C318" s="58" t="n">
        <x:v>11</x:v>
      </x:c>
      <x:c r="D318" s="58" t="str">
        <x:v>BASE</x:v>
      </x:c>
      <x:c r="E318" s="79" t="n">
        <x:v>0</x:v>
      </x:c>
      <x:c r="F318" s="79" t="n">
        <x:v>13.780000000000001</x:v>
      </x:c>
      <x:c r="G318" s="80" t="n">
        <x:f>E318*F318</x:f>
        <x:v>0</x:v>
      </x:c>
      <x:c r="H318" s="58" t="str">
        <x:v>Invoice</x:v>
      </x:c>
      <x:c r="I318" s="54"/>
      <x:c r="J318" s="54"/>
      <x:c r="K318" s="54"/>
      <x:c r="L318" s="54"/>
      <x:c r="M318" s="54"/>
      <x:c r="N318" s="54"/>
      <x:c r="O318" s="54"/>
      <x:c r="P318" s="54"/>
      <x:c r="Q318" s="54"/>
      <x:c r="R318" s="54"/>
      <x:c r="S318" s="54"/>
    </x:row>
    <x:row r="319" ht="23" customHeight="1">
      <x:c r="A319" s="60" t="str">
        <x:v>AC-0312</x:v>
      </x:c>
      <x:c r="B319" s="60" t="str">
        <x:v>AR03</x:v>
      </x:c>
      <x:c r="C319" s="60" t="n">
        <x:v>12</x:v>
      </x:c>
      <x:c r="D319" s="60" t="str">
        <x:v>BASE</x:v>
      </x:c>
      <x:c r="E319" s="82" t="n">
        <x:v>0</x:v>
      </x:c>
      <x:c r="F319" s="82" t="n">
        <x:v>13.780000000000001</x:v>
      </x:c>
      <x:c r="G319" s="83" t="n">
        <x:f>E319*F319</x:f>
        <x:v>0</x:v>
      </x:c>
      <x:c r="H319" s="60" t="str">
        <x:v>Invoice</x:v>
      </x:c>
      <x:c r="I319" s="54"/>
      <x:c r="J319" s="54"/>
      <x:c r="K319" s="54"/>
      <x:c r="L319" s="54"/>
      <x:c r="M319" s="54"/>
      <x:c r="N319" s="54"/>
      <x:c r="O319" s="54"/>
      <x:c r="P319" s="54"/>
      <x:c r="Q319" s="54"/>
      <x:c r="R319" s="54"/>
      <x:c r="S319" s="54"/>
    </x:row>
    <x:row r="320" ht="23" customHeight="1">
      <x:c r="A320" s="58" t="str">
        <x:v>AC-0313</x:v>
      </x:c>
      <x:c r="B320" s="58" t="str">
        <x:v>AR04</x:v>
      </x:c>
      <x:c r="C320" s="58" t="n">
        <x:v>1</x:v>
      </x:c>
      <x:c r="D320" s="58" t="str">
        <x:v>BASE</x:v>
      </x:c>
      <x:c r="E320" s="79" t="n">
        <x:v>0</x:v>
      </x:c>
      <x:c r="F320" s="79" t="n">
        <x:v>37.4325</x:v>
      </x:c>
      <x:c r="G320" s="80" t="n">
        <x:f>E320*F320</x:f>
        <x:v>0</x:v>
      </x:c>
      <x:c r="H320" s="58" t="str">
        <x:v>Invoice</x:v>
      </x:c>
      <x:c r="I320" s="54"/>
      <x:c r="J320" s="54"/>
      <x:c r="K320" s="54"/>
      <x:c r="L320" s="54"/>
      <x:c r="M320" s="54"/>
      <x:c r="N320" s="54"/>
      <x:c r="O320" s="54"/>
      <x:c r="P320" s="54"/>
      <x:c r="Q320" s="54"/>
      <x:c r="R320" s="54"/>
      <x:c r="S320" s="54"/>
    </x:row>
    <x:row r="321" ht="23" customHeight="1">
      <x:c r="A321" s="60" t="str">
        <x:v>AC-0314</x:v>
      </x:c>
      <x:c r="B321" s="60" t="str">
        <x:v>AR04</x:v>
      </x:c>
      <x:c r="C321" s="60" t="n">
        <x:v>2</x:v>
      </x:c>
      <x:c r="D321" s="60" t="str">
        <x:v>BASE</x:v>
      </x:c>
      <x:c r="E321" s="82" t="n">
        <x:v>0</x:v>
      </x:c>
      <x:c r="F321" s="82" t="n">
        <x:v>37.4325</x:v>
      </x:c>
      <x:c r="G321" s="83" t="n">
        <x:f>E321*F321</x:f>
        <x:v>0</x:v>
      </x:c>
      <x:c r="H321" s="60" t="str">
        <x:v>Invoice</x:v>
      </x:c>
      <x:c r="I321" s="54"/>
      <x:c r="J321" s="54"/>
      <x:c r="K321" s="54"/>
      <x:c r="L321" s="54"/>
      <x:c r="M321" s="54"/>
      <x:c r="N321" s="54"/>
      <x:c r="O321" s="54"/>
      <x:c r="P321" s="54"/>
      <x:c r="Q321" s="54"/>
      <x:c r="R321" s="54"/>
      <x:c r="S321" s="54"/>
    </x:row>
    <x:row r="322" ht="23" customHeight="1">
      <x:c r="A322" s="58" t="str">
        <x:v>AC-0315</x:v>
      </x:c>
      <x:c r="B322" s="58" t="str">
        <x:v>AR04</x:v>
      </x:c>
      <x:c r="C322" s="58" t="n">
        <x:v>3</x:v>
      </x:c>
      <x:c r="D322" s="58" t="str">
        <x:v>BASE</x:v>
      </x:c>
      <x:c r="E322" s="79" t="n">
        <x:v>0</x:v>
      </x:c>
      <x:c r="F322" s="79" t="n">
        <x:v>37.4325</x:v>
      </x:c>
      <x:c r="G322" s="80" t="n">
        <x:f>E322*F322</x:f>
        <x:v>0</x:v>
      </x:c>
      <x:c r="H322" s="58" t="str">
        <x:v>Invoice</x:v>
      </x:c>
      <x:c r="I322" s="54"/>
      <x:c r="J322" s="54"/>
      <x:c r="K322" s="54"/>
      <x:c r="L322" s="54"/>
      <x:c r="M322" s="54"/>
      <x:c r="N322" s="54"/>
      <x:c r="O322" s="54"/>
      <x:c r="P322" s="54"/>
      <x:c r="Q322" s="54"/>
      <x:c r="R322" s="54"/>
      <x:c r="S322" s="54"/>
    </x:row>
    <x:row r="323" ht="23" customHeight="1">
      <x:c r="A323" s="60" t="str">
        <x:v>AC-0316</x:v>
      </x:c>
      <x:c r="B323" s="60" t="str">
        <x:v>AR04</x:v>
      </x:c>
      <x:c r="C323" s="60" t="n">
        <x:v>4</x:v>
      </x:c>
      <x:c r="D323" s="60" t="str">
        <x:v>BASE</x:v>
      </x:c>
      <x:c r="E323" s="82" t="n">
        <x:v>0</x:v>
      </x:c>
      <x:c r="F323" s="82" t="n">
        <x:v>37.4325</x:v>
      </x:c>
      <x:c r="G323" s="83" t="n">
        <x:f>E323*F323</x:f>
        <x:v>0</x:v>
      </x:c>
      <x:c r="H323" s="60" t="str">
        <x:v>Invoice</x:v>
      </x:c>
      <x:c r="I323" s="54"/>
      <x:c r="J323" s="54"/>
      <x:c r="K323" s="54"/>
      <x:c r="L323" s="54"/>
      <x:c r="M323" s="54"/>
      <x:c r="N323" s="54"/>
      <x:c r="O323" s="54"/>
      <x:c r="P323" s="54"/>
      <x:c r="Q323" s="54"/>
      <x:c r="R323" s="54"/>
      <x:c r="S323" s="54"/>
    </x:row>
    <x:row r="324" ht="23" customHeight="1">
      <x:c r="A324" s="58" t="str">
        <x:v>AC-0317</x:v>
      </x:c>
      <x:c r="B324" s="58" t="str">
        <x:v>AR04</x:v>
      </x:c>
      <x:c r="C324" s="58" t="n">
        <x:v>5</x:v>
      </x:c>
      <x:c r="D324" s="58" t="str">
        <x:v>BASE</x:v>
      </x:c>
      <x:c r="E324" s="79" t="n">
        <x:v>0</x:v>
      </x:c>
      <x:c r="F324" s="79" t="n">
        <x:v>37.4325</x:v>
      </x:c>
      <x:c r="G324" s="80" t="n">
        <x:f>E324*F324</x:f>
        <x:v>0</x:v>
      </x:c>
      <x:c r="H324" s="58" t="str">
        <x:v>Invoice</x:v>
      </x:c>
      <x:c r="I324" s="54"/>
      <x:c r="J324" s="54"/>
      <x:c r="K324" s="54"/>
      <x:c r="L324" s="54"/>
      <x:c r="M324" s="54"/>
      <x:c r="N324" s="54"/>
      <x:c r="O324" s="54"/>
      <x:c r="P324" s="54"/>
      <x:c r="Q324" s="54"/>
      <x:c r="R324" s="54"/>
      <x:c r="S324" s="54"/>
    </x:row>
    <x:row r="325" ht="23" customHeight="1">
      <x:c r="A325" s="60" t="str">
        <x:v>AC-0318</x:v>
      </x:c>
      <x:c r="B325" s="60" t="str">
        <x:v>AR04</x:v>
      </x:c>
      <x:c r="C325" s="60" t="n">
        <x:v>6</x:v>
      </x:c>
      <x:c r="D325" s="60" t="str">
        <x:v>BASE</x:v>
      </x:c>
      <x:c r="E325" s="82" t="n">
        <x:v>0</x:v>
      </x:c>
      <x:c r="F325" s="82" t="n">
        <x:v>37.4325</x:v>
      </x:c>
      <x:c r="G325" s="83" t="n">
        <x:f>E325*F325</x:f>
        <x:v>0</x:v>
      </x:c>
      <x:c r="H325" s="60" t="str">
        <x:v>Invoice</x:v>
      </x:c>
      <x:c r="I325" s="54"/>
      <x:c r="J325" s="54"/>
      <x:c r="K325" s="54"/>
      <x:c r="L325" s="54"/>
      <x:c r="M325" s="54"/>
      <x:c r="N325" s="54"/>
      <x:c r="O325" s="54"/>
      <x:c r="P325" s="54"/>
      <x:c r="Q325" s="54"/>
      <x:c r="R325" s="54"/>
      <x:c r="S325" s="54"/>
    </x:row>
    <x:row r="326" ht="23" customHeight="1">
      <x:c r="A326" s="58" t="str">
        <x:v>AC-0319</x:v>
      </x:c>
      <x:c r="B326" s="58" t="str">
        <x:v>AR04</x:v>
      </x:c>
      <x:c r="C326" s="58" t="n">
        <x:v>7</x:v>
      </x:c>
      <x:c r="D326" s="58" t="str">
        <x:v>BASE</x:v>
      </x:c>
      <x:c r="E326" s="79" t="n">
        <x:v>0</x:v>
      </x:c>
      <x:c r="F326" s="79" t="n">
        <x:v>37.4325</x:v>
      </x:c>
      <x:c r="G326" s="80" t="n">
        <x:f>E326*F326</x:f>
        <x:v>0</x:v>
      </x:c>
      <x:c r="H326" s="58" t="str">
        <x:v>Invoice</x:v>
      </x:c>
      <x:c r="I326" s="54"/>
      <x:c r="J326" s="54"/>
      <x:c r="K326" s="54"/>
      <x:c r="L326" s="54"/>
      <x:c r="M326" s="54"/>
      <x:c r="N326" s="54"/>
      <x:c r="O326" s="54"/>
      <x:c r="P326" s="54"/>
      <x:c r="Q326" s="54"/>
      <x:c r="R326" s="54"/>
      <x:c r="S326" s="54"/>
    </x:row>
    <x:row r="327" ht="23" customHeight="1">
      <x:c r="A327" s="60" t="str">
        <x:v>AC-0320</x:v>
      </x:c>
      <x:c r="B327" s="60" t="str">
        <x:v>AR04</x:v>
      </x:c>
      <x:c r="C327" s="60" t="n">
        <x:v>8</x:v>
      </x:c>
      <x:c r="D327" s="60" t="str">
        <x:v>BASE</x:v>
      </x:c>
      <x:c r="E327" s="82" t="n">
        <x:v>0</x:v>
      </x:c>
      <x:c r="F327" s="82" t="n">
        <x:v>37.4325</x:v>
      </x:c>
      <x:c r="G327" s="83" t="n">
        <x:f>E327*F327</x:f>
        <x:v>0</x:v>
      </x:c>
      <x:c r="H327" s="60" t="str">
        <x:v>Invoice</x:v>
      </x:c>
      <x:c r="I327" s="54"/>
      <x:c r="J327" s="54"/>
      <x:c r="K327" s="54"/>
      <x:c r="L327" s="54"/>
      <x:c r="M327" s="54"/>
      <x:c r="N327" s="54"/>
      <x:c r="O327" s="54"/>
      <x:c r="P327" s="54"/>
      <x:c r="Q327" s="54"/>
      <x:c r="R327" s="54"/>
      <x:c r="S327" s="54"/>
    </x:row>
    <x:row r="328" ht="23" customHeight="1">
      <x:c r="A328" s="58" t="str">
        <x:v>AC-0321</x:v>
      </x:c>
      <x:c r="B328" s="58" t="str">
        <x:v>AR04</x:v>
      </x:c>
      <x:c r="C328" s="58" t="n">
        <x:v>9</x:v>
      </x:c>
      <x:c r="D328" s="58" t="str">
        <x:v>BASE</x:v>
      </x:c>
      <x:c r="E328" s="79" t="n">
        <x:v>0</x:v>
      </x:c>
      <x:c r="F328" s="79" t="n">
        <x:v>37.4325</x:v>
      </x:c>
      <x:c r="G328" s="80" t="n">
        <x:f>E328*F328</x:f>
        <x:v>0</x:v>
      </x:c>
      <x:c r="H328" s="58" t="str">
        <x:v>Invoice</x:v>
      </x:c>
      <x:c r="I328" s="54"/>
      <x:c r="J328" s="54"/>
      <x:c r="K328" s="54"/>
      <x:c r="L328" s="54"/>
      <x:c r="M328" s="54"/>
      <x:c r="N328" s="54"/>
      <x:c r="O328" s="54"/>
      <x:c r="P328" s="54"/>
      <x:c r="Q328" s="54"/>
      <x:c r="R328" s="54"/>
      <x:c r="S328" s="54"/>
    </x:row>
    <x:row r="329" ht="23" customHeight="1">
      <x:c r="A329" s="60" t="str">
        <x:v>AC-0322</x:v>
      </x:c>
      <x:c r="B329" s="60" t="str">
        <x:v>AR04</x:v>
      </x:c>
      <x:c r="C329" s="60" t="n">
        <x:v>10</x:v>
      </x:c>
      <x:c r="D329" s="60" t="str">
        <x:v>BASE</x:v>
      </x:c>
      <x:c r="E329" s="82" t="n">
        <x:v>0</x:v>
      </x:c>
      <x:c r="F329" s="82" t="n">
        <x:v>37.4325</x:v>
      </x:c>
      <x:c r="G329" s="83" t="n">
        <x:f>E329*F329</x:f>
        <x:v>0</x:v>
      </x:c>
      <x:c r="H329" s="60" t="str">
        <x:v>Invoice</x:v>
      </x:c>
      <x:c r="I329" s="54"/>
      <x:c r="J329" s="54"/>
      <x:c r="K329" s="54"/>
      <x:c r="L329" s="54"/>
      <x:c r="M329" s="54"/>
      <x:c r="N329" s="54"/>
      <x:c r="O329" s="54"/>
      <x:c r="P329" s="54"/>
      <x:c r="Q329" s="54"/>
      <x:c r="R329" s="54"/>
      <x:c r="S329" s="54"/>
    </x:row>
    <x:row r="330" ht="23" customHeight="1">
      <x:c r="A330" s="58" t="str">
        <x:v>AC-0323</x:v>
      </x:c>
      <x:c r="B330" s="58" t="str">
        <x:v>AR04</x:v>
      </x:c>
      <x:c r="C330" s="58" t="n">
        <x:v>11</x:v>
      </x:c>
      <x:c r="D330" s="58" t="str">
        <x:v>BASE</x:v>
      </x:c>
      <x:c r="E330" s="79" t="n">
        <x:v>0</x:v>
      </x:c>
      <x:c r="F330" s="79" t="n">
        <x:v>37.4325</x:v>
      </x:c>
      <x:c r="G330" s="80" t="n">
        <x:f>E330*F330</x:f>
        <x:v>0</x:v>
      </x:c>
      <x:c r="H330" s="58" t="str">
        <x:v>Invoice</x:v>
      </x:c>
      <x:c r="I330" s="54"/>
      <x:c r="J330" s="54"/>
      <x:c r="K330" s="54"/>
      <x:c r="L330" s="54"/>
      <x:c r="M330" s="54"/>
      <x:c r="N330" s="54"/>
      <x:c r="O330" s="54"/>
      <x:c r="P330" s="54"/>
      <x:c r="Q330" s="54"/>
      <x:c r="R330" s="54"/>
      <x:c r="S330" s="54"/>
    </x:row>
    <x:row r="331" ht="23" customHeight="1">
      <x:c r="A331" s="60" t="str">
        <x:v>AC-0324</x:v>
      </x:c>
      <x:c r="B331" s="60" t="str">
        <x:v>AR04</x:v>
      </x:c>
      <x:c r="C331" s="60" t="n">
        <x:v>12</x:v>
      </x:c>
      <x:c r="D331" s="60" t="str">
        <x:v>BASE</x:v>
      </x:c>
      <x:c r="E331" s="82" t="n">
        <x:v>0</x:v>
      </x:c>
      <x:c r="F331" s="82" t="n">
        <x:v>37.4325</x:v>
      </x:c>
      <x:c r="G331" s="83" t="n">
        <x:f>E331*F331</x:f>
        <x:v>0</x:v>
      </x:c>
      <x:c r="H331" s="60" t="str">
        <x:v>Invoice</x:v>
      </x:c>
      <x:c r="I331" s="54"/>
      <x:c r="J331" s="54"/>
      <x:c r="K331" s="54"/>
      <x:c r="L331" s="54"/>
      <x:c r="M331" s="54"/>
      <x:c r="N331" s="54"/>
      <x:c r="O331" s="54"/>
      <x:c r="P331" s="54"/>
      <x:c r="Q331" s="54"/>
      <x:c r="R331" s="54"/>
      <x:c r="S331" s="54"/>
    </x:row>
    <x:row r="332" ht="23" customHeight="1">
      <x:c r="A332" s="58" t="str">
        <x:v>AC-0325</x:v>
      </x:c>
      <x:c r="B332" s="58" t="str">
        <x:v>AR05</x:v>
      </x:c>
      <x:c r="C332" s="58" t="n">
        <x:v>1</x:v>
      </x:c>
      <x:c r="D332" s="58" t="str">
        <x:v>BASE</x:v>
      </x:c>
      <x:c r="E332" s="79" t="n">
        <x:v>0</x:v>
      </x:c>
      <x:c r="F332" s="79" t="n">
        <x:v>9.434999999999999</x:v>
      </x:c>
      <x:c r="G332" s="80" t="n">
        <x:f>E332*F332</x:f>
        <x:v>0</x:v>
      </x:c>
      <x:c r="H332" s="58" t="str">
        <x:v>Accrual</x:v>
      </x:c>
      <x:c r="I332" s="54"/>
      <x:c r="J332" s="54"/>
      <x:c r="K332" s="54"/>
      <x:c r="L332" s="54"/>
      <x:c r="M332" s="54"/>
      <x:c r="N332" s="54"/>
      <x:c r="O332" s="54"/>
      <x:c r="P332" s="54"/>
      <x:c r="Q332" s="54"/>
      <x:c r="R332" s="54"/>
      <x:c r="S332" s="54"/>
    </x:row>
    <x:row r="333" ht="23" customHeight="1">
      <x:c r="A333" s="60" t="str">
        <x:v>AC-0326</x:v>
      </x:c>
      <x:c r="B333" s="60" t="str">
        <x:v>AR05</x:v>
      </x:c>
      <x:c r="C333" s="60" t="n">
        <x:v>2</x:v>
      </x:c>
      <x:c r="D333" s="60" t="str">
        <x:v>BASE</x:v>
      </x:c>
      <x:c r="E333" s="82" t="n">
        <x:v>0</x:v>
      </x:c>
      <x:c r="F333" s="82" t="n">
        <x:v>9.434999999999999</x:v>
      </x:c>
      <x:c r="G333" s="83" t="n">
        <x:f>E333*F333</x:f>
        <x:v>0</x:v>
      </x:c>
      <x:c r="H333" s="60" t="str">
        <x:v>Accrual</x:v>
      </x:c>
      <x:c r="I333" s="54"/>
      <x:c r="J333" s="54"/>
      <x:c r="K333" s="54"/>
      <x:c r="L333" s="54"/>
      <x:c r="M333" s="54"/>
      <x:c r="N333" s="54"/>
      <x:c r="O333" s="54"/>
      <x:c r="P333" s="54"/>
      <x:c r="Q333" s="54"/>
      <x:c r="R333" s="54"/>
      <x:c r="S333" s="54"/>
    </x:row>
    <x:row r="334" ht="23" customHeight="1">
      <x:c r="A334" s="58" t="str">
        <x:v>AC-0327</x:v>
      </x:c>
      <x:c r="B334" s="58" t="str">
        <x:v>AR05</x:v>
      </x:c>
      <x:c r="C334" s="58" t="n">
        <x:v>3</x:v>
      </x:c>
      <x:c r="D334" s="58" t="str">
        <x:v>BASE</x:v>
      </x:c>
      <x:c r="E334" s="79" t="n">
        <x:v>0</x:v>
      </x:c>
      <x:c r="F334" s="79" t="n">
        <x:v>9.434999999999999</x:v>
      </x:c>
      <x:c r="G334" s="80" t="n">
        <x:f>E334*F334</x:f>
        <x:v>0</x:v>
      </x:c>
      <x:c r="H334" s="58" t="str">
        <x:v>Accrual</x:v>
      </x:c>
      <x:c r="I334" s="54"/>
      <x:c r="J334" s="54"/>
      <x:c r="K334" s="54"/>
      <x:c r="L334" s="54"/>
      <x:c r="M334" s="54"/>
      <x:c r="N334" s="54"/>
      <x:c r="O334" s="54"/>
      <x:c r="P334" s="54"/>
      <x:c r="Q334" s="54"/>
      <x:c r="R334" s="54"/>
      <x:c r="S334" s="54"/>
    </x:row>
    <x:row r="335" ht="23" customHeight="1">
      <x:c r="A335" s="60" t="str">
        <x:v>AC-0328</x:v>
      </x:c>
      <x:c r="B335" s="60" t="str">
        <x:v>AR05</x:v>
      </x:c>
      <x:c r="C335" s="60" t="n">
        <x:v>4</x:v>
      </x:c>
      <x:c r="D335" s="60" t="str">
        <x:v>BASE</x:v>
      </x:c>
      <x:c r="E335" s="82" t="n">
        <x:v>0</x:v>
      </x:c>
      <x:c r="F335" s="82" t="n">
        <x:v>9.434999999999999</x:v>
      </x:c>
      <x:c r="G335" s="83" t="n">
        <x:f>E335*F335</x:f>
        <x:v>0</x:v>
      </x:c>
      <x:c r="H335" s="60" t="str">
        <x:v>Accrual</x:v>
      </x:c>
      <x:c r="I335" s="54"/>
      <x:c r="J335" s="54"/>
      <x:c r="K335" s="54"/>
      <x:c r="L335" s="54"/>
      <x:c r="M335" s="54"/>
      <x:c r="N335" s="54"/>
      <x:c r="O335" s="54"/>
      <x:c r="P335" s="54"/>
      <x:c r="Q335" s="54"/>
      <x:c r="R335" s="54"/>
      <x:c r="S335" s="54"/>
    </x:row>
    <x:row r="336" ht="23" customHeight="1">
      <x:c r="A336" s="58" t="str">
        <x:v>AC-0329</x:v>
      </x:c>
      <x:c r="B336" s="58" t="str">
        <x:v>AR05</x:v>
      </x:c>
      <x:c r="C336" s="58" t="n">
        <x:v>5</x:v>
      </x:c>
      <x:c r="D336" s="58" t="str">
        <x:v>BASE</x:v>
      </x:c>
      <x:c r="E336" s="79" t="n">
        <x:v>0</x:v>
      </x:c>
      <x:c r="F336" s="79" t="n">
        <x:v>9.434999999999999</x:v>
      </x:c>
      <x:c r="G336" s="80" t="n">
        <x:f>E336*F336</x:f>
        <x:v>0</x:v>
      </x:c>
      <x:c r="H336" s="58" t="str">
        <x:v>Accrual</x:v>
      </x:c>
      <x:c r="I336" s="54"/>
      <x:c r="J336" s="54"/>
      <x:c r="K336" s="54"/>
      <x:c r="L336" s="54"/>
      <x:c r="M336" s="54"/>
      <x:c r="N336" s="54"/>
      <x:c r="O336" s="54"/>
      <x:c r="P336" s="54"/>
      <x:c r="Q336" s="54"/>
      <x:c r="R336" s="54"/>
      <x:c r="S336" s="54"/>
    </x:row>
    <x:row r="337" ht="23" customHeight="1">
      <x:c r="A337" s="60" t="str">
        <x:v>AC-0330</x:v>
      </x:c>
      <x:c r="B337" s="60" t="str">
        <x:v>AR05</x:v>
      </x:c>
      <x:c r="C337" s="60" t="n">
        <x:v>6</x:v>
      </x:c>
      <x:c r="D337" s="60" t="str">
        <x:v>BASE</x:v>
      </x:c>
      <x:c r="E337" s="82" t="n">
        <x:v>0</x:v>
      </x:c>
      <x:c r="F337" s="82" t="n">
        <x:v>9.434999999999999</x:v>
      </x:c>
      <x:c r="G337" s="83" t="n">
        <x:f>E337*F337</x:f>
        <x:v>0</x:v>
      </x:c>
      <x:c r="H337" s="60" t="str">
        <x:v>Accrual</x:v>
      </x:c>
      <x:c r="I337" s="54"/>
      <x:c r="J337" s="54"/>
      <x:c r="K337" s="54"/>
      <x:c r="L337" s="54"/>
      <x:c r="M337" s="54"/>
      <x:c r="N337" s="54"/>
      <x:c r="O337" s="54"/>
      <x:c r="P337" s="54"/>
      <x:c r="Q337" s="54"/>
      <x:c r="R337" s="54"/>
      <x:c r="S337" s="54"/>
    </x:row>
    <x:row r="338" ht="23" customHeight="1">
      <x:c r="A338" s="58" t="str">
        <x:v>AC-0331</x:v>
      </x:c>
      <x:c r="B338" s="58" t="str">
        <x:v>AR05</x:v>
      </x:c>
      <x:c r="C338" s="58" t="n">
        <x:v>7</x:v>
      </x:c>
      <x:c r="D338" s="58" t="str">
        <x:v>BASE</x:v>
      </x:c>
      <x:c r="E338" s="79" t="n">
        <x:v>0</x:v>
      </x:c>
      <x:c r="F338" s="79" t="n">
        <x:v>9.434999999999999</x:v>
      </x:c>
      <x:c r="G338" s="80" t="n">
        <x:f>E338*F338</x:f>
        <x:v>0</x:v>
      </x:c>
      <x:c r="H338" s="58" t="str">
        <x:v>Accrual</x:v>
      </x:c>
      <x:c r="I338" s="54"/>
      <x:c r="J338" s="54"/>
      <x:c r="K338" s="54"/>
      <x:c r="L338" s="54"/>
      <x:c r="M338" s="54"/>
      <x:c r="N338" s="54"/>
      <x:c r="O338" s="54"/>
      <x:c r="P338" s="54"/>
      <x:c r="Q338" s="54"/>
      <x:c r="R338" s="54"/>
      <x:c r="S338" s="54"/>
    </x:row>
    <x:row r="339" ht="23" customHeight="1">
      <x:c r="A339" s="60" t="str">
        <x:v>AC-0332</x:v>
      </x:c>
      <x:c r="B339" s="60" t="str">
        <x:v>AR05</x:v>
      </x:c>
      <x:c r="C339" s="60" t="n">
        <x:v>8</x:v>
      </x:c>
      <x:c r="D339" s="60" t="str">
        <x:v>BASE</x:v>
      </x:c>
      <x:c r="E339" s="82" t="n">
        <x:v>0</x:v>
      </x:c>
      <x:c r="F339" s="82" t="n">
        <x:v>9.434999999999999</x:v>
      </x:c>
      <x:c r="G339" s="83" t="n">
        <x:f>E339*F339</x:f>
        <x:v>0</x:v>
      </x:c>
      <x:c r="H339" s="60" t="str">
        <x:v>Accrual</x:v>
      </x:c>
      <x:c r="I339" s="54"/>
      <x:c r="J339" s="54"/>
      <x:c r="K339" s="54"/>
      <x:c r="L339" s="54"/>
      <x:c r="M339" s="54"/>
      <x:c r="N339" s="54"/>
      <x:c r="O339" s="54"/>
      <x:c r="P339" s="54"/>
      <x:c r="Q339" s="54"/>
      <x:c r="R339" s="54"/>
      <x:c r="S339" s="54"/>
    </x:row>
    <x:row r="340" ht="23" customHeight="1">
      <x:c r="A340" s="58" t="str">
        <x:v>AC-0333</x:v>
      </x:c>
      <x:c r="B340" s="58" t="str">
        <x:v>AR05</x:v>
      </x:c>
      <x:c r="C340" s="58" t="n">
        <x:v>9</x:v>
      </x:c>
      <x:c r="D340" s="58" t="str">
        <x:v>BASE</x:v>
      </x:c>
      <x:c r="E340" s="79" t="n">
        <x:v>0</x:v>
      </x:c>
      <x:c r="F340" s="79" t="n">
        <x:v>9.434999999999999</x:v>
      </x:c>
      <x:c r="G340" s="80" t="n">
        <x:f>E340*F340</x:f>
        <x:v>0</x:v>
      </x:c>
      <x:c r="H340" s="58" t="str">
        <x:v>Accrual</x:v>
      </x:c>
      <x:c r="I340" s="54"/>
      <x:c r="J340" s="54"/>
      <x:c r="K340" s="54"/>
      <x:c r="L340" s="54"/>
      <x:c r="M340" s="54"/>
      <x:c r="N340" s="54"/>
      <x:c r="O340" s="54"/>
      <x:c r="P340" s="54"/>
      <x:c r="Q340" s="54"/>
      <x:c r="R340" s="54"/>
      <x:c r="S340" s="54"/>
    </x:row>
    <x:row r="341" ht="23" customHeight="1">
      <x:c r="A341" s="60" t="str">
        <x:v>AC-0334</x:v>
      </x:c>
      <x:c r="B341" s="60" t="str">
        <x:v>AR05</x:v>
      </x:c>
      <x:c r="C341" s="60" t="n">
        <x:v>10</x:v>
      </x:c>
      <x:c r="D341" s="60" t="str">
        <x:v>BASE</x:v>
      </x:c>
      <x:c r="E341" s="82" t="n">
        <x:v>0</x:v>
      </x:c>
      <x:c r="F341" s="82" t="n">
        <x:v>9.434999999999999</x:v>
      </x:c>
      <x:c r="G341" s="83" t="n">
        <x:f>E341*F341</x:f>
        <x:v>0</x:v>
      </x:c>
      <x:c r="H341" s="60" t="str">
        <x:v>Accrual</x:v>
      </x:c>
      <x:c r="I341" s="54"/>
      <x:c r="J341" s="54"/>
      <x:c r="K341" s="54"/>
      <x:c r="L341" s="54"/>
      <x:c r="M341" s="54"/>
      <x:c r="N341" s="54"/>
      <x:c r="O341" s="54"/>
      <x:c r="P341" s="54"/>
      <x:c r="Q341" s="54"/>
      <x:c r="R341" s="54"/>
      <x:c r="S341" s="54"/>
    </x:row>
    <x:row r="342" ht="23" customHeight="1">
      <x:c r="A342" s="58" t="str">
        <x:v>AC-0335</x:v>
      </x:c>
      <x:c r="B342" s="58" t="str">
        <x:v>AR05</x:v>
      </x:c>
      <x:c r="C342" s="58" t="n">
        <x:v>11</x:v>
      </x:c>
      <x:c r="D342" s="58" t="str">
        <x:v>BASE</x:v>
      </x:c>
      <x:c r="E342" s="79" t="n">
        <x:v>0</x:v>
      </x:c>
      <x:c r="F342" s="79" t="n">
        <x:v>9.434999999999999</x:v>
      </x:c>
      <x:c r="G342" s="80" t="n">
        <x:f>E342*F342</x:f>
        <x:v>0</x:v>
      </x:c>
      <x:c r="H342" s="58" t="str">
        <x:v>Accrual</x:v>
      </x:c>
      <x:c r="I342" s="54"/>
      <x:c r="J342" s="54"/>
      <x:c r="K342" s="54"/>
      <x:c r="L342" s="54"/>
      <x:c r="M342" s="54"/>
      <x:c r="N342" s="54"/>
      <x:c r="O342" s="54"/>
      <x:c r="P342" s="54"/>
      <x:c r="Q342" s="54"/>
      <x:c r="R342" s="54"/>
      <x:c r="S342" s="54"/>
    </x:row>
    <x:row r="343" ht="23" customHeight="1">
      <x:c r="A343" s="60" t="str">
        <x:v>AC-0336</x:v>
      </x:c>
      <x:c r="B343" s="60" t="str">
        <x:v>AR05</x:v>
      </x:c>
      <x:c r="C343" s="60" t="n">
        <x:v>12</x:v>
      </x:c>
      <x:c r="D343" s="60" t="str">
        <x:v>BASE</x:v>
      </x:c>
      <x:c r="E343" s="82" t="n">
        <x:v>0</x:v>
      </x:c>
      <x:c r="F343" s="82" t="n">
        <x:v>9.434999999999999</x:v>
      </x:c>
      <x:c r="G343" s="83" t="n">
        <x:f>E343*F343</x:f>
        <x:v>0</x:v>
      </x:c>
      <x:c r="H343" s="60" t="str">
        <x:v>Accrual</x:v>
      </x:c>
      <x:c r="I343" s="54"/>
      <x:c r="J343" s="54"/>
      <x:c r="K343" s="54"/>
      <x:c r="L343" s="54"/>
      <x:c r="M343" s="54"/>
      <x:c r="N343" s="54"/>
      <x:c r="O343" s="54"/>
      <x:c r="P343" s="54"/>
      <x:c r="Q343" s="54"/>
      <x:c r="R343" s="54"/>
      <x:c r="S343" s="54"/>
    </x:row>
    <x:row r="344" ht="23" customHeight="1">
      <x:c r="A344" s="58" t="str">
        <x:v>AC-0337</x:v>
      </x:c>
      <x:c r="B344" s="58" t="str">
        <x:v>AR06</x:v>
      </x:c>
      <x:c r="C344" s="58" t="n">
        <x:v>1</x:v>
      </x:c>
      <x:c r="D344" s="58" t="str">
        <x:v>BASE</x:v>
      </x:c>
      <x:c r="E344" s="79" t="n">
        <x:v>0</x:v>
      </x:c>
      <x:c r="F344" s="79" t="n">
        <x:v>198.72</x:v>
      </x:c>
      <x:c r="G344" s="80" t="n">
        <x:f>E344*F344</x:f>
        <x:v>0</x:v>
      </x:c>
      <x:c r="H344" s="58" t="str">
        <x:v>Invoice</x:v>
      </x:c>
      <x:c r="I344" s="54"/>
      <x:c r="J344" s="54"/>
      <x:c r="K344" s="54"/>
      <x:c r="L344" s="54"/>
      <x:c r="M344" s="54"/>
      <x:c r="N344" s="54"/>
      <x:c r="O344" s="54"/>
      <x:c r="P344" s="54"/>
      <x:c r="Q344" s="54"/>
      <x:c r="R344" s="54"/>
      <x:c r="S344" s="54"/>
    </x:row>
    <x:row r="345" ht="23" customHeight="1">
      <x:c r="A345" s="60" t="str">
        <x:v>AC-0338</x:v>
      </x:c>
      <x:c r="B345" s="60" t="str">
        <x:v>AR06</x:v>
      </x:c>
      <x:c r="C345" s="60" t="n">
        <x:v>2</x:v>
      </x:c>
      <x:c r="D345" s="60" t="str">
        <x:v>BASE</x:v>
      </x:c>
      <x:c r="E345" s="82" t="n">
        <x:v>0</x:v>
      </x:c>
      <x:c r="F345" s="82" t="n">
        <x:v>198.72</x:v>
      </x:c>
      <x:c r="G345" s="83" t="n">
        <x:f>E345*F345</x:f>
        <x:v>0</x:v>
      </x:c>
      <x:c r="H345" s="60" t="str">
        <x:v>Invoice</x:v>
      </x:c>
      <x:c r="I345" s="54"/>
      <x:c r="J345" s="54"/>
      <x:c r="K345" s="54"/>
      <x:c r="L345" s="54"/>
      <x:c r="M345" s="54"/>
      <x:c r="N345" s="54"/>
      <x:c r="O345" s="54"/>
      <x:c r="P345" s="54"/>
      <x:c r="Q345" s="54"/>
      <x:c r="R345" s="54"/>
      <x:c r="S345" s="54"/>
    </x:row>
    <x:row r="346" ht="23" customHeight="1">
      <x:c r="A346" s="58" t="str">
        <x:v>AC-0339</x:v>
      </x:c>
      <x:c r="B346" s="58" t="str">
        <x:v>AR06</x:v>
      </x:c>
      <x:c r="C346" s="58" t="n">
        <x:v>3</x:v>
      </x:c>
      <x:c r="D346" s="58" t="str">
        <x:v>BASE</x:v>
      </x:c>
      <x:c r="E346" s="79" t="n">
        <x:v>0</x:v>
      </x:c>
      <x:c r="F346" s="79" t="n">
        <x:v>198.72</x:v>
      </x:c>
      <x:c r="G346" s="80" t="n">
        <x:f>E346*F346</x:f>
        <x:v>0</x:v>
      </x:c>
      <x:c r="H346" s="58" t="str">
        <x:v>Invoice</x:v>
      </x:c>
      <x:c r="I346" s="54"/>
      <x:c r="J346" s="54"/>
      <x:c r="K346" s="54"/>
      <x:c r="L346" s="54"/>
      <x:c r="M346" s="54"/>
      <x:c r="N346" s="54"/>
      <x:c r="O346" s="54"/>
      <x:c r="P346" s="54"/>
      <x:c r="Q346" s="54"/>
      <x:c r="R346" s="54"/>
      <x:c r="S346" s="54"/>
    </x:row>
    <x:row r="347" ht="23" customHeight="1">
      <x:c r="A347" s="60" t="str">
        <x:v>AC-0340</x:v>
      </x:c>
      <x:c r="B347" s="60" t="str">
        <x:v>AR06</x:v>
      </x:c>
      <x:c r="C347" s="60" t="n">
        <x:v>4</x:v>
      </x:c>
      <x:c r="D347" s="60" t="str">
        <x:v>BASE</x:v>
      </x:c>
      <x:c r="E347" s="82" t="n">
        <x:v>0</x:v>
      </x:c>
      <x:c r="F347" s="82" t="n">
        <x:v>198.72</x:v>
      </x:c>
      <x:c r="G347" s="83" t="n">
        <x:f>E347*F347</x:f>
        <x:v>0</x:v>
      </x:c>
      <x:c r="H347" s="60" t="str">
        <x:v>Invoice</x:v>
      </x:c>
      <x:c r="I347" s="54"/>
      <x:c r="J347" s="54"/>
      <x:c r="K347" s="54"/>
      <x:c r="L347" s="54"/>
      <x:c r="M347" s="54"/>
      <x:c r="N347" s="54"/>
      <x:c r="O347" s="54"/>
      <x:c r="P347" s="54"/>
      <x:c r="Q347" s="54"/>
      <x:c r="R347" s="54"/>
      <x:c r="S347" s="54"/>
    </x:row>
    <x:row r="348" ht="23" customHeight="1">
      <x:c r="A348" s="58" t="str">
        <x:v>AC-0341</x:v>
      </x:c>
      <x:c r="B348" s="58" t="str">
        <x:v>AR06</x:v>
      </x:c>
      <x:c r="C348" s="58" t="n">
        <x:v>5</x:v>
      </x:c>
      <x:c r="D348" s="58" t="str">
        <x:v>BASE</x:v>
      </x:c>
      <x:c r="E348" s="79" t="n">
        <x:v>0</x:v>
      </x:c>
      <x:c r="F348" s="79" t="n">
        <x:v>198.72</x:v>
      </x:c>
      <x:c r="G348" s="80" t="n">
        <x:f>E348*F348</x:f>
        <x:v>0</x:v>
      </x:c>
      <x:c r="H348" s="58" t="str">
        <x:v>Invoice</x:v>
      </x:c>
      <x:c r="I348" s="54"/>
      <x:c r="J348" s="54"/>
      <x:c r="K348" s="54"/>
      <x:c r="L348" s="54"/>
      <x:c r="M348" s="54"/>
      <x:c r="N348" s="54"/>
      <x:c r="O348" s="54"/>
      <x:c r="P348" s="54"/>
      <x:c r="Q348" s="54"/>
      <x:c r="R348" s="54"/>
      <x:c r="S348" s="54"/>
    </x:row>
    <x:row r="349" ht="23" customHeight="1">
      <x:c r="A349" s="60" t="str">
        <x:v>AC-0342</x:v>
      </x:c>
      <x:c r="B349" s="60" t="str">
        <x:v>AR06</x:v>
      </x:c>
      <x:c r="C349" s="60" t="n">
        <x:v>6</x:v>
      </x:c>
      <x:c r="D349" s="60" t="str">
        <x:v>BASE</x:v>
      </x:c>
      <x:c r="E349" s="82" t="n">
        <x:v>0</x:v>
      </x:c>
      <x:c r="F349" s="82" t="n">
        <x:v>198.72</x:v>
      </x:c>
      <x:c r="G349" s="83" t="n">
        <x:f>E349*F349</x:f>
        <x:v>0</x:v>
      </x:c>
      <x:c r="H349" s="60" t="str">
        <x:v>Invoice</x:v>
      </x:c>
      <x:c r="I349" s="54"/>
      <x:c r="J349" s="54"/>
      <x:c r="K349" s="54"/>
      <x:c r="L349" s="54"/>
      <x:c r="M349" s="54"/>
      <x:c r="N349" s="54"/>
      <x:c r="O349" s="54"/>
      <x:c r="P349" s="54"/>
      <x:c r="Q349" s="54"/>
      <x:c r="R349" s="54"/>
      <x:c r="S349" s="54"/>
    </x:row>
    <x:row r="350" ht="23" customHeight="1">
      <x:c r="A350" s="58" t="str">
        <x:v>AC-0343</x:v>
      </x:c>
      <x:c r="B350" s="58" t="str">
        <x:v>AR06</x:v>
      </x:c>
      <x:c r="C350" s="58" t="n">
        <x:v>7</x:v>
      </x:c>
      <x:c r="D350" s="58" t="str">
        <x:v>BASE</x:v>
      </x:c>
      <x:c r="E350" s="79" t="n">
        <x:v>0</x:v>
      </x:c>
      <x:c r="F350" s="79" t="n">
        <x:v>198.72</x:v>
      </x:c>
      <x:c r="G350" s="80" t="n">
        <x:f>E350*F350</x:f>
        <x:v>0</x:v>
      </x:c>
      <x:c r="H350" s="58" t="str">
        <x:v>Invoice</x:v>
      </x:c>
      <x:c r="I350" s="54"/>
      <x:c r="J350" s="54"/>
      <x:c r="K350" s="54"/>
      <x:c r="L350" s="54"/>
      <x:c r="M350" s="54"/>
      <x:c r="N350" s="54"/>
      <x:c r="O350" s="54"/>
      <x:c r="P350" s="54"/>
      <x:c r="Q350" s="54"/>
      <x:c r="R350" s="54"/>
      <x:c r="S350" s="54"/>
    </x:row>
    <x:row r="351" ht="23" customHeight="1">
      <x:c r="A351" s="60" t="str">
        <x:v>AC-0344</x:v>
      </x:c>
      <x:c r="B351" s="60" t="str">
        <x:v>AR06</x:v>
      </x:c>
      <x:c r="C351" s="60" t="n">
        <x:v>8</x:v>
      </x:c>
      <x:c r="D351" s="60" t="str">
        <x:v>BASE</x:v>
      </x:c>
      <x:c r="E351" s="82" t="n">
        <x:v>0</x:v>
      </x:c>
      <x:c r="F351" s="82" t="n">
        <x:v>198.72</x:v>
      </x:c>
      <x:c r="G351" s="83" t="n">
        <x:f>E351*F351</x:f>
        <x:v>0</x:v>
      </x:c>
      <x:c r="H351" s="60" t="str">
        <x:v>Invoice</x:v>
      </x:c>
      <x:c r="I351" s="54"/>
      <x:c r="J351" s="54"/>
      <x:c r="K351" s="54"/>
      <x:c r="L351" s="54"/>
      <x:c r="M351" s="54"/>
      <x:c r="N351" s="54"/>
      <x:c r="O351" s="54"/>
      <x:c r="P351" s="54"/>
      <x:c r="Q351" s="54"/>
      <x:c r="R351" s="54"/>
      <x:c r="S351" s="54"/>
    </x:row>
    <x:row r="352" ht="23" customHeight="1">
      <x:c r="A352" s="58" t="str">
        <x:v>AC-0345</x:v>
      </x:c>
      <x:c r="B352" s="58" t="str">
        <x:v>AR06</x:v>
      </x:c>
      <x:c r="C352" s="58" t="n">
        <x:v>9</x:v>
      </x:c>
      <x:c r="D352" s="58" t="str">
        <x:v>BASE</x:v>
      </x:c>
      <x:c r="E352" s="79" t="n">
        <x:v>0</x:v>
      </x:c>
      <x:c r="F352" s="79" t="n">
        <x:v>198.72</x:v>
      </x:c>
      <x:c r="G352" s="80" t="n">
        <x:f>E352*F352</x:f>
        <x:v>0</x:v>
      </x:c>
      <x:c r="H352" s="58" t="str">
        <x:v>Invoice</x:v>
      </x:c>
      <x:c r="I352" s="54"/>
      <x:c r="J352" s="54"/>
      <x:c r="K352" s="54"/>
      <x:c r="L352" s="54"/>
      <x:c r="M352" s="54"/>
      <x:c r="N352" s="54"/>
      <x:c r="O352" s="54"/>
      <x:c r="P352" s="54"/>
      <x:c r="Q352" s="54"/>
      <x:c r="R352" s="54"/>
      <x:c r="S352" s="54"/>
    </x:row>
    <x:row r="353" ht="23" customHeight="1">
      <x:c r="A353" s="60" t="str">
        <x:v>AC-0346</x:v>
      </x:c>
      <x:c r="B353" s="60" t="str">
        <x:v>AR06</x:v>
      </x:c>
      <x:c r="C353" s="60" t="n">
        <x:v>10</x:v>
      </x:c>
      <x:c r="D353" s="60" t="str">
        <x:v>BASE</x:v>
      </x:c>
      <x:c r="E353" s="82" t="n">
        <x:v>0</x:v>
      </x:c>
      <x:c r="F353" s="82" t="n">
        <x:v>198.72</x:v>
      </x:c>
      <x:c r="G353" s="83" t="n">
        <x:f>E353*F353</x:f>
        <x:v>0</x:v>
      </x:c>
      <x:c r="H353" s="60" t="str">
        <x:v>Invoice</x:v>
      </x:c>
      <x:c r="I353" s="54"/>
      <x:c r="J353" s="54"/>
      <x:c r="K353" s="54"/>
      <x:c r="L353" s="54"/>
      <x:c r="M353" s="54"/>
      <x:c r="N353" s="54"/>
      <x:c r="O353" s="54"/>
      <x:c r="P353" s="54"/>
      <x:c r="Q353" s="54"/>
      <x:c r="R353" s="54"/>
      <x:c r="S353" s="54"/>
    </x:row>
    <x:row r="354" ht="23" customHeight="1">
      <x:c r="A354" s="58" t="str">
        <x:v>AC-0347</x:v>
      </x:c>
      <x:c r="B354" s="58" t="str">
        <x:v>AR06</x:v>
      </x:c>
      <x:c r="C354" s="58" t="n">
        <x:v>11</x:v>
      </x:c>
      <x:c r="D354" s="58" t="str">
        <x:v>BASE</x:v>
      </x:c>
      <x:c r="E354" s="79" t="n">
        <x:v>0</x:v>
      </x:c>
      <x:c r="F354" s="79" t="n">
        <x:v>198.72</x:v>
      </x:c>
      <x:c r="G354" s="80" t="n">
        <x:f>E354*F354</x:f>
        <x:v>0</x:v>
      </x:c>
      <x:c r="H354" s="58" t="str">
        <x:v>Invoice</x:v>
      </x:c>
      <x:c r="I354" s="54"/>
      <x:c r="J354" s="54"/>
      <x:c r="K354" s="54"/>
      <x:c r="L354" s="54"/>
      <x:c r="M354" s="54"/>
      <x:c r="N354" s="54"/>
      <x:c r="O354" s="54"/>
      <x:c r="P354" s="54"/>
      <x:c r="Q354" s="54"/>
      <x:c r="R354" s="54"/>
      <x:c r="S354" s="54"/>
    </x:row>
    <x:row r="355" ht="23" customHeight="1">
      <x:c r="A355" s="60" t="str">
        <x:v>AC-0348</x:v>
      </x:c>
      <x:c r="B355" s="60" t="str">
        <x:v>AR06</x:v>
      </x:c>
      <x:c r="C355" s="60" t="n">
        <x:v>12</x:v>
      </x:c>
      <x:c r="D355" s="60" t="str">
        <x:v>BASE</x:v>
      </x:c>
      <x:c r="E355" s="82" t="n">
        <x:v>0</x:v>
      </x:c>
      <x:c r="F355" s="82" t="n">
        <x:v>198.72</x:v>
      </x:c>
      <x:c r="G355" s="83" t="n">
        <x:f>E355*F355</x:f>
        <x:v>0</x:v>
      </x:c>
      <x:c r="H355" s="60" t="str">
        <x:v>Invoice</x:v>
      </x:c>
      <x:c r="I355" s="54"/>
      <x:c r="J355" s="54"/>
      <x:c r="K355" s="54"/>
      <x:c r="L355" s="54"/>
      <x:c r="M355" s="54"/>
      <x:c r="N355" s="54"/>
      <x:c r="O355" s="54"/>
      <x:c r="P355" s="54"/>
      <x:c r="Q355" s="54"/>
      <x:c r="R355" s="54"/>
      <x:c r="S355" s="54"/>
    </x:row>
    <x:row r="356" ht="23" customHeight="1">
      <x:c r="A356" s="58" t="str">
        <x:v>AC-0349</x:v>
      </x:c>
      <x:c r="B356" s="58" t="str">
        <x:v>EX01</x:v>
      </x:c>
      <x:c r="C356" s="58" t="n">
        <x:v>1</x:v>
      </x:c>
      <x:c r="D356" s="58" t="str">
        <x:v>BASE</x:v>
      </x:c>
      <x:c r="E356" s="79" t="n">
        <x:v>0</x:v>
      </x:c>
      <x:c r="F356" s="79" t="n">
        <x:v>37.43</x:v>
      </x:c>
      <x:c r="G356" s="80" t="n">
        <x:f>E356*F356</x:f>
        <x:v>0</x:v>
      </x:c>
      <x:c r="H356" s="58" t="str">
        <x:v>Invoice</x:v>
      </x:c>
      <x:c r="I356" s="54"/>
      <x:c r="J356" s="54"/>
      <x:c r="K356" s="54"/>
      <x:c r="L356" s="54"/>
      <x:c r="M356" s="54"/>
      <x:c r="N356" s="54"/>
      <x:c r="O356" s="54"/>
      <x:c r="P356" s="54"/>
      <x:c r="Q356" s="54"/>
      <x:c r="R356" s="54"/>
      <x:c r="S356" s="54"/>
    </x:row>
    <x:row r="357" ht="23" customHeight="1">
      <x:c r="A357" s="60" t="str">
        <x:v>AC-0350</x:v>
      </x:c>
      <x:c r="B357" s="60" t="str">
        <x:v>EX01</x:v>
      </x:c>
      <x:c r="C357" s="60" t="n">
        <x:v>2</x:v>
      </x:c>
      <x:c r="D357" s="60" t="str">
        <x:v>BASE</x:v>
      </x:c>
      <x:c r="E357" s="82" t="n">
        <x:v>0</x:v>
      </x:c>
      <x:c r="F357" s="82" t="n">
        <x:v>37.43</x:v>
      </x:c>
      <x:c r="G357" s="83" t="n">
        <x:f>E357*F357</x:f>
        <x:v>0</x:v>
      </x:c>
      <x:c r="H357" s="60" t="str">
        <x:v>Invoice</x:v>
      </x:c>
      <x:c r="I357" s="54"/>
      <x:c r="J357" s="54"/>
      <x:c r="K357" s="54"/>
      <x:c r="L357" s="54"/>
      <x:c r="M357" s="54"/>
      <x:c r="N357" s="54"/>
      <x:c r="O357" s="54"/>
      <x:c r="P357" s="54"/>
      <x:c r="Q357" s="54"/>
      <x:c r="R357" s="54"/>
      <x:c r="S357" s="54"/>
    </x:row>
    <x:row r="358" ht="23" customHeight="1">
      <x:c r="A358" s="58" t="str">
        <x:v>AC-0351</x:v>
      </x:c>
      <x:c r="B358" s="58" t="str">
        <x:v>EX01</x:v>
      </x:c>
      <x:c r="C358" s="58" t="n">
        <x:v>3</x:v>
      </x:c>
      <x:c r="D358" s="58" t="str">
        <x:v>BASE</x:v>
      </x:c>
      <x:c r="E358" s="79" t="n">
        <x:v>0</x:v>
      </x:c>
      <x:c r="F358" s="79" t="n">
        <x:v>37.43</x:v>
      </x:c>
      <x:c r="G358" s="80" t="n">
        <x:f>E358*F358</x:f>
        <x:v>0</x:v>
      </x:c>
      <x:c r="H358" s="58" t="str">
        <x:v>Invoice</x:v>
      </x:c>
      <x:c r="I358" s="54"/>
      <x:c r="J358" s="54"/>
      <x:c r="K358" s="54"/>
      <x:c r="L358" s="54"/>
      <x:c r="M358" s="54"/>
      <x:c r="N358" s="54"/>
      <x:c r="O358" s="54"/>
      <x:c r="P358" s="54"/>
      <x:c r="Q358" s="54"/>
      <x:c r="R358" s="54"/>
      <x:c r="S358" s="54"/>
    </x:row>
    <x:row r="359" ht="23" customHeight="1">
      <x:c r="A359" s="60" t="str">
        <x:v>AC-0352</x:v>
      </x:c>
      <x:c r="B359" s="60" t="str">
        <x:v>EX01</x:v>
      </x:c>
      <x:c r="C359" s="60" t="n">
        <x:v>4</x:v>
      </x:c>
      <x:c r="D359" s="60" t="str">
        <x:v>BASE</x:v>
      </x:c>
      <x:c r="E359" s="82" t="n">
        <x:v>0</x:v>
      </x:c>
      <x:c r="F359" s="82" t="n">
        <x:v>37.43</x:v>
      </x:c>
      <x:c r="G359" s="83" t="n">
        <x:f>E359*F359</x:f>
        <x:v>0</x:v>
      </x:c>
      <x:c r="H359" s="60" t="str">
        <x:v>Invoice</x:v>
      </x:c>
      <x:c r="I359" s="54"/>
      <x:c r="J359" s="54"/>
      <x:c r="K359" s="54"/>
      <x:c r="L359" s="54"/>
      <x:c r="M359" s="54"/>
      <x:c r="N359" s="54"/>
      <x:c r="O359" s="54"/>
      <x:c r="P359" s="54"/>
      <x:c r="Q359" s="54"/>
      <x:c r="R359" s="54"/>
      <x:c r="S359" s="54"/>
    </x:row>
    <x:row r="360" ht="23" customHeight="1">
      <x:c r="A360" s="58" t="str">
        <x:v>AC-0353</x:v>
      </x:c>
      <x:c r="B360" s="58" t="str">
        <x:v>EX01</x:v>
      </x:c>
      <x:c r="C360" s="58" t="n">
        <x:v>5</x:v>
      </x:c>
      <x:c r="D360" s="58" t="str">
        <x:v>BASE</x:v>
      </x:c>
      <x:c r="E360" s="79" t="n">
        <x:v>0</x:v>
      </x:c>
      <x:c r="F360" s="79" t="n">
        <x:v>37.43</x:v>
      </x:c>
      <x:c r="G360" s="80" t="n">
        <x:f>E360*F360</x:f>
        <x:v>0</x:v>
      </x:c>
      <x:c r="H360" s="58" t="str">
        <x:v>Invoice</x:v>
      </x:c>
      <x:c r="I360" s="54"/>
      <x:c r="J360" s="54"/>
      <x:c r="K360" s="54"/>
      <x:c r="L360" s="54"/>
      <x:c r="M360" s="54"/>
      <x:c r="N360" s="54"/>
      <x:c r="O360" s="54"/>
      <x:c r="P360" s="54"/>
      <x:c r="Q360" s="54"/>
      <x:c r="R360" s="54"/>
      <x:c r="S360" s="54"/>
    </x:row>
    <x:row r="361" ht="23" customHeight="1">
      <x:c r="A361" s="60" t="str">
        <x:v>AC-0354</x:v>
      </x:c>
      <x:c r="B361" s="60" t="str">
        <x:v>EX01</x:v>
      </x:c>
      <x:c r="C361" s="60" t="n">
        <x:v>6</x:v>
      </x:c>
      <x:c r="D361" s="60" t="str">
        <x:v>BASE</x:v>
      </x:c>
      <x:c r="E361" s="82" t="n">
        <x:v>0</x:v>
      </x:c>
      <x:c r="F361" s="82" t="n">
        <x:v>37.43</x:v>
      </x:c>
      <x:c r="G361" s="83" t="n">
        <x:f>E361*F361</x:f>
        <x:v>0</x:v>
      </x:c>
      <x:c r="H361" s="60" t="str">
        <x:v>Invoice</x:v>
      </x:c>
      <x:c r="I361" s="54"/>
      <x:c r="J361" s="54"/>
      <x:c r="K361" s="54"/>
      <x:c r="L361" s="54"/>
      <x:c r="M361" s="54"/>
      <x:c r="N361" s="54"/>
      <x:c r="O361" s="54"/>
      <x:c r="P361" s="54"/>
      <x:c r="Q361" s="54"/>
      <x:c r="R361" s="54"/>
      <x:c r="S361" s="54"/>
    </x:row>
    <x:row r="362" ht="23" customHeight="1">
      <x:c r="A362" s="58" t="str">
        <x:v>AC-0355</x:v>
      </x:c>
      <x:c r="B362" s="58" t="str">
        <x:v>EX01</x:v>
      </x:c>
      <x:c r="C362" s="58" t="n">
        <x:v>7</x:v>
      </x:c>
      <x:c r="D362" s="58" t="str">
        <x:v>BASE</x:v>
      </x:c>
      <x:c r="E362" s="79" t="n">
        <x:v>0</x:v>
      </x:c>
      <x:c r="F362" s="79" t="n">
        <x:v>37.43</x:v>
      </x:c>
      <x:c r="G362" s="80" t="n">
        <x:f>E362*F362</x:f>
        <x:v>0</x:v>
      </x:c>
      <x:c r="H362" s="58" t="str">
        <x:v>Invoice</x:v>
      </x:c>
      <x:c r="I362" s="54"/>
      <x:c r="J362" s="54"/>
      <x:c r="K362" s="54"/>
      <x:c r="L362" s="54"/>
      <x:c r="M362" s="54"/>
      <x:c r="N362" s="54"/>
      <x:c r="O362" s="54"/>
      <x:c r="P362" s="54"/>
      <x:c r="Q362" s="54"/>
      <x:c r="R362" s="54"/>
      <x:c r="S362" s="54"/>
    </x:row>
    <x:row r="363" ht="23" customHeight="1">
      <x:c r="A363" s="60" t="str">
        <x:v>AC-0356</x:v>
      </x:c>
      <x:c r="B363" s="60" t="str">
        <x:v>EX01</x:v>
      </x:c>
      <x:c r="C363" s="60" t="n">
        <x:v>8</x:v>
      </x:c>
      <x:c r="D363" s="60" t="str">
        <x:v>BASE</x:v>
      </x:c>
      <x:c r="E363" s="82" t="n">
        <x:v>0</x:v>
      </x:c>
      <x:c r="F363" s="82" t="n">
        <x:v>37.43</x:v>
      </x:c>
      <x:c r="G363" s="83" t="n">
        <x:f>E363*F363</x:f>
        <x:v>0</x:v>
      </x:c>
      <x:c r="H363" s="60" t="str">
        <x:v>Invoice</x:v>
      </x:c>
      <x:c r="I363" s="54"/>
      <x:c r="J363" s="54"/>
      <x:c r="K363" s="54"/>
      <x:c r="L363" s="54"/>
      <x:c r="M363" s="54"/>
      <x:c r="N363" s="54"/>
      <x:c r="O363" s="54"/>
      <x:c r="P363" s="54"/>
      <x:c r="Q363" s="54"/>
      <x:c r="R363" s="54"/>
      <x:c r="S363" s="54"/>
    </x:row>
    <x:row r="364" ht="23" customHeight="1">
      <x:c r="A364" s="58" t="str">
        <x:v>AC-0357</x:v>
      </x:c>
      <x:c r="B364" s="58" t="str">
        <x:v>EX01</x:v>
      </x:c>
      <x:c r="C364" s="58" t="n">
        <x:v>9</x:v>
      </x:c>
      <x:c r="D364" s="58" t="str">
        <x:v>BASE</x:v>
      </x:c>
      <x:c r="E364" s="79" t="n">
        <x:v>0</x:v>
      </x:c>
      <x:c r="F364" s="79" t="n">
        <x:v>37.43</x:v>
      </x:c>
      <x:c r="G364" s="80" t="n">
        <x:f>E364*F364</x:f>
        <x:v>0</x:v>
      </x:c>
      <x:c r="H364" s="58" t="str">
        <x:v>Invoice</x:v>
      </x:c>
      <x:c r="I364" s="54"/>
      <x:c r="J364" s="54"/>
      <x:c r="K364" s="54"/>
      <x:c r="L364" s="54"/>
      <x:c r="M364" s="54"/>
      <x:c r="N364" s="54"/>
      <x:c r="O364" s="54"/>
      <x:c r="P364" s="54"/>
      <x:c r="Q364" s="54"/>
      <x:c r="R364" s="54"/>
      <x:c r="S364" s="54"/>
    </x:row>
    <x:row r="365" ht="23" customHeight="1">
      <x:c r="A365" s="60" t="str">
        <x:v>AC-0358</x:v>
      </x:c>
      <x:c r="B365" s="60" t="str">
        <x:v>EX01</x:v>
      </x:c>
      <x:c r="C365" s="60" t="n">
        <x:v>10</x:v>
      </x:c>
      <x:c r="D365" s="60" t="str">
        <x:v>BASE</x:v>
      </x:c>
      <x:c r="E365" s="82" t="n">
        <x:v>0</x:v>
      </x:c>
      <x:c r="F365" s="82" t="n">
        <x:v>37.43</x:v>
      </x:c>
      <x:c r="G365" s="83" t="n">
        <x:f>E365*F365</x:f>
        <x:v>0</x:v>
      </x:c>
      <x:c r="H365" s="60" t="str">
        <x:v>Invoice</x:v>
      </x:c>
      <x:c r="I365" s="54"/>
      <x:c r="J365" s="54"/>
      <x:c r="K365" s="54"/>
      <x:c r="L365" s="54"/>
      <x:c r="M365" s="54"/>
      <x:c r="N365" s="54"/>
      <x:c r="O365" s="54"/>
      <x:c r="P365" s="54"/>
      <x:c r="Q365" s="54"/>
      <x:c r="R365" s="54"/>
      <x:c r="S365" s="54"/>
    </x:row>
    <x:row r="366" ht="23" customHeight="1">
      <x:c r="A366" s="58" t="str">
        <x:v>AC-0359</x:v>
      </x:c>
      <x:c r="B366" s="58" t="str">
        <x:v>EX01</x:v>
      </x:c>
      <x:c r="C366" s="58" t="n">
        <x:v>11</x:v>
      </x:c>
      <x:c r="D366" s="58" t="str">
        <x:v>BASE</x:v>
      </x:c>
      <x:c r="E366" s="79" t="n">
        <x:v>0</x:v>
      </x:c>
      <x:c r="F366" s="79" t="n">
        <x:v>37.43</x:v>
      </x:c>
      <x:c r="G366" s="80" t="n">
        <x:f>E366*F366</x:f>
        <x:v>0</x:v>
      </x:c>
      <x:c r="H366" s="58" t="str">
        <x:v>Invoice</x:v>
      </x:c>
      <x:c r="I366" s="54"/>
      <x:c r="J366" s="54"/>
      <x:c r="K366" s="54"/>
      <x:c r="L366" s="54"/>
      <x:c r="M366" s="54"/>
      <x:c r="N366" s="54"/>
      <x:c r="O366" s="54"/>
      <x:c r="P366" s="54"/>
      <x:c r="Q366" s="54"/>
      <x:c r="R366" s="54"/>
      <x:c r="S366" s="54"/>
    </x:row>
    <x:row r="367" ht="23" customHeight="1">
      <x:c r="A367" s="60" t="str">
        <x:v>AC-0360</x:v>
      </x:c>
      <x:c r="B367" s="60" t="str">
        <x:v>EX01</x:v>
      </x:c>
      <x:c r="C367" s="60" t="n">
        <x:v>12</x:v>
      </x:c>
      <x:c r="D367" s="60" t="str">
        <x:v>BASE</x:v>
      </x:c>
      <x:c r="E367" s="82" t="n">
        <x:v>0</x:v>
      </x:c>
      <x:c r="F367" s="82" t="n">
        <x:v>37.43</x:v>
      </x:c>
      <x:c r="G367" s="83" t="n">
        <x:f>E367*F367</x:f>
        <x:v>0</x:v>
      </x:c>
      <x:c r="H367" s="60" t="str">
        <x:v>Invoice</x:v>
      </x:c>
      <x:c r="I367" s="54"/>
      <x:c r="J367" s="54"/>
      <x:c r="K367" s="54"/>
      <x:c r="L367" s="54"/>
      <x:c r="M367" s="54"/>
      <x:c r="N367" s="54"/>
      <x:c r="O367" s="54"/>
      <x:c r="P367" s="54"/>
      <x:c r="Q367" s="54"/>
      <x:c r="R367" s="54"/>
      <x:c r="S367" s="54"/>
    </x:row>
    <x:row r="368" ht="23" customHeight="1">
      <x:c r="A368" s="58" t="str">
        <x:v>AC-0361</x:v>
      </x:c>
      <x:c r="B368" s="58" t="str">
        <x:v>EX02</x:v>
      </x:c>
      <x:c r="C368" s="58" t="n">
        <x:v>1</x:v>
      </x:c>
      <x:c r="D368" s="58" t="str">
        <x:v>BASE</x:v>
      </x:c>
      <x:c r="E368" s="79" t="n">
        <x:v>0</x:v>
      </x:c>
      <x:c r="F368" s="79" t="n">
        <x:v>66.66</x:v>
      </x:c>
      <x:c r="G368" s="80" t="n">
        <x:f>E368*F368</x:f>
        <x:v>0</x:v>
      </x:c>
      <x:c r="H368" s="58" t="str">
        <x:v>Accrual</x:v>
      </x:c>
      <x:c r="I368" s="54"/>
      <x:c r="J368" s="54"/>
      <x:c r="K368" s="54"/>
      <x:c r="L368" s="54"/>
      <x:c r="M368" s="54"/>
      <x:c r="N368" s="54"/>
      <x:c r="O368" s="54"/>
      <x:c r="P368" s="54"/>
      <x:c r="Q368" s="54"/>
      <x:c r="R368" s="54"/>
      <x:c r="S368" s="54"/>
    </x:row>
    <x:row r="369" ht="23" customHeight="1">
      <x:c r="A369" s="60" t="str">
        <x:v>AC-0362</x:v>
      </x:c>
      <x:c r="B369" s="60" t="str">
        <x:v>EX02</x:v>
      </x:c>
      <x:c r="C369" s="60" t="n">
        <x:v>2</x:v>
      </x:c>
      <x:c r="D369" s="60" t="str">
        <x:v>BASE</x:v>
      </x:c>
      <x:c r="E369" s="82" t="n">
        <x:v>0</x:v>
      </x:c>
      <x:c r="F369" s="82" t="n">
        <x:v>66.66</x:v>
      </x:c>
      <x:c r="G369" s="83" t="n">
        <x:f>E369*F369</x:f>
        <x:v>0</x:v>
      </x:c>
      <x:c r="H369" s="60" t="str">
        <x:v>Accrual</x:v>
      </x:c>
      <x:c r="I369" s="54"/>
      <x:c r="J369" s="54"/>
      <x:c r="K369" s="54"/>
      <x:c r="L369" s="54"/>
      <x:c r="M369" s="54"/>
      <x:c r="N369" s="54"/>
      <x:c r="O369" s="54"/>
      <x:c r="P369" s="54"/>
      <x:c r="Q369" s="54"/>
      <x:c r="R369" s="54"/>
      <x:c r="S369" s="54"/>
    </x:row>
    <x:row r="370" ht="23" customHeight="1">
      <x:c r="A370" s="58" t="str">
        <x:v>AC-0363</x:v>
      </x:c>
      <x:c r="B370" s="58" t="str">
        <x:v>EX02</x:v>
      </x:c>
      <x:c r="C370" s="58" t="n">
        <x:v>3</x:v>
      </x:c>
      <x:c r="D370" s="58" t="str">
        <x:v>BASE</x:v>
      </x:c>
      <x:c r="E370" s="79" t="n">
        <x:v>0</x:v>
      </x:c>
      <x:c r="F370" s="79" t="n">
        <x:v>66.66</x:v>
      </x:c>
      <x:c r="G370" s="80" t="n">
        <x:f>E370*F370</x:f>
        <x:v>0</x:v>
      </x:c>
      <x:c r="H370" s="58" t="str">
        <x:v>Accrual</x:v>
      </x:c>
      <x:c r="I370" s="54"/>
      <x:c r="J370" s="54"/>
      <x:c r="K370" s="54"/>
      <x:c r="L370" s="54"/>
      <x:c r="M370" s="54"/>
      <x:c r="N370" s="54"/>
      <x:c r="O370" s="54"/>
      <x:c r="P370" s="54"/>
      <x:c r="Q370" s="54"/>
      <x:c r="R370" s="54"/>
      <x:c r="S370" s="54"/>
    </x:row>
    <x:row r="371" ht="23" customHeight="1">
      <x:c r="A371" s="60" t="str">
        <x:v>AC-0364</x:v>
      </x:c>
      <x:c r="B371" s="60" t="str">
        <x:v>EX02</x:v>
      </x:c>
      <x:c r="C371" s="60" t="n">
        <x:v>4</x:v>
      </x:c>
      <x:c r="D371" s="60" t="str">
        <x:v>BASE</x:v>
      </x:c>
      <x:c r="E371" s="82" t="n">
        <x:v>0</x:v>
      </x:c>
      <x:c r="F371" s="82" t="n">
        <x:v>66.66</x:v>
      </x:c>
      <x:c r="G371" s="83" t="n">
        <x:f>E371*F371</x:f>
        <x:v>0</x:v>
      </x:c>
      <x:c r="H371" s="60" t="str">
        <x:v>Accrual</x:v>
      </x:c>
      <x:c r="I371" s="54"/>
      <x:c r="J371" s="54"/>
      <x:c r="K371" s="54"/>
      <x:c r="L371" s="54"/>
      <x:c r="M371" s="54"/>
      <x:c r="N371" s="54"/>
      <x:c r="O371" s="54"/>
      <x:c r="P371" s="54"/>
      <x:c r="Q371" s="54"/>
      <x:c r="R371" s="54"/>
      <x:c r="S371" s="54"/>
    </x:row>
    <x:row r="372" ht="23" customHeight="1">
      <x:c r="A372" s="58" t="str">
        <x:v>AC-0365</x:v>
      </x:c>
      <x:c r="B372" s="58" t="str">
        <x:v>EX02</x:v>
      </x:c>
      <x:c r="C372" s="58" t="n">
        <x:v>5</x:v>
      </x:c>
      <x:c r="D372" s="58" t="str">
        <x:v>BASE</x:v>
      </x:c>
      <x:c r="E372" s="79" t="n">
        <x:v>0</x:v>
      </x:c>
      <x:c r="F372" s="79" t="n">
        <x:v>66.66</x:v>
      </x:c>
      <x:c r="G372" s="80" t="n">
        <x:f>E372*F372</x:f>
        <x:v>0</x:v>
      </x:c>
      <x:c r="H372" s="58" t="str">
        <x:v>Accrual</x:v>
      </x:c>
      <x:c r="I372" s="54"/>
      <x:c r="J372" s="54"/>
      <x:c r="K372" s="54"/>
      <x:c r="L372" s="54"/>
      <x:c r="M372" s="54"/>
      <x:c r="N372" s="54"/>
      <x:c r="O372" s="54"/>
      <x:c r="P372" s="54"/>
      <x:c r="Q372" s="54"/>
      <x:c r="R372" s="54"/>
      <x:c r="S372" s="54"/>
    </x:row>
    <x:row r="373" ht="23" customHeight="1">
      <x:c r="A373" s="60" t="str">
        <x:v>AC-0366</x:v>
      </x:c>
      <x:c r="B373" s="60" t="str">
        <x:v>EX02</x:v>
      </x:c>
      <x:c r="C373" s="60" t="n">
        <x:v>6</x:v>
      </x:c>
      <x:c r="D373" s="60" t="str">
        <x:v>BASE</x:v>
      </x:c>
      <x:c r="E373" s="82" t="n">
        <x:v>0</x:v>
      </x:c>
      <x:c r="F373" s="82" t="n">
        <x:v>66.66</x:v>
      </x:c>
      <x:c r="G373" s="83" t="n">
        <x:f>E373*F373</x:f>
        <x:v>0</x:v>
      </x:c>
      <x:c r="H373" s="60" t="str">
        <x:v>Accrual</x:v>
      </x:c>
      <x:c r="I373" s="54"/>
      <x:c r="J373" s="54"/>
      <x:c r="K373" s="54"/>
      <x:c r="L373" s="54"/>
      <x:c r="M373" s="54"/>
      <x:c r="N373" s="54"/>
      <x:c r="O373" s="54"/>
      <x:c r="P373" s="54"/>
      <x:c r="Q373" s="54"/>
      <x:c r="R373" s="54"/>
      <x:c r="S373" s="54"/>
    </x:row>
    <x:row r="374" ht="23" customHeight="1">
      <x:c r="A374" s="58" t="str">
        <x:v>AC-0367</x:v>
      </x:c>
      <x:c r="B374" s="58" t="str">
        <x:v>EX02</x:v>
      </x:c>
      <x:c r="C374" s="58" t="n">
        <x:v>7</x:v>
      </x:c>
      <x:c r="D374" s="58" t="str">
        <x:v>BASE</x:v>
      </x:c>
      <x:c r="E374" s="79" t="n">
        <x:v>0</x:v>
      </x:c>
      <x:c r="F374" s="79" t="n">
        <x:v>66.66</x:v>
      </x:c>
      <x:c r="G374" s="80" t="n">
        <x:f>E374*F374</x:f>
        <x:v>0</x:v>
      </x:c>
      <x:c r="H374" s="58" t="str">
        <x:v>Accrual</x:v>
      </x:c>
      <x:c r="I374" s="54"/>
      <x:c r="J374" s="54"/>
      <x:c r="K374" s="54"/>
      <x:c r="L374" s="54"/>
      <x:c r="M374" s="54"/>
      <x:c r="N374" s="54"/>
      <x:c r="O374" s="54"/>
      <x:c r="P374" s="54"/>
      <x:c r="Q374" s="54"/>
      <x:c r="R374" s="54"/>
      <x:c r="S374" s="54"/>
    </x:row>
    <x:row r="375" ht="23" customHeight="1">
      <x:c r="A375" s="60" t="str">
        <x:v>AC-0368</x:v>
      </x:c>
      <x:c r="B375" s="60" t="str">
        <x:v>EX02</x:v>
      </x:c>
      <x:c r="C375" s="60" t="n">
        <x:v>8</x:v>
      </x:c>
      <x:c r="D375" s="60" t="str">
        <x:v>BASE</x:v>
      </x:c>
      <x:c r="E375" s="82" t="n">
        <x:v>0</x:v>
      </x:c>
      <x:c r="F375" s="82" t="n">
        <x:v>66.66</x:v>
      </x:c>
      <x:c r="G375" s="83" t="n">
        <x:f>E375*F375</x:f>
        <x:v>0</x:v>
      </x:c>
      <x:c r="H375" s="60" t="str">
        <x:v>Accrual</x:v>
      </x:c>
      <x:c r="I375" s="54"/>
      <x:c r="J375" s="54"/>
      <x:c r="K375" s="54"/>
      <x:c r="L375" s="54"/>
      <x:c r="M375" s="54"/>
      <x:c r="N375" s="54"/>
      <x:c r="O375" s="54"/>
      <x:c r="P375" s="54"/>
      <x:c r="Q375" s="54"/>
      <x:c r="R375" s="54"/>
      <x:c r="S375" s="54"/>
    </x:row>
    <x:row r="376" ht="23" customHeight="1">
      <x:c r="A376" s="58" t="str">
        <x:v>AC-0369</x:v>
      </x:c>
      <x:c r="B376" s="58" t="str">
        <x:v>EX02</x:v>
      </x:c>
      <x:c r="C376" s="58" t="n">
        <x:v>9</x:v>
      </x:c>
      <x:c r="D376" s="58" t="str">
        <x:v>BASE</x:v>
      </x:c>
      <x:c r="E376" s="79" t="n">
        <x:v>0</x:v>
      </x:c>
      <x:c r="F376" s="79" t="n">
        <x:v>66.66</x:v>
      </x:c>
      <x:c r="G376" s="80" t="n">
        <x:f>E376*F376</x:f>
        <x:v>0</x:v>
      </x:c>
      <x:c r="H376" s="58" t="str">
        <x:v>Accrual</x:v>
      </x:c>
      <x:c r="I376" s="54"/>
      <x:c r="J376" s="54"/>
      <x:c r="K376" s="54"/>
      <x:c r="L376" s="54"/>
      <x:c r="M376" s="54"/>
      <x:c r="N376" s="54"/>
      <x:c r="O376" s="54"/>
      <x:c r="P376" s="54"/>
      <x:c r="Q376" s="54"/>
      <x:c r="R376" s="54"/>
      <x:c r="S376" s="54"/>
    </x:row>
    <x:row r="377" ht="23" customHeight="1">
      <x:c r="A377" s="60" t="str">
        <x:v>AC-0370</x:v>
      </x:c>
      <x:c r="B377" s="60" t="str">
        <x:v>EX02</x:v>
      </x:c>
      <x:c r="C377" s="60" t="n">
        <x:v>10</x:v>
      </x:c>
      <x:c r="D377" s="60" t="str">
        <x:v>BASE</x:v>
      </x:c>
      <x:c r="E377" s="82" t="n">
        <x:v>0</x:v>
      </x:c>
      <x:c r="F377" s="82" t="n">
        <x:v>66.66</x:v>
      </x:c>
      <x:c r="G377" s="83" t="n">
        <x:f>E377*F377</x:f>
        <x:v>0</x:v>
      </x:c>
      <x:c r="H377" s="60" t="str">
        <x:v>Accrual</x:v>
      </x:c>
      <x:c r="I377" s="54"/>
      <x:c r="J377" s="54"/>
      <x:c r="K377" s="54"/>
      <x:c r="L377" s="54"/>
      <x:c r="M377" s="54"/>
      <x:c r="N377" s="54"/>
      <x:c r="O377" s="54"/>
      <x:c r="P377" s="54"/>
      <x:c r="Q377" s="54"/>
      <x:c r="R377" s="54"/>
      <x:c r="S377" s="54"/>
    </x:row>
    <x:row r="378" ht="23" customHeight="1">
      <x:c r="A378" s="58" t="str">
        <x:v>AC-0371</x:v>
      </x:c>
      <x:c r="B378" s="58" t="str">
        <x:v>EX02</x:v>
      </x:c>
      <x:c r="C378" s="58" t="n">
        <x:v>11</x:v>
      </x:c>
      <x:c r="D378" s="58" t="str">
        <x:v>BASE</x:v>
      </x:c>
      <x:c r="E378" s="79" t="n">
        <x:v>0</x:v>
      </x:c>
      <x:c r="F378" s="79" t="n">
        <x:v>66.66</x:v>
      </x:c>
      <x:c r="G378" s="80" t="n">
        <x:f>E378*F378</x:f>
        <x:v>0</x:v>
      </x:c>
      <x:c r="H378" s="58" t="str">
        <x:v>Accrual</x:v>
      </x:c>
      <x:c r="I378" s="54"/>
      <x:c r="J378" s="54"/>
      <x:c r="K378" s="54"/>
      <x:c r="L378" s="54"/>
      <x:c r="M378" s="54"/>
      <x:c r="N378" s="54"/>
      <x:c r="O378" s="54"/>
      <x:c r="P378" s="54"/>
      <x:c r="Q378" s="54"/>
      <x:c r="R378" s="54"/>
      <x:c r="S378" s="54"/>
    </x:row>
    <x:row r="379" ht="23" customHeight="1">
      <x:c r="A379" s="60" t="str">
        <x:v>AC-0372</x:v>
      </x:c>
      <x:c r="B379" s="60" t="str">
        <x:v>EX02</x:v>
      </x:c>
      <x:c r="C379" s="60" t="n">
        <x:v>12</x:v>
      </x:c>
      <x:c r="D379" s="60" t="str">
        <x:v>BASE</x:v>
      </x:c>
      <x:c r="E379" s="82" t="n">
        <x:v>0</x:v>
      </x:c>
      <x:c r="F379" s="82" t="n">
        <x:v>66.66</x:v>
      </x:c>
      <x:c r="G379" s="83" t="n">
        <x:f>E379*F379</x:f>
        <x:v>0</x:v>
      </x:c>
      <x:c r="H379" s="60" t="str">
        <x:v>Accrual</x:v>
      </x:c>
      <x:c r="I379" s="54"/>
      <x:c r="J379" s="54"/>
      <x:c r="K379" s="54"/>
      <x:c r="L379" s="54"/>
      <x:c r="M379" s="54"/>
      <x:c r="N379" s="54"/>
      <x:c r="O379" s="54"/>
      <x:c r="P379" s="54"/>
      <x:c r="Q379" s="54"/>
      <x:c r="R379" s="54"/>
      <x:c r="S379" s="54"/>
    </x:row>
    <x:row r="380" ht="23" customHeight="1">
      <x:c r="A380" s="58" t="str">
        <x:v>AC-0373</x:v>
      </x:c>
      <x:c r="B380" s="58" t="str">
        <x:v>EX03</x:v>
      </x:c>
      <x:c r="C380" s="58" t="n">
        <x:v>1</x:v>
      </x:c>
      <x:c r="D380" s="58" t="str">
        <x:v>BASE</x:v>
      </x:c>
      <x:c r="E380" s="79" t="n">
        <x:v>0</x:v>
      </x:c>
      <x:c r="F380" s="79" t="n">
        <x:v>579.5999999999999</x:v>
      </x:c>
      <x:c r="G380" s="80" t="n">
        <x:f>E380*F380</x:f>
        <x:v>0</x:v>
      </x:c>
      <x:c r="H380" s="58" t="str">
        <x:v>Invoice</x:v>
      </x:c>
      <x:c r="I380" s="54"/>
      <x:c r="J380" s="54"/>
      <x:c r="K380" s="54"/>
      <x:c r="L380" s="54"/>
      <x:c r="M380" s="54"/>
      <x:c r="N380" s="54"/>
      <x:c r="O380" s="54"/>
      <x:c r="P380" s="54"/>
      <x:c r="Q380" s="54"/>
      <x:c r="R380" s="54"/>
      <x:c r="S380" s="54"/>
    </x:row>
    <x:row r="381" ht="23" customHeight="1">
      <x:c r="A381" s="60" t="str">
        <x:v>AC-0374</x:v>
      </x:c>
      <x:c r="B381" s="60" t="str">
        <x:v>EX03</x:v>
      </x:c>
      <x:c r="C381" s="60" t="n">
        <x:v>2</x:v>
      </x:c>
      <x:c r="D381" s="60" t="str">
        <x:v>BASE</x:v>
      </x:c>
      <x:c r="E381" s="82" t="n">
        <x:v>0</x:v>
      </x:c>
      <x:c r="F381" s="82" t="n">
        <x:v>579.5999999999999</x:v>
      </x:c>
      <x:c r="G381" s="83" t="n">
        <x:f>E381*F381</x:f>
        <x:v>0</x:v>
      </x:c>
      <x:c r="H381" s="60" t="str">
        <x:v>Invoice</x:v>
      </x:c>
      <x:c r="I381" s="54"/>
      <x:c r="J381" s="54"/>
      <x:c r="K381" s="54"/>
      <x:c r="L381" s="54"/>
      <x:c r="M381" s="54"/>
      <x:c r="N381" s="54"/>
      <x:c r="O381" s="54"/>
      <x:c r="P381" s="54"/>
      <x:c r="Q381" s="54"/>
      <x:c r="R381" s="54"/>
      <x:c r="S381" s="54"/>
    </x:row>
    <x:row r="382" ht="23" customHeight="1">
      <x:c r="A382" s="58" t="str">
        <x:v>AC-0375</x:v>
      </x:c>
      <x:c r="B382" s="58" t="str">
        <x:v>EX03</x:v>
      </x:c>
      <x:c r="C382" s="58" t="n">
        <x:v>3</x:v>
      </x:c>
      <x:c r="D382" s="58" t="str">
        <x:v>BASE</x:v>
      </x:c>
      <x:c r="E382" s="79" t="n">
        <x:v>0</x:v>
      </x:c>
      <x:c r="F382" s="79" t="n">
        <x:v>579.5999999999999</x:v>
      </x:c>
      <x:c r="G382" s="80" t="n">
        <x:f>E382*F382</x:f>
        <x:v>0</x:v>
      </x:c>
      <x:c r="H382" s="58" t="str">
        <x:v>Invoice</x:v>
      </x:c>
      <x:c r="I382" s="54"/>
      <x:c r="J382" s="54"/>
      <x:c r="K382" s="54"/>
      <x:c r="L382" s="54"/>
      <x:c r="M382" s="54"/>
      <x:c r="N382" s="54"/>
      <x:c r="O382" s="54"/>
      <x:c r="P382" s="54"/>
      <x:c r="Q382" s="54"/>
      <x:c r="R382" s="54"/>
      <x:c r="S382" s="54"/>
    </x:row>
    <x:row r="383" ht="23" customHeight="1">
      <x:c r="A383" s="60" t="str">
        <x:v>AC-0376</x:v>
      </x:c>
      <x:c r="B383" s="60" t="str">
        <x:v>EX03</x:v>
      </x:c>
      <x:c r="C383" s="60" t="n">
        <x:v>4</x:v>
      </x:c>
      <x:c r="D383" s="60" t="str">
        <x:v>BASE</x:v>
      </x:c>
      <x:c r="E383" s="82" t="n">
        <x:v>0</x:v>
      </x:c>
      <x:c r="F383" s="82" t="n">
        <x:v>579.5999999999999</x:v>
      </x:c>
      <x:c r="G383" s="83" t="n">
        <x:f>E383*F383</x:f>
        <x:v>0</x:v>
      </x:c>
      <x:c r="H383" s="60" t="str">
        <x:v>Invoice</x:v>
      </x:c>
      <x:c r="I383" s="54"/>
      <x:c r="J383" s="54"/>
      <x:c r="K383" s="54"/>
      <x:c r="L383" s="54"/>
      <x:c r="M383" s="54"/>
      <x:c r="N383" s="54"/>
      <x:c r="O383" s="54"/>
      <x:c r="P383" s="54"/>
      <x:c r="Q383" s="54"/>
      <x:c r="R383" s="54"/>
      <x:c r="S383" s="54"/>
    </x:row>
    <x:row r="384" ht="23" customHeight="1">
      <x:c r="A384" s="58" t="str">
        <x:v>AC-0377</x:v>
      </x:c>
      <x:c r="B384" s="58" t="str">
        <x:v>EX03</x:v>
      </x:c>
      <x:c r="C384" s="58" t="n">
        <x:v>5</x:v>
      </x:c>
      <x:c r="D384" s="58" t="str">
        <x:v>BASE</x:v>
      </x:c>
      <x:c r="E384" s="79" t="n">
        <x:v>0</x:v>
      </x:c>
      <x:c r="F384" s="79" t="n">
        <x:v>579.5999999999999</x:v>
      </x:c>
      <x:c r="G384" s="80" t="n">
        <x:f>E384*F384</x:f>
        <x:v>0</x:v>
      </x:c>
      <x:c r="H384" s="58" t="str">
        <x:v>Invoice</x:v>
      </x:c>
      <x:c r="I384" s="54"/>
      <x:c r="J384" s="54"/>
      <x:c r="K384" s="54"/>
      <x:c r="L384" s="54"/>
      <x:c r="M384" s="54"/>
      <x:c r="N384" s="54"/>
      <x:c r="O384" s="54"/>
      <x:c r="P384" s="54"/>
      <x:c r="Q384" s="54"/>
      <x:c r="R384" s="54"/>
      <x:c r="S384" s="54"/>
    </x:row>
    <x:row r="385" ht="23" customHeight="1">
      <x:c r="A385" s="60" t="str">
        <x:v>AC-0378</x:v>
      </x:c>
      <x:c r="B385" s="60" t="str">
        <x:v>EX03</x:v>
      </x:c>
      <x:c r="C385" s="60" t="n">
        <x:v>6</x:v>
      </x:c>
      <x:c r="D385" s="60" t="str">
        <x:v>BASE</x:v>
      </x:c>
      <x:c r="E385" s="82" t="n">
        <x:v>0</x:v>
      </x:c>
      <x:c r="F385" s="82" t="n">
        <x:v>579.5999999999999</x:v>
      </x:c>
      <x:c r="G385" s="83" t="n">
        <x:f>E385*F385</x:f>
        <x:v>0</x:v>
      </x:c>
      <x:c r="H385" s="60" t="str">
        <x:v>Invoice</x:v>
      </x:c>
      <x:c r="I385" s="54"/>
      <x:c r="J385" s="54"/>
      <x:c r="K385" s="54"/>
      <x:c r="L385" s="54"/>
      <x:c r="M385" s="54"/>
      <x:c r="N385" s="54"/>
      <x:c r="O385" s="54"/>
      <x:c r="P385" s="54"/>
      <x:c r="Q385" s="54"/>
      <x:c r="R385" s="54"/>
      <x:c r="S385" s="54"/>
    </x:row>
    <x:row r="386" ht="23" customHeight="1">
      <x:c r="A386" s="58" t="str">
        <x:v>AC-0379</x:v>
      </x:c>
      <x:c r="B386" s="58" t="str">
        <x:v>EX03</x:v>
      </x:c>
      <x:c r="C386" s="58" t="n">
        <x:v>7</x:v>
      </x:c>
      <x:c r="D386" s="58" t="str">
        <x:v>BASE</x:v>
      </x:c>
      <x:c r="E386" s="79" t="n">
        <x:v>0</x:v>
      </x:c>
      <x:c r="F386" s="79" t="n">
        <x:v>579.5999999999999</x:v>
      </x:c>
      <x:c r="G386" s="80" t="n">
        <x:f>E386*F386</x:f>
        <x:v>0</x:v>
      </x:c>
      <x:c r="H386" s="58" t="str">
        <x:v>Invoice</x:v>
      </x:c>
      <x:c r="I386" s="54"/>
      <x:c r="J386" s="54"/>
      <x:c r="K386" s="54"/>
      <x:c r="L386" s="54"/>
      <x:c r="M386" s="54"/>
      <x:c r="N386" s="54"/>
      <x:c r="O386" s="54"/>
      <x:c r="P386" s="54"/>
      <x:c r="Q386" s="54"/>
      <x:c r="R386" s="54"/>
      <x:c r="S386" s="54"/>
    </x:row>
    <x:row r="387" ht="23" customHeight="1">
      <x:c r="A387" s="60" t="str">
        <x:v>AC-0380</x:v>
      </x:c>
      <x:c r="B387" s="60" t="str">
        <x:v>EX03</x:v>
      </x:c>
      <x:c r="C387" s="60" t="n">
        <x:v>8</x:v>
      </x:c>
      <x:c r="D387" s="60" t="str">
        <x:v>BASE</x:v>
      </x:c>
      <x:c r="E387" s="82" t="n">
        <x:v>0</x:v>
      </x:c>
      <x:c r="F387" s="82" t="n">
        <x:v>579.5999999999999</x:v>
      </x:c>
      <x:c r="G387" s="83" t="n">
        <x:f>E387*F387</x:f>
        <x:v>0</x:v>
      </x:c>
      <x:c r="H387" s="60" t="str">
        <x:v>Invoice</x:v>
      </x:c>
      <x:c r="I387" s="54"/>
      <x:c r="J387" s="54"/>
      <x:c r="K387" s="54"/>
      <x:c r="L387" s="54"/>
      <x:c r="M387" s="54"/>
      <x:c r="N387" s="54"/>
      <x:c r="O387" s="54"/>
      <x:c r="P387" s="54"/>
      <x:c r="Q387" s="54"/>
      <x:c r="R387" s="54"/>
      <x:c r="S387" s="54"/>
    </x:row>
    <x:row r="388" ht="23" customHeight="1">
      <x:c r="A388" s="58" t="str">
        <x:v>AC-0381</x:v>
      </x:c>
      <x:c r="B388" s="58" t="str">
        <x:v>EX03</x:v>
      </x:c>
      <x:c r="C388" s="58" t="n">
        <x:v>9</x:v>
      </x:c>
      <x:c r="D388" s="58" t="str">
        <x:v>BASE</x:v>
      </x:c>
      <x:c r="E388" s="79" t="n">
        <x:v>0</x:v>
      </x:c>
      <x:c r="F388" s="79" t="n">
        <x:v>579.5999999999999</x:v>
      </x:c>
      <x:c r="G388" s="80" t="n">
        <x:f>E388*F388</x:f>
        <x:v>0</x:v>
      </x:c>
      <x:c r="H388" s="58" t="str">
        <x:v>Invoice</x:v>
      </x:c>
      <x:c r="I388" s="54"/>
      <x:c r="J388" s="54"/>
      <x:c r="K388" s="54"/>
      <x:c r="L388" s="54"/>
      <x:c r="M388" s="54"/>
      <x:c r="N388" s="54"/>
      <x:c r="O388" s="54"/>
      <x:c r="P388" s="54"/>
      <x:c r="Q388" s="54"/>
      <x:c r="R388" s="54"/>
      <x:c r="S388" s="54"/>
    </x:row>
    <x:row r="389" ht="23" customHeight="1">
      <x:c r="A389" s="60" t="str">
        <x:v>AC-0382</x:v>
      </x:c>
      <x:c r="B389" s="60" t="str">
        <x:v>EX03</x:v>
      </x:c>
      <x:c r="C389" s="60" t="n">
        <x:v>10</x:v>
      </x:c>
      <x:c r="D389" s="60" t="str">
        <x:v>BASE</x:v>
      </x:c>
      <x:c r="E389" s="82" t="n">
        <x:v>0</x:v>
      </x:c>
      <x:c r="F389" s="82" t="n">
        <x:v>579.5999999999999</x:v>
      </x:c>
      <x:c r="G389" s="83" t="n">
        <x:f>E389*F389</x:f>
        <x:v>0</x:v>
      </x:c>
      <x:c r="H389" s="60" t="str">
        <x:v>Invoice</x:v>
      </x:c>
      <x:c r="I389" s="54"/>
      <x:c r="J389" s="54"/>
      <x:c r="K389" s="54"/>
      <x:c r="L389" s="54"/>
      <x:c r="M389" s="54"/>
      <x:c r="N389" s="54"/>
      <x:c r="O389" s="54"/>
      <x:c r="P389" s="54"/>
      <x:c r="Q389" s="54"/>
      <x:c r="R389" s="54"/>
      <x:c r="S389" s="54"/>
    </x:row>
    <x:row r="390" ht="23" customHeight="1">
      <x:c r="A390" s="58" t="str">
        <x:v>AC-0383</x:v>
      </x:c>
      <x:c r="B390" s="58" t="str">
        <x:v>EX03</x:v>
      </x:c>
      <x:c r="C390" s="58" t="n">
        <x:v>11</x:v>
      </x:c>
      <x:c r="D390" s="58" t="str">
        <x:v>BASE</x:v>
      </x:c>
      <x:c r="E390" s="79" t="n">
        <x:v>0</x:v>
      </x:c>
      <x:c r="F390" s="79" t="n">
        <x:v>579.5999999999999</x:v>
      </x:c>
      <x:c r="G390" s="80" t="n">
        <x:f>E390*F390</x:f>
        <x:v>0</x:v>
      </x:c>
      <x:c r="H390" s="58" t="str">
        <x:v>Invoice</x:v>
      </x:c>
      <x:c r="I390" s="54"/>
      <x:c r="J390" s="54"/>
      <x:c r="K390" s="54"/>
      <x:c r="L390" s="54"/>
      <x:c r="M390" s="54"/>
      <x:c r="N390" s="54"/>
      <x:c r="O390" s="54"/>
      <x:c r="P390" s="54"/>
      <x:c r="Q390" s="54"/>
      <x:c r="R390" s="54"/>
      <x:c r="S390" s="54"/>
    </x:row>
    <x:row r="391" ht="23" customHeight="1">
      <x:c r="A391" s="60" t="str">
        <x:v>AC-0384</x:v>
      </x:c>
      <x:c r="B391" s="60" t="str">
        <x:v>EX03</x:v>
      </x:c>
      <x:c r="C391" s="60" t="n">
        <x:v>12</x:v>
      </x:c>
      <x:c r="D391" s="60" t="str">
        <x:v>BASE</x:v>
      </x:c>
      <x:c r="E391" s="82" t="n">
        <x:v>0</x:v>
      </x:c>
      <x:c r="F391" s="82" t="n">
        <x:v>579.5999999999999</x:v>
      </x:c>
      <x:c r="G391" s="83" t="n">
        <x:f>E391*F391</x:f>
        <x:v>0</x:v>
      </x:c>
      <x:c r="H391" s="60" t="str">
        <x:v>Invoice</x:v>
      </x:c>
      <x:c r="I391" s="54"/>
      <x:c r="J391" s="54"/>
      <x:c r="K391" s="54"/>
      <x:c r="L391" s="54"/>
      <x:c r="M391" s="54"/>
      <x:c r="N391" s="54"/>
      <x:c r="O391" s="54"/>
      <x:c r="P391" s="54"/>
      <x:c r="Q391" s="54"/>
      <x:c r="R391" s="54"/>
      <x:c r="S391" s="54"/>
    </x:row>
    <x:row r="392" ht="23" customHeight="1">
      <x:c r="A392" s="58" t="str">
        <x:v>AC-0385</x:v>
      </x:c>
      <x:c r="B392" s="58" t="str">
        <x:v>RC02</x:v>
      </x:c>
      <x:c r="C392" s="58" t="n">
        <x:v>3</x:v>
      </x:c>
      <x:c r="D392" s="58" t="str">
        <x:v>VO-001</x:v>
      </x:c>
      <x:c r="E392" s="79" t="n">
        <x:v>420</x:v>
      </x:c>
      <x:c r="F392" s="79" t="n">
        <x:v>148</x:v>
      </x:c>
      <x:c r="G392" s="80" t="n">
        <x:f>E392*F392</x:f>
        <x:v>62160</x:v>
      </x:c>
      <x:c r="H392" s="58" t="str">
        <x:v>Assessed cost</x:v>
      </x:c>
      <x:c r="I392" s="54"/>
      <x:c r="J392" s="54"/>
      <x:c r="K392" s="54"/>
      <x:c r="L392" s="54"/>
      <x:c r="M392" s="54"/>
      <x:c r="N392" s="54"/>
      <x:c r="O392" s="54"/>
      <x:c r="P392" s="54"/>
      <x:c r="Q392" s="54"/>
      <x:c r="R392" s="54"/>
      <x:c r="S392" s="54"/>
    </x:row>
    <x:row r="393" ht="23" customHeight="1">
      <x:c r="A393" s="60" t="str">
        <x:v>AC-0386</x:v>
      </x:c>
      <x:c r="B393" s="60" t="str">
        <x:v>RB01</x:v>
      </x:c>
      <x:c r="C393" s="60" t="n">
        <x:v>4</x:v>
      </x:c>
      <x:c r="D393" s="60" t="str">
        <x:v>VO-002</x:v>
      </x:c>
      <x:c r="E393" s="82" t="n">
        <x:v>28.5</x:v>
      </x:c>
      <x:c r="F393" s="82" t="n">
        <x:v>1455.4999999999998</x:v>
      </x:c>
      <x:c r="G393" s="83" t="n">
        <x:f>E393*F393</x:f>
        <x:v>41481.74999999999</x:v>
      </x:c>
      <x:c r="H393" s="60" t="str">
        <x:v>Assessed cost</x:v>
      </x:c>
      <x:c r="I393" s="54"/>
      <x:c r="J393" s="54"/>
      <x:c r="K393" s="54"/>
      <x:c r="L393" s="54"/>
      <x:c r="M393" s="54"/>
      <x:c r="N393" s="54"/>
      <x:c r="O393" s="54"/>
      <x:c r="P393" s="54"/>
      <x:c r="Q393" s="54"/>
      <x:c r="R393" s="54"/>
      <x:c r="S393" s="54"/>
    </x:row>
    <x:row r="394" ht="23" customHeight="1">
      <x:c r="A394" s="58" t="str">
        <x:v>AC-0387</x:v>
      </x:c>
      <x:c r="B394" s="58" t="str">
        <x:v>RC06</x:v>
      </x:c>
      <x:c r="C394" s="58" t="n">
        <x:v>5</x:v>
      </x:c>
      <x:c r="D394" s="58" t="str">
        <x:v>VO-003</x:v>
      </x:c>
      <x:c r="E394" s="79" t="n">
        <x:v>95</x:v>
      </x:c>
      <x:c r="F394" s="79" t="n">
        <x:v>195.3</x:v>
      </x:c>
      <x:c r="G394" s="80" t="n">
        <x:f>E394*F394</x:f>
        <x:v>18553.5</x:v>
      </x:c>
      <x:c r="H394" s="58" t="str">
        <x:v>Assessed cost</x:v>
      </x:c>
      <x:c r="I394" s="54"/>
      <x:c r="J394" s="54"/>
      <x:c r="K394" s="54"/>
      <x:c r="L394" s="54"/>
      <x:c r="M394" s="54"/>
      <x:c r="N394" s="54"/>
      <x:c r="O394" s="54"/>
      <x:c r="P394" s="54"/>
      <x:c r="Q394" s="54"/>
      <x:c r="R394" s="54"/>
      <x:c r="S394" s="54"/>
    </x:row>
    <x:row r="395" ht="23" customHeight="1">
      <x:c r="A395" s="60" t="str">
        <x:v>AC-0388</x:v>
      </x:c>
      <x:c r="B395" s="60" t="str">
        <x:v>EN01</x:v>
      </x:c>
      <x:c r="C395" s="60" t="n">
        <x:v>6</x:v>
      </x:c>
      <x:c r="D395" s="60" t="str">
        <x:v>VO-004</x:v>
      </x:c>
      <x:c r="E395" s="82" t="n">
        <x:v>1575</x:v>
      </x:c>
      <x:c r="F395" s="82" t="n">
        <x:v>25.799999999999997</x:v>
      </x:c>
      <x:c r="G395" s="83" t="n">
        <x:f>E395*F395</x:f>
        <x:v>40634.99999999999</x:v>
      </x:c>
      <x:c r="H395" s="60" t="str">
        <x:v>Assessed cost</x:v>
      </x:c>
      <x:c r="I395" s="54"/>
      <x:c r="J395" s="54"/>
      <x:c r="K395" s="54"/>
      <x:c r="L395" s="54"/>
      <x:c r="M395" s="54"/>
      <x:c r="N395" s="54"/>
      <x:c r="O395" s="54"/>
      <x:c r="P395" s="54"/>
      <x:c r="Q395" s="54"/>
      <x:c r="R395" s="54"/>
      <x:c r="S395" s="54"/>
    </x:row>
    <x:row r="396" ht="23" customHeight="1">
      <x:c r="A396" s="58" t="str">
        <x:v>AC-0389</x:v>
      </x:c>
      <x:c r="B396" s="58" t="str">
        <x:v>EN03</x:v>
      </x:c>
      <x:c r="C396" s="58" t="n">
        <x:v>7</x:v>
      </x:c>
      <x:c r="D396" s="58" t="str">
        <x:v>VO-005</x:v>
      </x:c>
      <x:c r="E396" s="79" t="n">
        <x:v>570</x:v>
      </x:c>
      <x:c r="F396" s="79" t="n">
        <x:v>41.800000000000004</x:v>
      </x:c>
      <x:c r="G396" s="80" t="n">
        <x:f>E396*F396</x:f>
        <x:v>23826.000000000004</x:v>
      </x:c>
      <x:c r="H396" s="58" t="str">
        <x:v>Assessed cost</x:v>
      </x:c>
      <x:c r="I396" s="54"/>
      <x:c r="J396" s="54"/>
      <x:c r="K396" s="54"/>
      <x:c r="L396" s="54"/>
      <x:c r="M396" s="54"/>
      <x:c r="N396" s="54"/>
      <x:c r="O396" s="54"/>
      <x:c r="P396" s="54"/>
      <x:c r="Q396" s="54"/>
      <x:c r="R396" s="54"/>
      <x:c r="S396" s="54"/>
    </x:row>
    <x:row r="397" ht="23" customHeight="1">
      <x:c r="A397" s="60" t="str">
        <x:v>AC-0390</x:v>
      </x:c>
      <x:c r="B397" s="60" t="str">
        <x:v>EX03</x:v>
      </x:c>
      <x:c r="C397" s="60" t="n">
        <x:v>8</x:v>
      </x:c>
      <x:c r="D397" s="60" t="str">
        <x:v>VO-006</x:v>
      </x:c>
      <x:c r="E397" s="82" t="n">
        <x:v>7.5</x:v>
      </x:c>
      <x:c r="F397" s="82" t="n">
        <x:v>1280</x:v>
      </x:c>
      <x:c r="G397" s="83" t="n">
        <x:f>E397*F397</x:f>
        <x:v>9600</x:v>
      </x:c>
      <x:c r="H397" s="60" t="str">
        <x:v>Assessed cost</x:v>
      </x:c>
      <x:c r="I397" s="54"/>
      <x:c r="J397" s="54"/>
      <x:c r="K397" s="54"/>
      <x:c r="L397" s="54"/>
      <x:c r="M397" s="54"/>
      <x:c r="N397" s="54"/>
      <x:c r="O397" s="54"/>
      <x:c r="P397" s="54"/>
      <x:c r="Q397" s="54"/>
      <x:c r="R397" s="54"/>
      <x:c r="S397" s="54"/>
    </x:row>
    <x:row r="398" ht="23" customHeight="1">
      <x:c r="A398" s="58" t="str">
        <x:v>AC-0391</x:v>
      </x:c>
      <x:c r="B398" s="58" t="str">
        <x:v>EN02</x:v>
      </x:c>
      <x:c r="C398" s="58" t="n">
        <x:v>9</x:v>
      </x:c>
      <x:c r="D398" s="58" t="str">
        <x:v>VO-007</x:v>
      </x:c>
      <x:c r="E398" s="79" t="n">
        <x:v>325</x:v>
      </x:c>
      <x:c r="F398" s="79" t="n">
        <x:v>32.8</x:v>
      </x:c>
      <x:c r="G398" s="80" t="n">
        <x:f>E398*F398</x:f>
        <x:v>10659.999999999998</x:v>
      </x:c>
      <x:c r="H398" s="58" t="str">
        <x:v>Assessed cost</x:v>
      </x:c>
      <x:c r="I398" s="54"/>
      <x:c r="J398" s="54"/>
      <x:c r="K398" s="54"/>
      <x:c r="L398" s="54"/>
      <x:c r="M398" s="54"/>
      <x:c r="N398" s="54"/>
      <x:c r="O398" s="54"/>
      <x:c r="P398" s="54"/>
      <x:c r="Q398" s="54"/>
      <x:c r="R398" s="54"/>
      <x:c r="S398" s="54"/>
    </x:row>
    <x:row r="399" ht="23" customHeight="1">
      <x:c r="A399" s="60" t="str">
        <x:v>AC-0392</x:v>
      </x:c>
      <x:c r="B399" s="60" t="str">
        <x:v>EX01</x:v>
      </x:c>
      <x:c r="C399" s="60" t="n">
        <x:v>10</x:v>
      </x:c>
      <x:c r="D399" s="60" t="str">
        <x:v>VO-008</x:v>
      </x:c>
      <x:c r="E399" s="82" t="n">
        <x:v>131.25</x:v>
      </x:c>
      <x:c r="F399" s="82" t="n">
        <x:v>59.85</x:v>
      </x:c>
      <x:c r="G399" s="83" t="n">
        <x:f>E399*F399</x:f>
        <x:v>7855.3125</x:v>
      </x:c>
      <x:c r="H399" s="60" t="str">
        <x:v>Assessed cost</x:v>
      </x:c>
      <x:c r="I399" s="54"/>
      <x:c r="J399" s="54"/>
      <x:c r="K399" s="54"/>
      <x:c r="L399" s="54"/>
      <x:c r="M399" s="54"/>
      <x:c r="N399" s="54"/>
      <x:c r="O399" s="54"/>
      <x:c r="P399" s="54"/>
      <x:c r="Q399" s="54"/>
      <x:c r="R399" s="54"/>
      <x:c r="S399" s="54"/>
    </x:row>
    <x:row r="400" ht="23" customHeight="1">
      <x:c r="A400" s="58" t="str">
        <x:v>AC-0393</x:v>
      </x:c>
      <x:c r="B400" s="58" t="str">
        <x:v>RC02</x:v>
      </x:c>
      <x:c r="C400" s="58" t="n">
        <x:v>11</x:v>
      </x:c>
      <x:c r="D400" s="58" t="str">
        <x:v>VO-009</x:v>
      </x:c>
      <x:c r="E400" s="79" t="n">
        <x:v>117.60000000000001</x:v>
      </x:c>
      <x:c r="F400" s="79" t="n">
        <x:v>159.1</x:v>
      </x:c>
      <x:c r="G400" s="80" t="n">
        <x:f>E400*F400</x:f>
        <x:v>18710.16</x:v>
      </x:c>
      <x:c r="H400" s="58" t="str">
        <x:v>Assessed cost</x:v>
      </x:c>
      <x:c r="I400" s="54"/>
      <x:c r="J400" s="54"/>
      <x:c r="K400" s="54"/>
      <x:c r="L400" s="54"/>
      <x:c r="M400" s="54"/>
      <x:c r="N400" s="54"/>
      <x:c r="O400" s="54"/>
      <x:c r="P400" s="54"/>
      <x:c r="Q400" s="54"/>
      <x:c r="R400" s="54"/>
      <x:c r="S400" s="54"/>
    </x:row>
    <x:row r="401" ht="23" customHeight="1">
      <x:c r="A401" s="60" t="str">
        <x:v>AC-0394</x:v>
      </x:c>
      <x:c r="B401" s="60" t="str">
        <x:v>RB01</x:v>
      </x:c>
      <x:c r="C401" s="60" t="n">
        <x:v>12</x:v>
      </x:c>
      <x:c r="D401" s="60" t="str">
        <x:v>VO-010</x:v>
      </x:c>
      <x:c r="E401" s="82" t="n">
        <x:v>3.99</x:v>
      </x:c>
      <x:c r="F401" s="82" t="n">
        <x:v>1562.0000000000002</x:v>
      </x:c>
      <x:c r="G401" s="83" t="n">
        <x:f>E401*F401</x:f>
        <x:v>6232.380000000001</x:v>
      </x:c>
      <x:c r="H401" s="60" t="str">
        <x:v>Assessed cost</x:v>
      </x:c>
      <x:c r="I401" s="54"/>
      <x:c r="J401" s="54"/>
      <x:c r="K401" s="54"/>
      <x:c r="L401" s="54"/>
      <x:c r="M401" s="54"/>
      <x:c r="N401" s="54"/>
      <x:c r="O401" s="54"/>
      <x:c r="P401" s="54"/>
      <x:c r="Q401" s="54"/>
      <x:c r="R401" s="54"/>
      <x:c r="S401" s="54"/>
    </x:row>
    <x:row r="402" ht="23" customHeight="1">
      <x:c r="A402" s="58" t="str">
        <x:v>AC-0395</x:v>
      </x:c>
      <x:c r="B402" s="58" t="str">
        <x:v>RC06</x:v>
      </x:c>
      <x:c r="C402" s="58" t="n">
        <x:v>3</x:v>
      </x:c>
      <x:c r="D402" s="58" t="str">
        <x:v>VO-011</x:v>
      </x:c>
      <x:c r="E402" s="79" t="n">
        <x:v>106.4</x:v>
      </x:c>
      <x:c r="F402" s="79" t="n">
        <x:v>186</x:v>
      </x:c>
      <x:c r="G402" s="80" t="n">
        <x:f>E402*F402</x:f>
        <x:v>19790.4</x:v>
      </x:c>
      <x:c r="H402" s="58" t="str">
        <x:v>Assessed cost</x:v>
      </x:c>
      <x:c r="I402" s="54"/>
      <x:c r="J402" s="54"/>
      <x:c r="K402" s="54"/>
      <x:c r="L402" s="54"/>
      <x:c r="M402" s="54"/>
      <x:c r="N402" s="54"/>
      <x:c r="O402" s="54"/>
      <x:c r="P402" s="54"/>
      <x:c r="Q402" s="54"/>
      <x:c r="R402" s="54"/>
      <x:c r="S402" s="54"/>
    </x:row>
    <x:row r="403" ht="23" customHeight="1">
      <x:c r="A403" s="60" t="str">
        <x:v>AC-0396</x:v>
      </x:c>
      <x:c r="B403" s="60" t="str">
        <x:v>EN01</x:v>
      </x:c>
      <x:c r="C403" s="60" t="n">
        <x:v>4</x:v>
      </x:c>
      <x:c r="D403" s="60" t="str">
        <x:v>VO-012</x:v>
      </x:c>
      <x:c r="E403" s="82" t="n">
        <x:v>2016.0000000000002</x:v>
      </x:c>
      <x:c r="F403" s="82" t="n">
        <x:v>24.599999999999998</x:v>
      </x:c>
      <x:c r="G403" s="83" t="n">
        <x:f>E403*F403</x:f>
        <x:v>49593.6</x:v>
      </x:c>
      <x:c r="H403" s="60" t="str">
        <x:v>Assessed cost</x:v>
      </x:c>
      <x:c r="I403" s="54"/>
      <x:c r="J403" s="54"/>
      <x:c r="K403" s="54"/>
      <x:c r="L403" s="54"/>
      <x:c r="M403" s="54"/>
      <x:c r="N403" s="54"/>
      <x:c r="O403" s="54"/>
      <x:c r="P403" s="54"/>
      <x:c r="Q403" s="54"/>
      <x:c r="R403" s="54"/>
      <x:c r="S403" s="54"/>
    </x:row>
    <x:row r="404" ht="23" customHeight="1">
      <x:c r="A404" s="58" t="str">
        <x:v>AC-0397</x:v>
      </x:c>
      <x:c r="B404" s="58" t="str">
        <x:v>EN03</x:v>
      </x:c>
      <x:c r="C404" s="58" t="n">
        <x:v>5</x:v>
      </x:c>
      <x:c r="D404" s="58" t="str">
        <x:v>VO-013</x:v>
      </x:c>
      <x:c r="E404" s="79" t="n">
        <x:v>851.2</x:v>
      </x:c>
      <x:c r="F404" s="79" t="n">
        <x:v>39.9</x:v>
      </x:c>
      <x:c r="G404" s="80" t="n">
        <x:f>E404*F404</x:f>
        <x:v>33962.88</x:v>
      </x:c>
      <x:c r="H404" s="58" t="str">
        <x:v>Assessed cost</x:v>
      </x:c>
      <x:c r="I404" s="54"/>
      <x:c r="J404" s="54"/>
      <x:c r="K404" s="54"/>
      <x:c r="L404" s="54"/>
      <x:c r="M404" s="54"/>
      <x:c r="N404" s="54"/>
      <x:c r="O404" s="54"/>
      <x:c r="P404" s="54"/>
      <x:c r="Q404" s="54"/>
      <x:c r="R404" s="54"/>
      <x:c r="S404" s="54"/>
    </x:row>
    <x:row r="405" ht="23" customHeight="1">
      <x:c r="A405" s="60" t="str">
        <x:v>AC-0398</x:v>
      </x:c>
      <x:c r="B405" s="60" t="str">
        <x:v>EX03</x:v>
      </x:c>
      <x:c r="C405" s="60" t="n">
        <x:v>6</x:v>
      </x:c>
      <x:c r="D405" s="60" t="str">
        <x:v>VO-014</x:v>
      </x:c>
      <x:c r="E405" s="82" t="n">
        <x:v>11.760000000000002</x:v>
      </x:c>
      <x:c r="F405" s="82" t="n">
        <x:v>1376</x:v>
      </x:c>
      <x:c r="G405" s="83" t="n">
        <x:f>E405*F405</x:f>
        <x:v>16181.760000000002</x:v>
      </x:c>
      <x:c r="H405" s="60" t="str">
        <x:v>Assessed cost</x:v>
      </x:c>
      <x:c r="I405" s="54"/>
      <x:c r="J405" s="54"/>
      <x:c r="K405" s="54"/>
      <x:c r="L405" s="54"/>
      <x:c r="M405" s="54"/>
      <x:c r="N405" s="54"/>
      <x:c r="O405" s="54"/>
      <x:c r="P405" s="54"/>
      <x:c r="Q405" s="54"/>
      <x:c r="R405" s="54"/>
      <x:c r="S405" s="54"/>
    </x:row>
    <x:row r="406" ht="23" customHeight="1">
      <x:c r="A406" s="58" t="str">
        <x:v>AC-0399</x:v>
      </x:c>
      <x:c r="B406" s="58" t="str">
        <x:v>EN02</x:v>
      </x:c>
      <x:c r="C406" s="58" t="n">
        <x:v>7</x:v>
      </x:c>
      <x:c r="D406" s="58" t="str">
        <x:v>VO-015</x:v>
      </x:c>
      <x:c r="E406" s="79" t="n">
        <x:v>136.50000000000003</x:v>
      </x:c>
      <x:c r="F406" s="79" t="n">
        <x:v>35.2</x:v>
      </x:c>
      <x:c r="G406" s="80" t="n">
        <x:f>E406*F406</x:f>
        <x:v>4804.800000000001</x:v>
      </x:c>
      <x:c r="H406" s="58" t="str">
        <x:v>Assessed cost</x:v>
      </x:c>
      <x:c r="I406" s="54"/>
      <x:c r="J406" s="54"/>
      <x:c r="K406" s="54"/>
      <x:c r="L406" s="54"/>
      <x:c r="M406" s="54"/>
      <x:c r="N406" s="54"/>
      <x:c r="O406" s="54"/>
      <x:c r="P406" s="54"/>
      <x:c r="Q406" s="54"/>
      <x:c r="R406" s="54"/>
      <x:c r="S406" s="54"/>
    </x:row>
    <x:row r="407" ht="23" customHeight="1">
      <x:c r="A407" s="60" t="str">
        <x:v>AC-0400</x:v>
      </x:c>
      <x:c r="B407" s="60" t="str">
        <x:v>EX01</x:v>
      </x:c>
      <x:c r="C407" s="60" t="n">
        <x:v>8</x:v>
      </x:c>
      <x:c r="D407" s="60" t="str">
        <x:v>VO-016</x:v>
      </x:c>
      <x:c r="E407" s="82" t="n">
        <x:v>980.0000000000001</x:v>
      </x:c>
      <x:c r="F407" s="82" t="n">
        <x:v>57</x:v>
      </x:c>
      <x:c r="G407" s="83" t="n">
        <x:f>E407*F407</x:f>
        <x:v>55860.00000000001</x:v>
      </x:c>
      <x:c r="H407" s="60" t="str">
        <x:v>Assessed cost</x:v>
      </x:c>
      <x:c r="I407" s="54"/>
      <x:c r="J407" s="54"/>
      <x:c r="K407" s="54"/>
      <x:c r="L407" s="54"/>
      <x:c r="M407" s="54"/>
      <x:c r="N407" s="54"/>
      <x:c r="O407" s="54"/>
      <x:c r="P407" s="54"/>
      <x:c r="Q407" s="54"/>
      <x:c r="R407" s="54"/>
      <x:c r="S407" s="54"/>
    </x:row>
    <x:row r="408" ht="23" customHeight="1">
      <x:c r="A408" s="58" t="str">
        <x:v>AC-0401</x:v>
      </x:c>
      <x:c r="B408" s="58" t="str">
        <x:v>RC02</x:v>
      </x:c>
      <x:c r="C408" s="58" t="n">
        <x:v>9</x:v>
      </x:c>
      <x:c r="D408" s="58" t="str">
        <x:v>VO-017</x:v>
      </x:c>
      <x:c r="E408" s="79" t="n">
        <x:v>260.4</x:v>
      </x:c>
      <x:c r="F408" s="79" t="n">
        <x:v>151.7</x:v>
      </x:c>
      <x:c r="G408" s="80" t="n">
        <x:f>E408*F408</x:f>
        <x:v>39502.67999999999</x:v>
      </x:c>
      <x:c r="H408" s="58" t="str">
        <x:v>Assessed cost</x:v>
      </x:c>
      <x:c r="I408" s="54"/>
      <x:c r="J408" s="54"/>
      <x:c r="K408" s="54"/>
      <x:c r="L408" s="54"/>
      <x:c r="M408" s="54"/>
      <x:c r="N408" s="54"/>
      <x:c r="O408" s="54"/>
      <x:c r="P408" s="54"/>
      <x:c r="Q408" s="54"/>
      <x:c r="R408" s="54"/>
      <x:c r="S408" s="54"/>
    </x:row>
    <x:row r="409" ht="23" customHeight="1">
      <x:c r="A409" s="60" t="str">
        <x:v>AC-0402</x:v>
      </x:c>
      <x:c r="B409" s="60" t="str">
        <x:v>RB01</x:v>
      </x:c>
      <x:c r="C409" s="60" t="n">
        <x:v>10</x:v>
      </x:c>
      <x:c r="D409" s="60" t="str">
        <x:v>VO-018</x:v>
      </x:c>
      <x:c r="E409" s="82" t="n">
        <x:v>13.252499999999998</x:v>
      </x:c>
      <x:c r="F409" s="82" t="n">
        <x:v>1491</x:v>
      </x:c>
      <x:c r="G409" s="83" t="n">
        <x:f>E409*F409</x:f>
        <x:v>19759.477499999997</x:v>
      </x:c>
      <x:c r="H409" s="60" t="str">
        <x:v>Assessed cost</x:v>
      </x:c>
      <x:c r="I409" s="54"/>
      <x:c r="J409" s="54"/>
      <x:c r="K409" s="54"/>
      <x:c r="L409" s="54"/>
      <x:c r="M409" s="54"/>
      <x:c r="N409" s="54"/>
      <x:c r="O409" s="54"/>
      <x:c r="P409" s="54"/>
      <x:c r="Q409" s="54"/>
      <x:c r="R409" s="54"/>
      <x:c r="S409" s="54"/>
    </x:row>
    <x:row r="410" ht="23" customHeight="1">
      <x:c r="A410" s="58" t="str">
        <x:v>AC-0403</x:v>
      </x:c>
      <x:c r="B410" s="58" t="str">
        <x:v>RC06</x:v>
      </x:c>
      <x:c r="C410" s="58" t="n">
        <x:v>11</x:v>
      </x:c>
      <x:c r="D410" s="58" t="str">
        <x:v>VO-019</x:v>
      </x:c>
      <x:c r="E410" s="79" t="n">
        <x:v>29.45</x:v>
      </x:c>
      <x:c r="F410" s="79" t="n">
        <x:v>199.95</x:v>
      </x:c>
      <x:c r="G410" s="80" t="n">
        <x:f>E410*F410</x:f>
        <x:v>5888.527499999999</x:v>
      </x:c>
      <x:c r="H410" s="58" t="str">
        <x:v>Assessed cost</x:v>
      </x:c>
      <x:c r="I410" s="54"/>
      <x:c r="J410" s="54"/>
      <x:c r="K410" s="54"/>
      <x:c r="L410" s="54"/>
      <x:c r="M410" s="54"/>
      <x:c r="N410" s="54"/>
      <x:c r="O410" s="54"/>
      <x:c r="P410" s="54"/>
      <x:c r="Q410" s="54"/>
      <x:c r="R410" s="54"/>
      <x:c r="S410" s="54"/>
    </x:row>
    <x:row r="411" ht="23" customHeight="1">
      <x:c r="A411" s="60" t="str">
        <x:v>AC-0404</x:v>
      </x:c>
      <x:c r="B411" s="60" t="str">
        <x:v>EN01</x:v>
      </x:c>
      <x:c r="C411" s="60" t="n">
        <x:v>12</x:v>
      </x:c>
      <x:c r="D411" s="60" t="str">
        <x:v>VO-020</x:v>
      </x:c>
      <x:c r="E411" s="82" t="n">
        <x:v>279</x:v>
      </x:c>
      <x:c r="F411" s="82" t="n">
        <x:v>26.400000000000002</x:v>
      </x:c>
      <x:c r="G411" s="83" t="n">
        <x:f>E411*F411</x:f>
        <x:v>7365.6</x:v>
      </x:c>
      <x:c r="H411" s="60" t="str">
        <x:v>Assessed cost</x:v>
      </x:c>
      <x:c r="I411" s="54"/>
      <x:c r="J411" s="54"/>
      <x:c r="K411" s="54"/>
      <x:c r="L411" s="54"/>
      <x:c r="M411" s="54"/>
      <x:c r="N411" s="54"/>
      <x:c r="O411" s="54"/>
      <x:c r="P411" s="54"/>
      <x:c r="Q411" s="54"/>
      <x:c r="R411" s="54"/>
      <x:c r="S411" s="54"/>
    </x:row>
    <x:row r="412" ht="23" customHeight="1">
      <x:c r="A412" s="58" t="str">
        <x:v>AC-0405</x:v>
      </x:c>
      <x:c r="B412" s="58" t="str">
        <x:v>EN03</x:v>
      </x:c>
      <x:c r="C412" s="58" t="n">
        <x:v>3</x:v>
      </x:c>
      <x:c r="D412" s="58" t="str">
        <x:v>VO-021</x:v>
      </x:c>
      <x:c r="E412" s="79" t="n">
        <x:v>942.4</x:v>
      </x:c>
      <x:c r="F412" s="79" t="n">
        <x:v>38</x:v>
      </x:c>
      <x:c r="G412" s="80" t="n">
        <x:f>E412*F412</x:f>
        <x:v>35811.2</x:v>
      </x:c>
      <x:c r="H412" s="58" t="str">
        <x:v>Assessed cost</x:v>
      </x:c>
      <x:c r="I412" s="54"/>
      <x:c r="J412" s="54"/>
      <x:c r="K412" s="54"/>
      <x:c r="L412" s="54"/>
      <x:c r="M412" s="54"/>
      <x:c r="N412" s="54"/>
      <x:c r="O412" s="54"/>
      <x:c r="P412" s="54"/>
      <x:c r="Q412" s="54"/>
      <x:c r="R412" s="54"/>
      <x:c r="S412" s="54"/>
    </x:row>
    <x:row r="413" ht="23" customHeight="1">
      <x:c r="A413" s="60" t="str">
        <x:v>AC-0406</x:v>
      </x:c>
      <x:c r="B413" s="60" t="str">
        <x:v>EX03</x:v>
      </x:c>
      <x:c r="C413" s="60" t="n">
        <x:v>4</x:v>
      </x:c>
      <x:c r="D413" s="60" t="str">
        <x:v>VO-022</x:v>
      </x:c>
      <x:c r="E413" s="82" t="n">
        <x:v>3.7199999999999998</x:v>
      </x:c>
      <x:c r="F413" s="82" t="n">
        <x:v>1312</x:v>
      </x:c>
      <x:c r="G413" s="83" t="n">
        <x:f>E413*F413</x:f>
        <x:v>4880.639999999999</x:v>
      </x:c>
      <x:c r="H413" s="60" t="str">
        <x:v>Assessed cost</x:v>
      </x:c>
      <x:c r="I413" s="54"/>
      <x:c r="J413" s="54"/>
      <x:c r="K413" s="54"/>
      <x:c r="L413" s="54"/>
      <x:c r="M413" s="54"/>
      <x:c r="N413" s="54"/>
      <x:c r="O413" s="54"/>
      <x:c r="P413" s="54"/>
      <x:c r="Q413" s="54"/>
      <x:c r="R413" s="54"/>
      <x:c r="S413" s="54"/>
    </x:row>
    <x:row r="414" ht="23" customHeight="1">
      <x:c r="A414" s="58" t="str">
        <x:v>AC-0407</x:v>
      </x:c>
      <x:c r="B414" s="58" t="str">
        <x:v>EN02</x:v>
      </x:c>
      <x:c r="C414" s="58" t="n">
        <x:v>5</x:v>
      </x:c>
      <x:c r="D414" s="58" t="str">
        <x:v>VO-023</x:v>
      </x:c>
      <x:c r="E414" s="79" t="n">
        <x:v>806</x:v>
      </x:c>
      <x:c r="F414" s="79" t="n">
        <x:v>33.6</x:v>
      </x:c>
      <x:c r="G414" s="80" t="n">
        <x:f>E414*F414</x:f>
        <x:v>27081.600000000002</x:v>
      </x:c>
      <x:c r="H414" s="58" t="str">
        <x:v>Assessed cost</x:v>
      </x:c>
      <x:c r="I414" s="54"/>
      <x:c r="J414" s="54"/>
      <x:c r="K414" s="54"/>
      <x:c r="L414" s="54"/>
      <x:c r="M414" s="54"/>
      <x:c r="N414" s="54"/>
      <x:c r="O414" s="54"/>
      <x:c r="P414" s="54"/>
      <x:c r="Q414" s="54"/>
      <x:c r="R414" s="54"/>
      <x:c r="S414" s="54"/>
    </x:row>
    <x:row r="415" ht="23" customHeight="1">
      <x:c r="A415" s="60" t="str">
        <x:v>AC-0408</x:v>
      </x:c>
      <x:c r="B415" s="60" t="str">
        <x:v>EX01</x:v>
      </x:c>
      <x:c r="C415" s="60" t="n">
        <x:v>6</x:v>
      </x:c>
      <x:c r="D415" s="60" t="str">
        <x:v>VO-024</x:v>
      </x:c>
      <x:c r="E415" s="82" t="n">
        <x:v>1519</x:v>
      </x:c>
      <x:c r="F415" s="82" t="n">
        <x:v>61.275</x:v>
      </x:c>
      <x:c r="G415" s="83" t="n">
        <x:f>E415*F415</x:f>
        <x:v>93076.72499999999</x:v>
      </x:c>
      <x:c r="H415" s="60" t="str">
        <x:v>Assessed cost</x:v>
      </x:c>
      <x:c r="I415" s="54"/>
      <x:c r="J415" s="54"/>
      <x:c r="K415" s="54"/>
      <x:c r="L415" s="54"/>
      <x:c r="M415" s="54"/>
      <x:c r="N415" s="54"/>
      <x:c r="O415" s="54"/>
      <x:c r="P415" s="54"/>
      <x:c r="Q415" s="54"/>
      <x:c r="R415" s="54"/>
      <x:c r="S415" s="54"/>
    </x:row>
  </x:sheetData>
  <x:pageMargins left="0.7" right="0.7" top="0.75" bottom="0.75" header="0.3" footer="0.3"/>
  <x:tableParts count="1">
    <x:tablePart xmlns:r="http://schemas.openxmlformats.org/officeDocument/2006/relationships" r:id="R139153e66f4844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2" hidden="0" customWidth="1"/>
    <x:col min="5" max="5" width="21" hidden="0" customWidth="1"/>
    <x:col min="6" max="6" width="21" hidden="0" customWidth="1"/>
    <x:col min="7" max="7" width="23" hidden="0" customWidth="1"/>
    <x:col min="8" max="8" width="13" hidden="0" customWidth="1"/>
    <x:col min="9" max="9" width="13" hidden="0" customWidth="1"/>
    <x:col min="10" max="10" width="22" hidden="0" customWidth="1"/>
    <x:col min="11" max="11" width="24" hidden="0" customWidth="1"/>
  </x:cols>
  <x:sheetData>
    <x:row r="2">
      <x:c r="A2" s="53" t="str">
        <x:v>Controlled BOQ baseline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Source: CE_R01_Residential_Quantity_BOQ.xlsx Rev 01. Original quantities and costs retained.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Code</x:v>
      </x:c>
      <x:c r="B7" s="6" t="str">
        <x:v>Trade</x:v>
      </x:c>
      <x:c r="C7" s="6" t="str">
        <x:v>Scope</x:v>
      </x:c>
      <x:c r="D7" s="6" t="str">
        <x:v>Unit</x:v>
      </x:c>
      <x:c r="E7" s="6" t="str">
        <x:v>BOQ quantity</x:v>
      </x:c>
      <x:c r="F7" s="6" t="str">
        <x:v>Budget unit rate</x:v>
      </x:c>
      <x:c r="G7" s="6" t="str">
        <x:v>Budget USD</x:v>
      </x:c>
      <x:c r="H7" s="6" t="str">
        <x:v>Start M</x:v>
      </x:c>
      <x:c r="I7" s="6" t="str">
        <x:v>Finish M</x:v>
      </x:c>
      <x:c r="J7" s="6" t="str">
        <x:v>Contract rate</x:v>
      </x:c>
      <x:c r="K7" s="6" t="str">
        <x:v>Planned qty at cutoff</x:v>
      </x:c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EW01</x:v>
      </x:c>
      <x:c r="B8" s="58" t="str">
        <x:v>Earthworks</x:v>
      </x:c>
      <x:c r="C8" s="58" t="str">
        <x:v>Bulk excavation</x:v>
      </x:c>
      <x:c r="D8" s="58" t="str">
        <x:v>m3</x:v>
      </x:c>
      <x:c r="E8" s="79" t="n">
        <x:v>69192</x:v>
      </x:c>
      <x:c r="F8" s="79" t="n">
        <x:v>7.4</x:v>
      </x:c>
      <x:c r="G8" s="80" t="n">
        <x:f>E8*F8</x:f>
        <x:v>512020.80000000005</x:v>
      </x:c>
      <x:c r="H8" s="58" t="n">
        <x:v>1</x:v>
      </x:c>
      <x:c r="I8" s="58" t="n">
        <x:v>3</x:v>
      </x:c>
      <x:c r="J8" s="74" t="n">
        <x:f>F8*'Controls'!$B$9</x:f>
        <x:v>9.02652</x:v>
      </x:c>
      <x:c r="K8" s="74" t="n">
        <x:f>E8*MAX(0,MIN(1,('Controls'!$B$8-H8+1)/(I8-H8+1)))</x:f>
        <x:v>69192</x:v>
      </x:c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EW02</x:v>
      </x:c>
      <x:c r="B9" s="60" t="str">
        <x:v>Earthworks</x:v>
      </x:c>
      <x:c r="C9" s="60" t="str">
        <x:v>Surplus disposal</x:v>
      </x:c>
      <x:c r="D9" s="60" t="str">
        <x:v>m3</x:v>
      </x:c>
      <x:c r="E9" s="82" t="n">
        <x:v>77760</x:v>
      </x:c>
      <x:c r="F9" s="82" t="n">
        <x:v>6.4</x:v>
      </x:c>
      <x:c r="G9" s="83" t="n">
        <x:f>E9*F9</x:f>
        <x:v>497664</x:v>
      </x:c>
      <x:c r="H9" s="60" t="n">
        <x:v>1</x:v>
      </x:c>
      <x:c r="I9" s="60" t="n">
        <x:v>3</x:v>
      </x:c>
      <x:c r="J9" s="78" t="n">
        <x:f>F9*'Controls'!$B$9</x:f>
        <x:v>7.80672</x:v>
      </x:c>
      <x:c r="K9" s="78" t="n">
        <x:f>E9*MAX(0,MIN(1,('Controls'!$B$8-H9+1)/(I9-H9+1)))</x:f>
        <x:v>77760</x:v>
      </x:c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EW03</x:v>
      </x:c>
      <x:c r="B10" s="58" t="str">
        <x:v>Earthworks</x:v>
      </x:c>
      <x:c r="C10" s="58" t="str">
        <x:v>Selected backfill</x:v>
      </x:c>
      <x:c r="D10" s="58" t="str">
        <x:v>m3</x:v>
      </x:c>
      <x:c r="E10" s="79" t="n">
        <x:v>4392</x:v>
      </x:c>
      <x:c r="F10" s="79" t="n">
        <x:v>15.3</x:v>
      </x:c>
      <x:c r="G10" s="80" t="n">
        <x:f>E10*F10</x:f>
        <x:v>67197.6</x:v>
      </x:c>
      <x:c r="H10" s="58" t="n">
        <x:v>5</x:v>
      </x:c>
      <x:c r="I10" s="58" t="n">
        <x:v>7</x:v>
      </x:c>
      <x:c r="J10" s="74" t="n">
        <x:f>F10*'Controls'!$B$9</x:f>
        <x:v>18.662940000000003</x:v>
      </x:c>
      <x:c r="K10" s="74" t="n">
        <x:f>E10*MAX(0,MIN(1,('Controls'!$B$8-H10+1)/(I10-H10+1)))</x:f>
        <x:v>4392</x:v>
      </x:c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RC01</x:v>
      </x:c>
      <x:c r="B11" s="60" t="str">
        <x:v>Concrete</x:v>
      </x:c>
      <x:c r="C11" s="60" t="str">
        <x:v>Blinding</x:v>
      </x:c>
      <x:c r="D11" s="60" t="str">
        <x:v>m3</x:v>
      </x:c>
      <x:c r="E11" s="82" t="n">
        <x:v>1440</x:v>
      </x:c>
      <x:c r="F11" s="82" t="n">
        <x:v>94</x:v>
      </x:c>
      <x:c r="G11" s="83" t="n">
        <x:f>E11*F11</x:f>
        <x:v>135360</x:v>
      </x:c>
      <x:c r="H11" s="60" t="n">
        <x:v>2</x:v>
      </x:c>
      <x:c r="I11" s="60" t="n">
        <x:v>3</x:v>
      </x:c>
      <x:c r="J11" s="78" t="n">
        <x:f>F11*'Controls'!$B$9</x:f>
        <x:v>114.6612</x:v>
      </x:c>
      <x:c r="K11" s="78" t="n">
        <x:f>E11*MAX(0,MIN(1,('Controls'!$B$8-H11+1)/(I11-H11+1)))</x:f>
        <x:v>1440</x:v>
      </x:c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RC02</x:v>
      </x:c>
      <x:c r="B12" s="58" t="str">
        <x:v>Concrete</x:v>
      </x:c>
      <x:c r="C12" s="58" t="str">
        <x:v>Raft and thickening</x:v>
      </x:c>
      <x:c r="D12" s="58" t="str">
        <x:v>m3</x:v>
      </x:c>
      <x:c r="E12" s="79" t="n">
        <x:v>12240</x:v>
      </x:c>
      <x:c r="F12" s="79" t="n">
        <x:v>136</x:v>
      </x:c>
      <x:c r="G12" s="80" t="n">
        <x:f>E12*F12</x:f>
        <x:v>1664640</x:v>
      </x:c>
      <x:c r="H12" s="58" t="n">
        <x:v>3</x:v>
      </x:c>
      <x:c r="I12" s="58" t="n">
        <x:v>6</x:v>
      </x:c>
      <x:c r="J12" s="74" t="n">
        <x:f>F12*'Controls'!$B$9</x:f>
        <x:v>165.8928</x:v>
      </x:c>
      <x:c r="K12" s="74" t="n">
        <x:f>E12*MAX(0,MIN(1,('Controls'!$B$8-H12+1)/(I12-H12+1)))</x:f>
        <x:v>12240</x:v>
      </x:c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RC03</x:v>
      </x:c>
      <x:c r="B13" s="60" t="str">
        <x:v>Concrete</x:v>
      </x:c>
      <x:c r="C13" s="60" t="str">
        <x:v>Suspended slabs</x:v>
      </x:c>
      <x:c r="D13" s="60" t="str">
        <x:v>m3</x:v>
      </x:c>
      <x:c r="E13" s="82" t="n">
        <x:v>11943.359999999971</x:v>
      </x:c>
      <x:c r="F13" s="82" t="n">
        <x:v>143</x:v>
      </x:c>
      <x:c r="G13" s="83" t="n">
        <x:f>E13*F13</x:f>
        <x:v>1707900.479999996</x:v>
      </x:c>
      <x:c r="H13" s="60" t="n">
        <x:v>6</x:v>
      </x:c>
      <x:c r="I13" s="60" t="n">
        <x:v>17</x:v>
      </x:c>
      <x:c r="J13" s="78" t="n">
        <x:f>F13*'Controls'!$B$9</x:f>
        <x:v>174.4314</x:v>
      </x:c>
      <x:c r="K13" s="78" t="n">
        <x:f>E13*MAX(0,MIN(1,('Controls'!$B$8-H13+1)/(I13-H13+1)))</x:f>
        <x:v>6966.959999999984</x:v>
      </x:c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RC04</x:v>
      </x:c>
      <x:c r="B14" s="58" t="str">
        <x:v>Concrete</x:v>
      </x:c>
      <x:c r="C14" s="58" t="str">
        <x:v>Beam downstands</x:v>
      </x:c>
      <x:c r="D14" s="58" t="str">
        <x:v>m3</x:v>
      </x:c>
      <x:c r="E14" s="79" t="n">
        <x:v>2396.3939999999975</x:v>
      </x:c>
      <x:c r="F14" s="79" t="n">
        <x:v>151</x:v>
      </x:c>
      <x:c r="G14" s="80" t="n">
        <x:f>E14*F14</x:f>
        <x:v>361855.4939999996</x:v>
      </x:c>
      <x:c r="H14" s="58" t="n">
        <x:v>6</x:v>
      </x:c>
      <x:c r="I14" s="58" t="n">
        <x:v>17</x:v>
      </x:c>
      <x:c r="J14" s="74" t="n">
        <x:f>F14*'Controls'!$B$9</x:f>
        <x:v>184.1898</x:v>
      </x:c>
      <x:c r="K14" s="74" t="n">
        <x:f>E14*MAX(0,MIN(1,('Controls'!$B$8-H14+1)/(I14-H14+1)))</x:f>
        <x:v>1397.8964999999987</x:v>
      </x:c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RC05</x:v>
      </x:c>
      <x:c r="B15" s="60" t="str">
        <x:v>Concrete</x:v>
      </x:c>
      <x:c r="C15" s="60" t="str">
        <x:v>Columns</x:v>
      </x:c>
      <x:c r="D15" s="60" t="str">
        <x:v>m3</x:v>
      </x:c>
      <x:c r="E15" s="82" t="n">
        <x:v>1743.2999999999977</x:v>
      </x:c>
      <x:c r="F15" s="82" t="n">
        <x:v>164</x:v>
      </x:c>
      <x:c r="G15" s="83" t="n">
        <x:f>E15*F15</x:f>
        <x:v>285901.1999999996</x:v>
      </x:c>
      <x:c r="H15" s="60" t="n">
        <x:v>5</x:v>
      </x:c>
      <x:c r="I15" s="60" t="n">
        <x:v>16</x:v>
      </x:c>
      <x:c r="J15" s="78" t="n">
        <x:f>F15*'Controls'!$B$9</x:f>
        <x:v>200.0472</x:v>
      </x:c>
      <x:c r="K15" s="78" t="n">
        <x:f>E15*MAX(0,MIN(1,('Controls'!$B$8-H15+1)/(I15-H15+1)))</x:f>
        <x:v>1162.1999999999985</x:v>
      </x:c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RC06</x:v>
      </x:c>
      <x:c r="B16" s="58" t="str">
        <x:v>Concrete</x:v>
      </x:c>
      <x:c r="C16" s="58" t="str">
        <x:v>Core walls</x:v>
      </x:c>
      <x:c r="D16" s="58" t="str">
        <x:v>m3</x:v>
      </x:c>
      <x:c r="E16" s="79" t="n">
        <x:v>1394.6400000000021</x:v>
      </x:c>
      <x:c r="F16" s="79" t="n">
        <x:v>161</x:v>
      </x:c>
      <x:c r="G16" s="80" t="n">
        <x:f>E16*F16</x:f>
        <x:v>224537.04000000036</x:v>
      </x:c>
      <x:c r="H16" s="58" t="n">
        <x:v>5</x:v>
      </x:c>
      <x:c r="I16" s="58" t="n">
        <x:v>16</x:v>
      </x:c>
      <x:c r="J16" s="74" t="n">
        <x:f>F16*'Controls'!$B$9</x:f>
        <x:v>196.3878</x:v>
      </x:c>
      <x:c r="K16" s="74" t="n">
        <x:f>E16*MAX(0,MIN(1,('Controls'!$B$8-H16+1)/(I16-H16+1)))</x:f>
        <x:v>929.7600000000014</x:v>
      </x:c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RC07</x:v>
      </x:c>
      <x:c r="B17" s="60" t="str">
        <x:v>Concrete</x:v>
      </x:c>
      <x:c r="C17" s="60" t="str">
        <x:v>Stairs</x:v>
      </x:c>
      <x:c r="D17" s="60" t="str">
        <x:v>m3</x:v>
      </x:c>
      <x:c r="E17" s="82" t="n">
        <x:v>205.54559999999987</x:v>
      </x:c>
      <x:c r="F17" s="82" t="n">
        <x:v>170</x:v>
      </x:c>
      <x:c r="G17" s="83" t="n">
        <x:f>E17*F17</x:f>
        <x:v>34942.75199999998</x:v>
      </x:c>
      <x:c r="H17" s="60" t="n">
        <x:v>6</x:v>
      </x:c>
      <x:c r="I17" s="60" t="n">
        <x:v>18</x:v>
      </x:c>
      <x:c r="J17" s="78" t="n">
        <x:f>F17*'Controls'!$B$9</x:f>
        <x:v>207.36599999999999</x:v>
      </x:c>
      <x:c r="K17" s="78" t="n">
        <x:f>E17*MAX(0,MIN(1,('Controls'!$B$8-H17+1)/(I17-H17+1)))</x:f>
        <x:v>110.67839999999993</x:v>
      </x:c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RC08</x:v>
      </x:c>
      <x:c r="B18" s="58" t="str">
        <x:v>Concrete</x:v>
      </x:c>
      <x:c r="C18" s="58" t="str">
        <x:v>Basement walls</x:v>
      </x:c>
      <x:c r="D18" s="58" t="str">
        <x:v>m3</x:v>
      </x:c>
      <x:c r="E18" s="79" t="n">
        <x:v>502.73999999999995</x:v>
      </x:c>
      <x:c r="F18" s="79" t="n">
        <x:v>155</x:v>
      </x:c>
      <x:c r="G18" s="80" t="n">
        <x:f>E18*F18</x:f>
        <x:v>77924.7</x:v>
      </x:c>
      <x:c r="H18" s="58" t="n">
        <x:v>3</x:v>
      </x:c>
      <x:c r="I18" s="58" t="n">
        <x:v>6</x:v>
      </x:c>
      <x:c r="J18" s="74" t="n">
        <x:f>F18*'Controls'!$B$9</x:f>
        <x:v>189.069</x:v>
      </x:c>
      <x:c r="K18" s="74" t="n">
        <x:f>E18*MAX(0,MIN(1,('Controls'!$B$8-H18+1)/(I18-H18+1)))</x:f>
        <x:v>502.73999999999995</x:v>
      </x:c>
      <x:c r="L18" s="54"/>
      <x:c r="M18" s="54"/>
      <x:c r="N18" s="54"/>
      <x:c r="O18" s="54"/>
      <x:c r="P18" s="54"/>
      <x:c r="Q18" s="54"/>
      <x:c r="R18" s="54"/>
      <x:c r="S18" s="54"/>
    </x:row>
    <x:row r="19" ht="23" customHeight="1">
      <x:c r="A19" s="60" t="str">
        <x:v>RC09</x:v>
      </x:c>
      <x:c r="B19" s="60" t="str">
        <x:v>Concrete</x:v>
      </x:c>
      <x:c r="C19" s="60" t="str">
        <x:v>Podium roof</x:v>
      </x:c>
      <x:c r="D19" s="60" t="str">
        <x:v>m3</x:v>
      </x:c>
      <x:c r="E19" s="82" t="n">
        <x:v>2520</x:v>
      </x:c>
      <x:c r="F19" s="82" t="n">
        <x:v>143</x:v>
      </x:c>
      <x:c r="G19" s="83" t="n">
        <x:f>E19*F19</x:f>
        <x:v>360360</x:v>
      </x:c>
      <x:c r="H19" s="60" t="n">
        <x:v>5</x:v>
      </x:c>
      <x:c r="I19" s="60" t="n">
        <x:v>8</x:v>
      </x:c>
      <x:c r="J19" s="78" t="n">
        <x:f>F19*'Controls'!$B$9</x:f>
        <x:v>174.4314</x:v>
      </x:c>
      <x:c r="K19" s="78" t="n">
        <x:f>E19*MAX(0,MIN(1,('Controls'!$B$8-H19+1)/(I19-H19+1)))</x:f>
        <x:v>2520</x:v>
      </x:c>
      <x:c r="L19" s="54"/>
      <x:c r="M19" s="54"/>
      <x:c r="N19" s="54"/>
      <x:c r="O19" s="54"/>
      <x:c r="P19" s="54"/>
      <x:c r="Q19" s="54"/>
      <x:c r="R19" s="54"/>
      <x:c r="S19" s="54"/>
    </x:row>
    <x:row r="20" ht="23" customHeight="1">
      <x:c r="A20" s="58" t="str">
        <x:v>RB01</x:v>
      </x:c>
      <x:c r="B20" s="58" t="str">
        <x:v>Reinforcement</x:v>
      </x:c>
      <x:c r="C20" s="58" t="str">
        <x:v>Scheduled reinforcement</x:v>
      </x:c>
      <x:c r="D20" s="58" t="str">
        <x:v>t</x:v>
      </x:c>
      <x:c r="E20" s="79" t="n">
        <x:v>4630.725758163609</x:v>
      </x:c>
      <x:c r="F20" s="79" t="n">
        <x:v>869</x:v>
      </x:c>
      <x:c r="G20" s="80" t="n">
        <x:f>E20*F20</x:f>
        <x:v>4024100.6838441757</x:v>
      </x:c>
      <x:c r="H20" s="58" t="n">
        <x:v>3</x:v>
      </x:c>
      <x:c r="I20" s="58" t="n">
        <x:v>18</x:v>
      </x:c>
      <x:c r="J20" s="74" t="n">
        <x:f>F20*'Controls'!$B$9</x:f>
        <x:v>1060.0062</x:v>
      </x:c>
      <x:c r="K20" s="74" t="n">
        <x:f>E20*MAX(0,MIN(1,('Controls'!$B$8-H20+1)/(I20-H20+1)))</x:f>
        <x:v>2894.2035988522553</x:v>
      </x:c>
      <x:c r="L20" s="54"/>
      <x:c r="M20" s="54"/>
      <x:c r="N20" s="54"/>
      <x:c r="O20" s="54"/>
      <x:c r="P20" s="54"/>
      <x:c r="Q20" s="54"/>
      <x:c r="R20" s="54"/>
      <x:c r="S20" s="54"/>
    </x:row>
    <x:row r="21" ht="23" customHeight="1">
      <x:c r="A21" s="60" t="str">
        <x:v>FW01</x:v>
      </x:c>
      <x:c r="B21" s="60" t="str">
        <x:v>Formwork</x:v>
      </x:c>
      <x:c r="C21" s="60" t="str">
        <x:v>Slab soffit forms</x:v>
      </x:c>
      <x:c r="D21" s="60" t="str">
        <x:v>m2</x:v>
      </x:c>
      <x:c r="E21" s="82" t="n">
        <x:v>47981.70000000007</x:v>
      </x:c>
      <x:c r="F21" s="82" t="n">
        <x:v>22</x:v>
      </x:c>
      <x:c r="G21" s="83" t="n">
        <x:f>E21*F21</x:f>
        <x:v>1055597.4000000015</x:v>
      </x:c>
      <x:c r="H21" s="60" t="n">
        <x:v>6</x:v>
      </x:c>
      <x:c r="I21" s="60" t="n">
        <x:v>17</x:v>
      </x:c>
      <x:c r="J21" s="78" t="n">
        <x:f>F21*'Controls'!$B$9</x:f>
        <x:v>26.8356</x:v>
      </x:c>
      <x:c r="K21" s="78" t="n">
        <x:f>E21*MAX(0,MIN(1,('Controls'!$B$8-H21+1)/(I21-H21+1)))</x:f>
        <x:v>27989.32500000004</x:v>
      </x:c>
      <x:c r="L21" s="54"/>
      <x:c r="M21" s="54"/>
      <x:c r="N21" s="54"/>
      <x:c r="O21" s="54"/>
      <x:c r="P21" s="54"/>
      <x:c r="Q21" s="54"/>
      <x:c r="R21" s="54"/>
      <x:c r="S21" s="54"/>
    </x:row>
    <x:row r="22" ht="23" customHeight="1">
      <x:c r="A22" s="58" t="str">
        <x:v>FW02</x:v>
      </x:c>
      <x:c r="B22" s="58" t="str">
        <x:v>Formwork</x:v>
      </x:c>
      <x:c r="C22" s="58" t="str">
        <x:v>Beam forms</x:v>
      </x:c>
      <x:c r="D22" s="58" t="str">
        <x:v>m2</x:v>
      </x:c>
      <x:c r="E22" s="79" t="n">
        <x:v>22282.259999999966</x:v>
      </x:c>
      <x:c r="F22" s="79" t="n">
        <x:v>26</x:v>
      </x:c>
      <x:c r="G22" s="80" t="n">
        <x:f>E22*F22</x:f>
        <x:v>579338.7599999991</x:v>
      </x:c>
      <x:c r="H22" s="58" t="n">
        <x:v>6</x:v>
      </x:c>
      <x:c r="I22" s="58" t="n">
        <x:v>17</x:v>
      </x:c>
      <x:c r="J22" s="74" t="n">
        <x:f>F22*'Controls'!$B$9</x:f>
        <x:v>31.7148</x:v>
      </x:c>
      <x:c r="K22" s="74" t="n">
        <x:f>E22*MAX(0,MIN(1,('Controls'!$B$8-H22+1)/(I22-H22+1)))</x:f>
        <x:v>12997.98499999998</x:v>
      </x:c>
      <x:c r="L22" s="54"/>
      <x:c r="M22" s="54"/>
      <x:c r="N22" s="54"/>
      <x:c r="O22" s="54"/>
      <x:c r="P22" s="54"/>
      <x:c r="Q22" s="54"/>
      <x:c r="R22" s="54"/>
      <x:c r="S22" s="54"/>
    </x:row>
    <x:row r="23" ht="23" customHeight="1">
      <x:c r="A23" s="60" t="str">
        <x:v>FW03</x:v>
      </x:c>
      <x:c r="B23" s="60" t="str">
        <x:v>Formwork</x:v>
      </x:c>
      <x:c r="C23" s="60" t="str">
        <x:v>Column forms</x:v>
      </x:c>
      <x:c r="D23" s="60" t="str">
        <x:v>m2</x:v>
      </x:c>
      <x:c r="E23" s="82" t="n">
        <x:v>13946.399999999981</x:v>
      </x:c>
      <x:c r="F23" s="82" t="n">
        <x:v>27</x:v>
      </x:c>
      <x:c r="G23" s="83" t="n">
        <x:f>E23*F23</x:f>
        <x:v>376552.7999999995</x:v>
      </x:c>
      <x:c r="H23" s="60" t="n">
        <x:v>5</x:v>
      </x:c>
      <x:c r="I23" s="60" t="n">
        <x:v>16</x:v>
      </x:c>
      <x:c r="J23" s="78" t="n">
        <x:f>F23*'Controls'!$B$9</x:f>
        <x:v>32.9346</x:v>
      </x:c>
      <x:c r="K23" s="78" t="n">
        <x:f>E23*MAX(0,MIN(1,('Controls'!$B$8-H23+1)/(I23-H23+1)))</x:f>
        <x:v>9297.599999999988</x:v>
      </x:c>
      <x:c r="L23" s="54"/>
      <x:c r="M23" s="54"/>
      <x:c r="N23" s="54"/>
      <x:c r="O23" s="54"/>
      <x:c r="P23" s="54"/>
      <x:c r="Q23" s="54"/>
      <x:c r="R23" s="54"/>
      <x:c r="S23" s="54"/>
    </x:row>
    <x:row r="24" ht="23" customHeight="1">
      <x:c r="A24" s="58" t="str">
        <x:v>FW04</x:v>
      </x:c>
      <x:c r="B24" s="58" t="str">
        <x:v>Formwork</x:v>
      </x:c>
      <x:c r="C24" s="58" t="str">
        <x:v>Core forms</x:v>
      </x:c>
      <x:c r="D24" s="58" t="str">
        <x:v>m2</x:v>
      </x:c>
      <x:c r="E24" s="79" t="n">
        <x:v>11157.120000000017</x:v>
      </x:c>
      <x:c r="F24" s="79" t="n">
        <x:v>24.999999999999996</x:v>
      </x:c>
      <x:c r="G24" s="80" t="n">
        <x:f>E24*F24</x:f>
        <x:v>278928.0000000004</x:v>
      </x:c>
      <x:c r="H24" s="58" t="n">
        <x:v>5</x:v>
      </x:c>
      <x:c r="I24" s="58" t="n">
        <x:v>16</x:v>
      </x:c>
      <x:c r="J24" s="74" t="n">
        <x:f>F24*'Controls'!$B$9</x:f>
        <x:v>30.494999999999994</x:v>
      </x:c>
      <x:c r="K24" s="74" t="n">
        <x:f>E24*MAX(0,MIN(1,('Controls'!$B$8-H24+1)/(I24-H24+1)))</x:f>
        <x:v>7438.080000000011</x:v>
      </x:c>
      <x:c r="L24" s="54"/>
      <x:c r="M24" s="54"/>
      <x:c r="N24" s="54"/>
      <x:c r="O24" s="54"/>
      <x:c r="P24" s="54"/>
      <x:c r="Q24" s="54"/>
      <x:c r="R24" s="54"/>
      <x:c r="S24" s="54"/>
    </x:row>
    <x:row r="25" ht="23" customHeight="1">
      <x:c r="A25" s="60" t="str">
        <x:v>FW05</x:v>
      </x:c>
      <x:c r="B25" s="60" t="str">
        <x:v>Formwork</x:v>
      </x:c>
      <x:c r="C25" s="60" t="str">
        <x:v>Basement wall forms</x:v>
      </x:c>
      <x:c r="D25" s="60" t="str">
        <x:v>m2</x:v>
      </x:c>
      <x:c r="E25" s="82" t="n">
        <x:v>3351.6</x:v>
      </x:c>
      <x:c r="F25" s="82" t="n">
        <x:v>23</x:v>
      </x:c>
      <x:c r="G25" s="83" t="n">
        <x:f>E25*F25</x:f>
        <x:v>77086.8</x:v>
      </x:c>
      <x:c r="H25" s="60" t="n">
        <x:v>3</x:v>
      </x:c>
      <x:c r="I25" s="60" t="n">
        <x:v>6</x:v>
      </x:c>
      <x:c r="J25" s="78" t="n">
        <x:f>F25*'Controls'!$B$9</x:f>
        <x:v>28.0554</x:v>
      </x:c>
      <x:c r="K25" s="78" t="n">
        <x:f>E25*MAX(0,MIN(1,('Controls'!$B$8-H25+1)/(I25-H25+1)))</x:f>
        <x:v>3351.6</x:v>
      </x:c>
      <x:c r="L25" s="54"/>
      <x:c r="M25" s="54"/>
      <x:c r="N25" s="54"/>
      <x:c r="O25" s="54"/>
      <x:c r="P25" s="54"/>
      <x:c r="Q25" s="54"/>
      <x:c r="R25" s="54"/>
      <x:c r="S25" s="54"/>
    </x:row>
    <x:row r="26" ht="23" customHeight="1">
      <x:c r="A26" s="58" t="str">
        <x:v>FW06</x:v>
      </x:c>
      <x:c r="B26" s="58" t="str">
        <x:v>Formwork</x:v>
      </x:c>
      <x:c r="C26" s="58" t="str">
        <x:v>Podium forms</x:v>
      </x:c>
      <x:c r="D26" s="58" t="str">
        <x:v>m2</x:v>
      </x:c>
      <x:c r="E26" s="79" t="n">
        <x:v>10080</x:v>
      </x:c>
      <x:c r="F26" s="79" t="n">
        <x:v>22</x:v>
      </x:c>
      <x:c r="G26" s="80" t="n">
        <x:f>E26*F26</x:f>
        <x:v>221760</x:v>
      </x:c>
      <x:c r="H26" s="58" t="n">
        <x:v>5</x:v>
      </x:c>
      <x:c r="I26" s="58" t="n">
        <x:v>8</x:v>
      </x:c>
      <x:c r="J26" s="74" t="n">
        <x:f>F26*'Controls'!$B$9</x:f>
        <x:v>26.8356</x:v>
      </x:c>
      <x:c r="K26" s="74" t="n">
        <x:f>E26*MAX(0,MIN(1,('Controls'!$B$8-H26+1)/(I26-H26+1)))</x:f>
        <x:v>10080</x:v>
      </x:c>
      <x:c r="L26" s="54"/>
      <x:c r="M26" s="54"/>
      <x:c r="N26" s="54"/>
      <x:c r="O26" s="54"/>
      <x:c r="P26" s="54"/>
      <x:c r="Q26" s="54"/>
      <x:c r="R26" s="54"/>
      <x:c r="S26" s="54"/>
    </x:row>
    <x:row r="27" ht="23" customHeight="1">
      <x:c r="A27" s="60" t="str">
        <x:v>EN01</x:v>
      </x:c>
      <x:c r="B27" s="60" t="str">
        <x:v>Envelope</x:v>
      </x:c>
      <x:c r="C27" s="60" t="str">
        <x:v>Basement membrane</x:v>
      </x:c>
      <x:c r="D27" s="60" t="str">
        <x:v>m2</x:v>
      </x:c>
      <x:c r="E27" s="82" t="n">
        <x:v>16080</x:v>
      </x:c>
      <x:c r="F27" s="82" t="n">
        <x:v>18</x:v>
      </x:c>
      <x:c r="G27" s="83" t="n">
        <x:f>E27*F27</x:f>
        <x:v>289440</x:v>
      </x:c>
      <x:c r="H27" s="60" t="n">
        <x:v>2</x:v>
      </x:c>
      <x:c r="I27" s="60" t="n">
        <x:v>6</x:v>
      </x:c>
      <x:c r="J27" s="78" t="n">
        <x:f>F27*'Controls'!$B$9</x:f>
        <x:v>21.9564</x:v>
      </x:c>
      <x:c r="K27" s="78" t="n">
        <x:f>E27*MAX(0,MIN(1,('Controls'!$B$8-H27+1)/(I27-H27+1)))</x:f>
        <x:v>16080</x:v>
      </x:c>
      <x:c r="L27" s="54"/>
      <x:c r="M27" s="54"/>
      <x:c r="N27" s="54"/>
      <x:c r="O27" s="54"/>
      <x:c r="P27" s="54"/>
      <x:c r="Q27" s="54"/>
      <x:c r="R27" s="54"/>
      <x:c r="S27" s="54"/>
    </x:row>
    <x:row r="28" ht="23" customHeight="1">
      <x:c r="A28" s="58" t="str">
        <x:v>EN02</x:v>
      </x:c>
      <x:c r="B28" s="58" t="str">
        <x:v>Envelope</x:v>
      </x:c>
      <x:c r="C28" s="58" t="str">
        <x:v>Roof membranes</x:v>
      </x:c>
      <x:c r="D28" s="58" t="str">
        <x:v>m2</x:v>
      </x:c>
      <x:c r="E28" s="79" t="n">
        <x:v>14400</x:v>
      </x:c>
      <x:c r="F28" s="79" t="n">
        <x:v>20</x:v>
      </x:c>
      <x:c r="G28" s="80" t="n">
        <x:f>E28*F28</x:f>
        <x:v>288000</x:v>
      </x:c>
      <x:c r="H28" s="58" t="n">
        <x:v>16</x:v>
      </x:c>
      <x:c r="I28" s="58" t="n">
        <x:v>21</x:v>
      </x:c>
      <x:c r="J28" s="74" t="n">
        <x:f>F28*'Controls'!$B$9</x:f>
        <x:v>24.396</x:v>
      </x:c>
      <x:c r="K28" s="74" t="n">
        <x:f>E28*MAX(0,MIN(1,('Controls'!$B$8-H28+1)/(I28-H28+1)))</x:f>
        <x:v>0</x:v>
      </x:c>
      <x:c r="L28" s="54"/>
      <x:c r="M28" s="54"/>
      <x:c r="N28" s="54"/>
      <x:c r="O28" s="54"/>
      <x:c r="P28" s="54"/>
      <x:c r="Q28" s="54"/>
      <x:c r="R28" s="54"/>
      <x:c r="S28" s="54"/>
    </x:row>
    <x:row r="29" ht="23" customHeight="1">
      <x:c r="A29" s="60" t="str">
        <x:v>EN03</x:v>
      </x:c>
      <x:c r="B29" s="60" t="str">
        <x:v>Envelope</x:v>
      </x:c>
      <x:c r="C29" s="60" t="str">
        <x:v>Opaque facade</x:v>
      </x:c>
      <x:c r="D29" s="60" t="str">
        <x:v>m2</x:v>
      </x:c>
      <x:c r="E29" s="82" t="n">
        <x:v>19408.895999999997</x:v>
      </x:c>
      <x:c r="F29" s="82" t="n">
        <x:v>84</x:v>
      </x:c>
      <x:c r="G29" s="83" t="n">
        <x:f>E29*F29</x:f>
        <x:v>1630347.2639999997</x:v>
      </x:c>
      <x:c r="H29" s="60" t="n">
        <x:v>12</x:v>
      </x:c>
      <x:c r="I29" s="60" t="n">
        <x:v>22</x:v>
      </x:c>
      <x:c r="J29" s="78" t="n">
        <x:f>F29*'Controls'!$B$9</x:f>
        <x:v>102.4632</x:v>
      </x:c>
      <x:c r="K29" s="78" t="n">
        <x:f>E29*MAX(0,MIN(1,('Controls'!$B$8-H29+1)/(I29-H29+1)))</x:f>
        <x:v>1764.4450909090906</x:v>
      </x:c>
      <x:c r="L29" s="54"/>
      <x:c r="M29" s="54"/>
      <x:c r="N29" s="54"/>
      <x:c r="O29" s="54"/>
      <x:c r="P29" s="54"/>
      <x:c r="Q29" s="54"/>
      <x:c r="R29" s="54"/>
      <x:c r="S29" s="54"/>
    </x:row>
    <x:row r="30" ht="23" customHeight="1">
      <x:c r="A30" s="58" t="str">
        <x:v>EN04</x:v>
      </x:c>
      <x:c r="B30" s="58" t="str">
        <x:v>Envelope</x:v>
      </x:c>
      <x:c r="C30" s="58" t="str">
        <x:v>Glazing</x:v>
      </x:c>
      <x:c r="D30" s="58" t="str">
        <x:v>m2</x:v>
      </x:c>
      <x:c r="E30" s="79" t="n">
        <x:v>7547.904000000001</x:v>
      </x:c>
      <x:c r="F30" s="79" t="n">
        <x:v>220</x:v>
      </x:c>
      <x:c r="G30" s="80" t="n">
        <x:f>E30*F30</x:f>
        <x:v>1660538.8800000004</x:v>
      </x:c>
      <x:c r="H30" s="58" t="n">
        <x:v>13</x:v>
      </x:c>
      <x:c r="I30" s="58" t="n">
        <x:v>23</x:v>
      </x:c>
      <x:c r="J30" s="74" t="n">
        <x:f>F30*'Controls'!$B$9</x:f>
        <x:v>268.356</x:v>
      </x:c>
      <x:c r="K30" s="74" t="n">
        <x:f>E30*MAX(0,MIN(1,('Controls'!$B$8-H30+1)/(I30-H30+1)))</x:f>
        <x:v>0</x:v>
      </x:c>
      <x:c r="L30" s="54"/>
      <x:c r="M30" s="54"/>
      <x:c r="N30" s="54"/>
      <x:c r="O30" s="54"/>
      <x:c r="P30" s="54"/>
      <x:c r="Q30" s="54"/>
      <x:c r="R30" s="54"/>
      <x:c r="S30" s="54"/>
    </x:row>
    <x:row r="31" ht="23" customHeight="1">
      <x:c r="A31" s="60" t="str">
        <x:v>AR01</x:v>
      </x:c>
      <x:c r="B31" s="60" t="str">
        <x:v>Finishes</x:v>
      </x:c>
      <x:c r="C31" s="60" t="str">
        <x:v>Masonry</x:v>
      </x:c>
      <x:c r="D31" s="60" t="str">
        <x:v>m2</x:v>
      </x:c>
      <x:c r="E31" s="82" t="n">
        <x:v>7051.356000000001</x:v>
      </x:c>
      <x:c r="F31" s="82" t="n">
        <x:v>135</x:v>
      </x:c>
      <x:c r="G31" s="83" t="n">
        <x:f>E31*F31</x:f>
        <x:v>951933.06</x:v>
      </x:c>
      <x:c r="H31" s="60" t="n">
        <x:v>9</x:v>
      </x:c>
      <x:c r="I31" s="60" t="n">
        <x:v>20</x:v>
      </x:c>
      <x:c r="J31" s="78" t="n">
        <x:f>F31*'Controls'!$B$9</x:f>
        <x:v>164.673</x:v>
      </x:c>
      <x:c r="K31" s="78" t="n">
        <x:f>E31*MAX(0,MIN(1,('Controls'!$B$8-H31+1)/(I31-H31+1)))</x:f>
        <x:v>2350.452</x:v>
      </x:c>
      <x:c r="L31" s="54"/>
      <x:c r="M31" s="54"/>
      <x:c r="N31" s="54"/>
      <x:c r="O31" s="54"/>
      <x:c r="P31" s="54"/>
      <x:c r="Q31" s="54"/>
      <x:c r="R31" s="54"/>
      <x:c r="S31" s="54"/>
    </x:row>
    <x:row r="32" ht="23" customHeight="1">
      <x:c r="A32" s="58" t="str">
        <x:v>AR02</x:v>
      </x:c>
      <x:c r="B32" s="58" t="str">
        <x:v>Finishes</x:v>
      </x:c>
      <x:c r="C32" s="58" t="str">
        <x:v>Internal plaster</x:v>
      </x:c>
      <x:c r="D32" s="58" t="str">
        <x:v>m2</x:v>
      </x:c>
      <x:c r="E32" s="79" t="n">
        <x:v>94018.08000000005</x:v>
      </x:c>
      <x:c r="F32" s="79" t="n">
        <x:v>12.499999999999998</x:v>
      </x:c>
      <x:c r="G32" s="80" t="n">
        <x:f>E32*F32</x:f>
        <x:v>1175226.0000000005</x:v>
      </x:c>
      <x:c r="H32" s="58" t="n">
        <x:v>12</x:v>
      </x:c>
      <x:c r="I32" s="58" t="n">
        <x:v>22</x:v>
      </x:c>
      <x:c r="J32" s="74" t="n">
        <x:f>F32*'Controls'!$B$9</x:f>
        <x:v>15.247499999999997</x:v>
      </x:c>
      <x:c r="K32" s="74" t="n">
        <x:f>E32*MAX(0,MIN(1,('Controls'!$B$8-H32+1)/(I32-H32+1)))</x:f>
        <x:v>8547.098181818186</x:v>
      </x:c>
      <x:c r="L32" s="54"/>
      <x:c r="M32" s="54"/>
      <x:c r="N32" s="54"/>
      <x:c r="O32" s="54"/>
      <x:c r="P32" s="54"/>
      <x:c r="Q32" s="54"/>
      <x:c r="R32" s="54"/>
      <x:c r="S32" s="54"/>
    </x:row>
    <x:row r="33" ht="23" customHeight="1">
      <x:c r="A33" s="60" t="str">
        <x:v>AR03</x:v>
      </x:c>
      <x:c r="B33" s="60" t="str">
        <x:v>Finishes</x:v>
      </x:c>
      <x:c r="C33" s="60" t="str">
        <x:v>Floor screed</x:v>
      </x:c>
      <x:c r="D33" s="60" t="str">
        <x:v>m2</x:v>
      </x:c>
      <x:c r="E33" s="82" t="n">
        <x:v>54288</x:v>
      </x:c>
      <x:c r="F33" s="82" t="n">
        <x:v>13</x:v>
      </x:c>
      <x:c r="G33" s="83" t="n">
        <x:f>E33*F33</x:f>
        <x:v>705744</x:v>
      </x:c>
      <x:c r="H33" s="60" t="n">
        <x:v>13</x:v>
      </x:c>
      <x:c r="I33" s="60" t="n">
        <x:v>22</x:v>
      </x:c>
      <x:c r="J33" s="78" t="n">
        <x:f>F33*'Controls'!$B$9</x:f>
        <x:v>15.8574</x:v>
      </x:c>
      <x:c r="K33" s="78" t="n">
        <x:f>E33*MAX(0,MIN(1,('Controls'!$B$8-H33+1)/(I33-H33+1)))</x:f>
        <x:v>0</x:v>
      </x:c>
      <x:c r="L33" s="54"/>
      <x:c r="M33" s="54"/>
      <x:c r="N33" s="54"/>
      <x:c r="O33" s="54"/>
      <x:c r="P33" s="54"/>
      <x:c r="Q33" s="54"/>
      <x:c r="R33" s="54"/>
      <x:c r="S33" s="54"/>
    </x:row>
    <x:row r="34" ht="23" customHeight="1">
      <x:c r="A34" s="58" t="str">
        <x:v>AR04</x:v>
      </x:c>
      <x:c r="B34" s="58" t="str">
        <x:v>Finishes</x:v>
      </x:c>
      <x:c r="C34" s="58" t="str">
        <x:v>Floor finishes</x:v>
      </x:c>
      <x:c r="D34" s="58" t="str">
        <x:v>m2</x:v>
      </x:c>
      <x:c r="E34" s="79" t="n">
        <x:v>54288</x:v>
      </x:c>
      <x:c r="F34" s="79" t="n">
        <x:v>34.5</x:v>
      </x:c>
      <x:c r="G34" s="80" t="n">
        <x:f>E34*F34</x:f>
        <x:v>1872936</x:v>
      </x:c>
      <x:c r="H34" s="58" t="n">
        <x:v>15</x:v>
      </x:c>
      <x:c r="I34" s="58" t="n">
        <x:v>23</x:v>
      </x:c>
      <x:c r="J34" s="74" t="n">
        <x:f>F34*'Controls'!$B$9</x:f>
        <x:v>42.0831</x:v>
      </x:c>
      <x:c r="K34" s="74" t="n">
        <x:f>E34*MAX(0,MIN(1,('Controls'!$B$8-H34+1)/(I34-H34+1)))</x:f>
        <x:v>0</x:v>
      </x:c>
      <x:c r="L34" s="54"/>
      <x:c r="M34" s="54"/>
      <x:c r="N34" s="54"/>
      <x:c r="O34" s="54"/>
      <x:c r="P34" s="54"/>
      <x:c r="Q34" s="54"/>
      <x:c r="R34" s="54"/>
      <x:c r="S34" s="54"/>
    </x:row>
    <x:row r="35" ht="23" customHeight="1">
      <x:c r="A35" s="60" t="str">
        <x:v>AR05</x:v>
      </x:c>
      <x:c r="B35" s="60" t="str">
        <x:v>Finishes</x:v>
      </x:c>
      <x:c r="C35" s="60" t="str">
        <x:v>Internal paint</x:v>
      </x:c>
      <x:c r="D35" s="60" t="str">
        <x:v>m2</x:v>
      </x:c>
      <x:c r="E35" s="82" t="n">
        <x:v>94018.08000000003</x:v>
      </x:c>
      <x:c r="F35" s="82" t="n">
        <x:v>8.5</x:v>
      </x:c>
      <x:c r="G35" s="83" t="n">
        <x:f>E35*F35</x:f>
        <x:v>799153.6800000003</x:v>
      </x:c>
      <x:c r="H35" s="60" t="n">
        <x:v>17</x:v>
      </x:c>
      <x:c r="I35" s="60" t="n">
        <x:v>24</x:v>
      </x:c>
      <x:c r="J35" s="78" t="n">
        <x:f>F35*'Controls'!$B$9</x:f>
        <x:v>10.3683</x:v>
      </x:c>
      <x:c r="K35" s="78" t="n">
        <x:f>E35*MAX(0,MIN(1,('Controls'!$B$8-H35+1)/(I35-H35+1)))</x:f>
        <x:v>0</x:v>
      </x:c>
      <x:c r="L35" s="54"/>
      <x:c r="M35" s="54"/>
      <x:c r="N35" s="54"/>
      <x:c r="O35" s="54"/>
      <x:c r="P35" s="54"/>
      <x:c r="Q35" s="54"/>
      <x:c r="R35" s="54"/>
      <x:c r="S35" s="54"/>
    </x:row>
    <x:row r="36" ht="23" customHeight="1">
      <x:c r="A36" s="58" t="str">
        <x:v>AR06</x:v>
      </x:c>
      <x:c r="B36" s="58" t="str">
        <x:v>Finishes</x:v>
      </x:c>
      <x:c r="C36" s="58" t="str">
        <x:v>Door sets</x:v>
      </x:c>
      <x:c r="D36" s="58" t="str">
        <x:v>nr</x:v>
      </x:c>
      <x:c r="E36" s="79" t="n">
        <x:v>2184</x:v>
      </x:c>
      <x:c r="F36" s="79" t="n">
        <x:v>207</x:v>
      </x:c>
      <x:c r="G36" s="80" t="n">
        <x:f>E36*F36</x:f>
        <x:v>452088</x:v>
      </x:c>
      <x:c r="H36" s="58" t="n">
        <x:v>18</x:v>
      </x:c>
      <x:c r="I36" s="58" t="n">
        <x:v>24</x:v>
      </x:c>
      <x:c r="J36" s="74" t="n">
        <x:f>F36*'Controls'!$B$9</x:f>
        <x:v>252.4986</x:v>
      </x:c>
      <x:c r="K36" s="74" t="n">
        <x:f>E36*MAX(0,MIN(1,('Controls'!$B$8-H36+1)/(I36-H36+1)))</x:f>
        <x:v>0</x:v>
      </x:c>
      <x:c r="L36" s="54"/>
      <x:c r="M36" s="54"/>
      <x:c r="N36" s="54"/>
      <x:c r="O36" s="54"/>
      <x:c r="P36" s="54"/>
      <x:c r="Q36" s="54"/>
      <x:c r="R36" s="54"/>
      <x:c r="S36" s="54"/>
    </x:row>
    <x:row r="37" ht="23" customHeight="1">
      <x:c r="A37" s="60" t="str">
        <x:v>EX01</x:v>
      </x:c>
      <x:c r="B37" s="60" t="str">
        <x:v>External</x:v>
      </x:c>
      <x:c r="C37" s="60" t="str">
        <x:v>External paving</x:v>
      </x:c>
      <x:c r="D37" s="60" t="str">
        <x:v>m2</x:v>
      </x:c>
      <x:c r="E37" s="82" t="n">
        <x:v>4500</x:v>
      </x:c>
      <x:c r="F37" s="82" t="n">
        <x:v>38</x:v>
      </x:c>
      <x:c r="G37" s="83" t="n">
        <x:f>E37*F37</x:f>
        <x:v>171000</x:v>
      </x:c>
      <x:c r="H37" s="60" t="n">
        <x:v>20</x:v>
      </x:c>
      <x:c r="I37" s="60" t="n">
        <x:v>24</x:v>
      </x:c>
      <x:c r="J37" s="78" t="n">
        <x:f>F37*'Controls'!$B$9</x:f>
        <x:v>46.3524</x:v>
      </x:c>
      <x:c r="K37" s="78" t="n">
        <x:f>E37*MAX(0,MIN(1,('Controls'!$B$8-H37+1)/(I37-H37+1)))</x:f>
        <x:v>0</x:v>
      </x:c>
      <x:c r="L37" s="54"/>
      <x:c r="M37" s="54"/>
      <x:c r="N37" s="54"/>
      <x:c r="O37" s="54"/>
      <x:c r="P37" s="54"/>
      <x:c r="Q37" s="54"/>
      <x:c r="R37" s="54"/>
      <x:c r="S37" s="54"/>
    </x:row>
    <x:row r="38" ht="23" customHeight="1">
      <x:c r="A38" s="58" t="str">
        <x:v>EX02</x:v>
      </x:c>
      <x:c r="B38" s="58" t="str">
        <x:v>External</x:v>
      </x:c>
      <x:c r="C38" s="58" t="str">
        <x:v>Drainage pipe</x:v>
      </x:c>
      <x:c r="D38" s="58" t="str">
        <x:v>m</x:v>
      </x:c>
      <x:c r="E38" s="79" t="n">
        <x:v>960</x:v>
      </x:c>
      <x:c r="F38" s="79" t="n">
        <x:v>66</x:v>
      </x:c>
      <x:c r="G38" s="80" t="n">
        <x:f>E38*F38</x:f>
        <x:v>63360</x:v>
      </x:c>
      <x:c r="H38" s="58" t="n">
        <x:v>18</x:v>
      </x:c>
      <x:c r="I38" s="58" t="n">
        <x:v>22</x:v>
      </x:c>
      <x:c r="J38" s="74" t="n">
        <x:f>F38*'Controls'!$B$9</x:f>
        <x:v>80.5068</x:v>
      </x:c>
      <x:c r="K38" s="74" t="n">
        <x:f>E38*MAX(0,MIN(1,('Controls'!$B$8-H38+1)/(I38-H38+1)))</x:f>
        <x:v>0</x:v>
      </x:c>
      <x:c r="L38" s="54"/>
      <x:c r="M38" s="54"/>
      <x:c r="N38" s="54"/>
      <x:c r="O38" s="54"/>
      <x:c r="P38" s="54"/>
      <x:c r="Q38" s="54"/>
      <x:c r="R38" s="54"/>
      <x:c r="S38" s="54"/>
    </x:row>
    <x:row r="39" ht="23" customHeight="1">
      <x:c r="A39" s="60" t="str">
        <x:v>EX03</x:v>
      </x:c>
      <x:c r="B39" s="60" t="str">
        <x:v>External</x:v>
      </x:c>
      <x:c r="C39" s="60" t="str">
        <x:v>Chambers</x:v>
      </x:c>
      <x:c r="D39" s="60" t="str">
        <x:v>nr</x:v>
      </x:c>
      <x:c r="E39" s="82" t="n">
        <x:v>24</x:v>
      </x:c>
      <x:c r="F39" s="82" t="n">
        <x:v>560</x:v>
      </x:c>
      <x:c r="G39" s="83" t="n">
        <x:f>E39*F39</x:f>
        <x:v>13440</x:v>
      </x:c>
      <x:c r="H39" s="60" t="n">
        <x:v>19</x:v>
      </x:c>
      <x:c r="I39" s="60" t="n">
        <x:v>23</x:v>
      </x:c>
      <x:c r="J39" s="78" t="n">
        <x:f>F39*'Controls'!$B$9</x:f>
        <x:v>683.088</x:v>
      </x:c>
      <x:c r="K39" s="78" t="n">
        <x:f>E39*MAX(0,MIN(1,('Controls'!$B$8-H39+1)/(I39-H39+1)))</x:f>
        <x:v>0</x:v>
      </x:c>
      <x:c r="L39" s="54"/>
      <x:c r="M39" s="54"/>
      <x:c r="N39" s="54"/>
      <x:c r="O39" s="54"/>
      <x:c r="P39" s="54"/>
      <x:c r="Q39" s="54"/>
      <x:c r="R39" s="54"/>
      <x:c r="S39" s="54"/>
    </x:row>
  </x:sheetData>
  <x:pageMargins left="0.7" right="0.7" top="0.75" bottom="0.75" header="0.3" footer="0.3"/>
  <x:tableParts count="1">
    <x:tablePart xmlns:r="http://schemas.openxmlformats.org/officeDocument/2006/relationships" r:id="R87d47ca5875445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23" hidden="0" customWidth="1"/>
    <x:col min="4" max="4" width="22" hidden="0" customWidth="1"/>
    <x:col min="5" max="5" width="16" hidden="0" customWidth="1"/>
    <x:col min="6" max="6" width="18" hidden="0" customWidth="1"/>
  </x:cols>
  <x:sheetData>
    <x:row r="2">
      <x:c r="A2" s="53" t="str">
        <x:v>Commercial reconciliation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Checks read the business schedules. No business calculation depends on this sheet.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Reconciliation</x:v>
      </x:c>
      <x:c r="B7" s="6" t="str">
        <x:v>Model result</x:v>
      </x:c>
      <x:c r="C7" s="6" t="str">
        <x:v>Reference</x:v>
      </x:c>
      <x:c r="D7" s="6" t="str">
        <x:v>Difference</x:v>
      </x:c>
      <x:c r="E7" s="6" t="str">
        <x:v>Tolerance</x:v>
      </x:c>
      <x:c r="F7" s="6" t="str">
        <x:v>Result</x:v>
      </x:c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23" customHeight="1">
      <x:c r="A8" s="58" t="str">
        <x:v>Original budget source</x:v>
      </x:c>
      <x:c r="B8" s="86" t="n">
        <x:f>SUM('Baseline'!G8:G39)</x:f>
        <x:v>22616875.393844172</x:v>
      </x:c>
      <x:c r="C8" s="86" t="n">
        <x:v>22616875.393844172</x:v>
      </x:c>
      <x:c r="D8" s="86" t="n">
        <x:f>B8-C8</x:f>
        <x:v>0</x:v>
      </x:c>
      <x:c r="E8" s="86" t="n">
        <x:v>0.01</x:v>
      </x:c>
      <x:c r="F8" s="58" t="str">
        <x:f>IF(ABS(D8)&lt;=E8,"OK","REVIEW")</x:f>
        <x:v>OK</x:v>
      </x:c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23" customHeight="1">
      <x:c r="A9" s="60" t="str">
        <x:v>Revised budget reconciliation</x:v>
      </x:c>
      <x:c r="B9" s="87" t="n">
        <x:f>SUM('Cost report'!E8:E39)-SUM('Cost report'!C8:C39)-SUM('Cost report'!D8:D39)</x:f>
        <x:v>-2.0954757928848267e-9</x:v>
      </x:c>
      <x:c r="C9" s="87" t="n">
        <x:v>0</x:v>
      </x:c>
      <x:c r="D9" s="87" t="n">
        <x:f>B9-C9</x:f>
        <x:v>-2.0954757928848267e-9</x:v>
      </x:c>
      <x:c r="E9" s="87" t="n">
        <x:v>0.01</x:v>
      </x:c>
      <x:c r="F9" s="60" t="str">
        <x:f>IF(ABS(D9)&lt;=E9,"OK","REVIEW")</x:f>
        <x:v>OK</x:v>
      </x:c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23" customHeight="1">
      <x:c r="A10" s="58" t="str">
        <x:v>EAC reconciliation</x:v>
      </x:c>
      <x:c r="B10" s="86" t="n">
        <x:f>SUM('Cost report'!N8:N39)-SUM('Cost report'!J8:J39)-SUM('Cost report'!M8:M39)</x:f>
        <x:v>9.313225746154785e-9</x:v>
      </x:c>
      <x:c r="C10" s="86" t="n">
        <x:v>0</x:v>
      </x:c>
      <x:c r="D10" s="86" t="n">
        <x:f>B10-C10</x:f>
        <x:v>9.313225746154785e-9</x:v>
      </x:c>
      <x:c r="E10" s="86" t="n">
        <x:v>0.01</x:v>
      </x:c>
      <x:c r="F10" s="58" t="str">
        <x:f>IF(ABS(D10)&lt;=E10,"OK","REVIEW")</x:f>
        <x:v>OK</x:v>
      </x:c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23" customHeight="1">
      <x:c r="A11" s="60" t="str">
        <x:v>Actual ledger coverage</x:v>
      </x:c>
      <x:c r="B11" s="87" t="n">
        <x:f>SUM('Cost report'!J8:J39)-SUMIFS('Cost ledger'!G8:G415,'Cost ledger'!C8:C415,"&lt;="&amp;'Controls'!$B$8)</x:f>
        <x:v>-1.862645149230957e-9</x:v>
      </x:c>
      <x:c r="C11" s="87" t="n">
        <x:v>0</x:v>
      </x:c>
      <x:c r="D11" s="87" t="n">
        <x:f>B11-C11</x:f>
        <x:v>-1.862645149230957e-9</x:v>
      </x:c>
      <x:c r="E11" s="87" t="n">
        <x:v>0.01</x:v>
      </x:c>
      <x:c r="F11" s="60" t="str">
        <x:f>IF(ABS(D11)&lt;=E11,"OK","REVIEW")</x:f>
        <x:v>OK</x:v>
      </x:c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23" customHeight="1">
      <x:c r="A12" s="58" t="str">
        <x:v>Base quantities over BOQ</x:v>
      </x:c>
      <x:c r="B12" s="86" t="n">
        <x:f>SUMPRODUCT(--('Cost report'!R8:R39&gt;'Baseline'!E8:E39))</x:f>
        <x:v>0</x:v>
      </x:c>
      <x:c r="C12" s="86" t="n">
        <x:v>0</x:v>
      </x:c>
      <x:c r="D12" s="86" t="n">
        <x:f>B12-C12</x:f>
        <x:v>0</x:v>
      </x:c>
      <x:c r="E12" s="86" t="n">
        <x:v>0</x:v>
      </x:c>
      <x:c r="F12" s="58" t="str">
        <x:f>IF(ABS(D12)&lt;=E12,"OK","REVIEW")</x:f>
        <x:v>OK</x:v>
      </x:c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23" customHeight="1">
      <x:c r="A13" s="60" t="str">
        <x:v>Change EV ceiling</x:v>
      </x:c>
      <x:c r="B13" s="87" t="n">
        <x:f>SUMPRODUCT(--('Variations'!K8:K31&gt;'Variations'!H8:H31))</x:f>
        <x:v>0</x:v>
      </x:c>
      <x:c r="C13" s="87" t="n">
        <x:v>0</x:v>
      </x:c>
      <x:c r="D13" s="87" t="n">
        <x:f>B13-C13</x:f>
        <x:v>0</x:v>
      </x:c>
      <x:c r="E13" s="87" t="n">
        <x:v>0</x:v>
      </x:c>
      <x:c r="F13" s="60" t="str">
        <x:f>IF(ABS(D13)&lt;=E13,"OK","REVIEW")</x:f>
        <x:v>OK</x:v>
      </x:c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23" customHeight="1">
      <x:c r="A14" s="58" t="str">
        <x:v>Certificate net reconciliation</x:v>
      </x:c>
      <x:c r="B14" s="86" t="n">
        <x:f>SUM('Certificates'!J8:J19)-'Certificates'!E19+'Certificates'!F19+'Certificates'!H19</x:f>
        <x:v>-9.313225746154785e-10</x:v>
      </x:c>
      <x:c r="C14" s="86" t="n">
        <x:v>0</x:v>
      </x:c>
      <x:c r="D14" s="86" t="n">
        <x:f>B14-C14</x:f>
        <x:v>-9.313225746154785e-10</x:v>
      </x:c>
      <x:c r="E14" s="86" t="n">
        <x:v>0.01</x:v>
      </x:c>
      <x:c r="F14" s="58" t="str">
        <x:f>IF(ABS(D14)&lt;=E14,"OK","REVIEW")</x:f>
        <x:v>OK</x:v>
      </x:c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23" customHeight="1">
      <x:c r="A15" s="60" t="str">
        <x:v>Advance reconciliation</x:v>
      </x:c>
      <x:c r="B15" s="87" t="n">
        <x:f>'Certificates'!H19+'Certificates'!L19-'Controls'!$B$14*'Controls'!$B$12</x:f>
        <x:v>0</x:v>
      </x:c>
      <x:c r="C15" s="87" t="n">
        <x:v>0</x:v>
      </x:c>
      <x:c r="D15" s="87" t="n">
        <x:f>B15-C15</x:f>
        <x:v>0</x:v>
      </x:c>
      <x:c r="E15" s="87" t="n">
        <x:v>0.01</x:v>
      </x:c>
      <x:c r="F15" s="60" t="str">
        <x:f>IF(ABS(D15)&lt;=E15,"OK","REVIEW")</x:f>
        <x:v>OK</x:v>
      </x:c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23" customHeight="1">
      <x:c r="A16" s="58" t="str">
        <x:v>Commitment allocation</x:v>
      </x:c>
      <x:c r="B16" s="86" t="n">
        <x:f>SUM('Commitments'!E8:E71)-SUMIFS('Cost ledger'!G8:G415,'Cost ledger'!D8:D415,"BASE",'Cost ledger'!C8:C415,"&lt;="&amp;'Controls'!B8)</x:f>
        <x:v>1.862645149230957e-9</x:v>
      </x:c>
      <x:c r="C16" s="86" t="n">
        <x:v>0</x:v>
      </x:c>
      <x:c r="D16" s="86" t="n">
        <x:f>B16-C16</x:f>
        <x:v>1.862645149230957e-9</x:v>
      </x:c>
      <x:c r="E16" s="86" t="n">
        <x:v>0.01</x:v>
      </x:c>
      <x:c r="F16" s="58" t="str">
        <x:f>IF(ABS(D16)&lt;=E16,"OK","REVIEW")</x:f>
        <x:v>OK</x:v>
      </x:c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23" customHeight="1">
      <x:c r="A17" s="60" t="str">
        <x:v>Measurement key duplicates</x:v>
      </x:c>
      <x:c r="B17" s="87" t="n">
        <x:f>SUMPRODUCT(--(COUNTIFS('Measurements'!A8:A391,'Measurements'!A8:A391)&gt;1))</x:f>
        <x:v>0</x:v>
      </x:c>
      <x:c r="C17" s="87" t="n">
        <x:v>0</x:v>
      </x:c>
      <x:c r="D17" s="87" t="n">
        <x:f>B17-C17</x:f>
        <x:v>0</x:v>
      </x:c>
      <x:c r="E17" s="87" t="n">
        <x:v>0</x:v>
      </x:c>
      <x:c r="F17" s="60" t="str">
        <x:f>IF(ABS(D17)&lt;=E17,"OK","REVIEW")</x:f>
        <x:v>OK</x:v>
      </x:c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23" customHeight="1">
      <x:c r="A18" s="58" t="str">
        <x:v>Ledger record count</x:v>
      </x:c>
      <x:c r="B18" s="86" t="n">
        <x:f>COUNTA('Cost ledger'!A8:A415)</x:f>
        <x:v>408</x:v>
      </x:c>
      <x:c r="C18" s="86" t="n">
        <x:v>408</x:v>
      </x:c>
      <x:c r="D18" s="86" t="n">
        <x:f>B18-C18</x:f>
        <x:v>0</x:v>
      </x:c>
      <x:c r="E18" s="86" t="n">
        <x:v>0</x:v>
      </x:c>
      <x:c r="F18" s="58" t="str">
        <x:f>IF(ABS(D18)&lt;=E18,"OK","REVIEW")</x:f>
        <x:v>OK</x:v>
      </x:c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</x:sheetData>
  <x:conditionalFormatting sqref="F8:F18">
    <x:cfRule type="containsText" dxfId="1" priority="1" operator="containsText" text="REVIEW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794A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" hidden="0" customWidth="1"/>
    <x:col min="2" max="2" width="135" hidden="0" customWidth="1"/>
  </x:cols>
  <x:sheetData>
    <x:row r="2">
      <x:c r="A2" s="53" t="str">
        <x:v>Reporting basis and data provenance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Definitions used across quantity, cost, change and payment schedules.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</x:row>
    <x:row r="7" ht="38" customHeight="1">
      <x:c r="A7" s="6" t="str">
        <x:v>Topic</x:v>
      </x:c>
      <x:c r="B7" s="6" t="str">
        <x:v>Basis</x:v>
      </x:c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 ht="44" customHeight="1">
      <x:c r="A8" s="58" t="str">
        <x:v>Project</x:v>
      </x:c>
      <x:c r="B8" s="88" t="str">
        <x:v>CE-R01 residential development. Six towers, 288 apartments, 70,560 m2.</x:v>
      </x:c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</x:row>
    <x:row r="9" ht="44" customHeight="1">
      <x:c r="A9" s="60" t="str">
        <x:v>Provenance</x:v>
      </x:c>
      <x:c r="B9" s="89" t="str">
        <x:v>Independent portfolio project. Progress, actual costs, commitments and changes are constructed working inputs, not client records.</x:v>
      </x:c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</x:row>
    <x:row r="10" ht="44" customHeight="1">
      <x:c r="A10" s="58" t="str">
        <x:v>Baseline source</x:v>
      </x:c>
      <x:c r="B10" s="88" t="str">
        <x:v>CE_R01_Residential_Quantity_BOQ.xlsx Rev 01, 32 measured BOQ items. Direct budget and original contract carried forward.</x:v>
      </x:c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</x:row>
    <x:row r="11" ht="44" customHeight="1">
      <x:c r="A11" s="60" t="str">
        <x:v>Report cutoff</x:v>
      </x:c>
      <x:c r="B11" s="89" t="str">
        <x:v>M12 of an assumed November 2026 start. Report month can be moved from M01 to M12; source monthly records end at M12.</x:v>
      </x:c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</x:row>
    <x:row r="12" ht="44" customHeight="1">
      <x:c r="A12" s="58" t="str">
        <x:v>Planned value</x:v>
      </x:c>
      <x:c r="B12" s="88" t="str">
        <x:v>Straight-line package production within each baseline start/finish window. Differs from the earlier cash forecast phasing.</x:v>
      </x:c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</x:row>
    <x:row r="13" ht="44" customHeight="1">
      <x:c r="A13" s="60" t="str">
        <x:v>Earned value</x:v>
      </x:c>
      <x:c r="B13" s="89" t="str">
        <x:v>Accepted base quantity at budget unit rate plus earned approved-change cost budget. Actual cost includes all accrued base and change costs.</x:v>
      </x:c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</x:row>
    <x:row r="14" ht="44" customHeight="1">
      <x:c r="A14" s="58" t="str">
        <x:v>Forecast</x:v>
      </x:c>
      <x:c r="B14" s="88" t="str">
        <x:v>Remaining original quantity at the editable forecast rate factor, plus unearned approved changes at each change ETC rate factor.</x:v>
      </x:c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</x:row>
    <x:row r="15" ht="44" customHeight="1">
      <x:c r="A15" s="60" t="str">
        <x:v>Pending changes</x:v>
      </x:c>
      <x:c r="B15" s="89" t="str">
        <x:v>Excluded from revised budget and certificates. Any recorded pending or rejected change cost stays in actual cost. Pending estimates disclosed separately.</x:v>
      </x:c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6" ht="44" customHeight="1">
      <x:c r="A16" s="58" t="str">
        <x:v>Certificates</x:v>
      </x:c>
      <x:c r="B16" s="88" t="str">
        <x:v>Base quantity at contract rate plus earned approved variations, assigned to the change earned month. Not a representation of approved client payment.</x:v>
      </x:c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</x:row>
    <x:row r="17" ht="44" customHeight="1">
      <x:c r="A17" s="60" t="str">
        <x:v>Deductions</x:v>
      </x:c>
      <x:c r="B17" s="89" t="str">
        <x:v>Cumulative retention = lower of 5% gross and 5% original contract. Recovery = lower of 10% gross and original advance. Monthly deductions are cumulative differences.</x:v>
      </x:c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</x:row>
    <x:row r="18" ht="44" customHeight="1">
      <x:c r="A18" s="58" t="str">
        <x:v>Commitments</x:v>
      </x:c>
      <x:c r="B18" s="88" t="str">
        <x:v>Unaccrued purchase commitments shown as exposure. ETC already prices remaining work, so commitments are not added again to forecast cost.</x:v>
      </x:c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</x:row>
    <x:row r="19" ht="44" customHeight="1">
      <x:c r="A19" s="60" t="str">
        <x:v>Scope</x:v>
      </x:c>
      <x:c r="B19" s="89" t="str">
        <x:v>Direct measured construction costs. Preliminaries, overhead, finance, tax, FX and inflation excluded from CVR. Contract certification uses BOQ contract allocation.</x:v>
      </x:c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</x:row>
    <x:row r="20" ht="44" customHeight="1">
      <x:c r="A20" s="58" t="str">
        <x:v>Editing</x:v>
      </x:c>
      <x:c r="B20" s="88" t="str">
        <x:v>Amber controls and blue numeric inputs are editable. Change status, quantities, accepted share and ledger costs recalculate linked outputs.</x:v>
      </x:c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</x:row>
    <x:row r="21" ht="44" customHeight="1">
      <x:c r="A21" s="60" t="str">
        <x:v>Verification</x:v>
      </x:c>
      <x:c r="B21" s="89" t="str">
        <x:v>Independent record-level totals, cutoff change, rate change, variation status and deduction-cap boundary tests are checked before publication.</x:v>
      </x:c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</x:row>
  </x:sheetData>
  <x:pageMargins left="0.7" right="0.7" top="0.75" bottom="0.75" header="0.3" footer="0.3"/>
</x:worksheet>
</file>